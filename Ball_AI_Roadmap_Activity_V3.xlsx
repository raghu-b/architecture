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stimate Overview" sheetId="2" state="visible" r:id="rId4"/>
    <sheet name="Phase 1" sheetId="3" state="visible" r:id="rId5"/>
    <sheet name="Phase 2" sheetId="4" state="visible" r:id="rId6"/>
    <sheet name="Phase 3" sheetId="5" state="visible" r:id="rId7"/>
    <sheet name="Phase 4" sheetId="6" state="visible" r:id="rId8"/>
    <sheet name="Activity Hours" sheetId="7" state="visible" r:id="rId9"/>
    <sheet name="Task Breakdown" sheetId="8" state="visible" r:id="rId10"/>
    <sheet name="Estimation Basis" sheetId="9" state="visible" r:id="rId11"/>
    <sheet name="Scope &amp; Assumptions" sheetId="10" state="visible" r:id="rId12"/>
    <sheet name="Resources" sheetId="11" state="visible" r:id="rId13"/>
  </sheets>
  <definedNames>
    <definedName function="false" hidden="true" localSheetId="6" name="_xlnm._FilterDatabase" vbProcedure="false">'Activity Hours'!$A$4:$U$87</definedName>
    <definedName function="false" hidden="true" localSheetId="8" name="_xlnm._FilterDatabase" vbProcedure="false">'Estimation Basis'!$A$4:$H$87</definedName>
    <definedName function="false" hidden="true" localSheetId="7" name="_xlnm._FilterDatabase" vbProcedure="false">'Task Breakdown'!$A$4:$U$681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<sst xmlns="http://schemas.openxmlformats.org/spreadsheetml/2006/main" count="7242" uniqueCount="1596">
  <si>
    <t xml:space="preserve">Hours summary by resource</t>
  </si>
  <si>
    <t xml:space="preserve">All figures are formulas: tasks roll up to activities, activities roll up here.</t>
  </si>
  <si>
    <t xml:space="preserve">Hours by role and phase</t>
  </si>
  <si>
    <t xml:space="preserve">Code</t>
  </si>
  <si>
    <t xml:space="preserve">Role</t>
  </si>
  <si>
    <t xml:space="preserve">Phase 1</t>
  </si>
  <si>
    <t xml:space="preserve">Phase 2</t>
  </si>
  <si>
    <t xml:space="preserve">Phase 3</t>
  </si>
  <si>
    <t xml:space="preserve">Phase 4</t>
  </si>
  <si>
    <t xml:space="preserve">Total hours</t>
  </si>
  <si>
    <t xml:space="preserve">Person-weeks</t>
  </si>
  <si>
    <t xml:space="preserve">PM</t>
  </si>
  <si>
    <t xml:space="preserve">Program / Project Manager</t>
  </si>
  <si>
    <t xml:space="preserve">CA</t>
  </si>
  <si>
    <t xml:space="preserve">Cloud / Platform Architect</t>
  </si>
  <si>
    <t xml:space="preserve">DO</t>
  </si>
  <si>
    <t xml:space="preserve">Platform / DevOps Engineer</t>
  </si>
  <si>
    <t xml:space="preserve">SE</t>
  </si>
  <si>
    <t xml:space="preserve">Security Engineer</t>
  </si>
  <si>
    <t xml:space="preserve">AIA</t>
  </si>
  <si>
    <t xml:space="preserve">AI Architect</t>
  </si>
  <si>
    <t xml:space="preserve">AIE</t>
  </si>
  <si>
    <t xml:space="preserve">AI / ML Engineer</t>
  </si>
  <si>
    <t xml:space="preserve">DE</t>
  </si>
  <si>
    <t xml:space="preserve">Data Engineer</t>
  </si>
  <si>
    <t xml:space="preserve">DG</t>
  </si>
  <si>
    <t xml:space="preserve">Data Architect / Governance</t>
  </si>
  <si>
    <t xml:space="preserve">DEV</t>
  </si>
  <si>
    <t xml:space="preserve">Full-stack Developer</t>
  </si>
  <si>
    <t xml:space="preserve">BA</t>
  </si>
  <si>
    <t xml:space="preserve">Business Analyst / Product Owner</t>
  </si>
  <si>
    <t xml:space="preserve">QA</t>
  </si>
  <si>
    <t xml:space="preserve">QA / Test Engineer</t>
  </si>
  <si>
    <t xml:space="preserve">CM</t>
  </si>
  <si>
    <t xml:space="preserve">Change &amp; Training Lead</t>
  </si>
  <si>
    <t xml:space="preserve">Total</t>
  </si>
  <si>
    <t xml:space="preserve">Hours by role and track</t>
  </si>
  <si>
    <t xml:space="preserve">AI Platform Setup</t>
  </si>
  <si>
    <t xml:space="preserve">AI Data Readiness</t>
  </si>
  <si>
    <t xml:space="preserve">AI Use Cases</t>
  </si>
  <si>
    <t xml:space="preserve">Program Management</t>
  </si>
  <si>
    <t xml:space="preserve">Hours by role and owner team</t>
  </si>
  <si>
    <t xml:space="preserve">Platform Engineering</t>
  </si>
  <si>
    <t xml:space="preserve">Foundry</t>
  </si>
  <si>
    <t xml:space="preserve">AI Data Lake</t>
  </si>
  <si>
    <t xml:space="preserve">Factory</t>
  </si>
  <si>
    <t xml:space="preserve">All teams</t>
  </si>
  <si>
    <t xml:space="preserve">Estimate overview: 24,000 hours</t>
  </si>
  <si>
    <t xml:space="preserve">All figures are live formulas over the Task Breakdown sheet.</t>
  </si>
  <si>
    <t xml:space="preserve">Track</t>
  </si>
  <si>
    <t xml:space="preserve">% of total</t>
  </si>
  <si>
    <t xml:space="preserve">Target hours</t>
  </si>
  <si>
    <t xml:space="preserve">Planned minus target</t>
  </si>
  <si>
    <t xml:space="preserve">Role mix check</t>
  </si>
  <si>
    <t xml:space="preserve">Hours</t>
  </si>
  <si>
    <t xml:space="preserve">Typical range for AI programs</t>
  </si>
  <si>
    <t xml:space="preserve">Comment</t>
  </si>
  <si>
    <t xml:space="preserve">PM – Program / Project Manager</t>
  </si>
  <si>
    <t xml:space="preserve">6–10%</t>
  </si>
  <si>
    <t xml:space="preserve">Program across 3 teams and many plants</t>
  </si>
  <si>
    <t xml:space="preserve">CA – Cloud / Platform Architect</t>
  </si>
  <si>
    <t xml:space="preserve">2–4%</t>
  </si>
  <si>
    <t xml:space="preserve">Architecture front-loaded in Phase 1</t>
  </si>
  <si>
    <t xml:space="preserve">DO – Platform / DevOps Engineer</t>
  </si>
  <si>
    <t xml:space="preserve">8–12%</t>
  </si>
  <si>
    <t xml:space="preserve">Landing zone, IaC, DR, plant gateways</t>
  </si>
  <si>
    <t xml:space="preserve">SE – Security Engineer</t>
  </si>
  <si>
    <t xml:space="preserve">4–7%</t>
  </si>
  <si>
    <t xml:space="preserve">Identity, OT security, pen test, SOX controls</t>
  </si>
  <si>
    <t xml:space="preserve">AIA – AI Architect</t>
  </si>
  <si>
    <t xml:space="preserve">4–6%</t>
  </si>
  <si>
    <t xml:space="preserve">Design authority for agents and RAG</t>
  </si>
  <si>
    <t xml:space="preserve">AIE – AI / ML Engineer</t>
  </si>
  <si>
    <t xml:space="preserve">18–25%</t>
  </si>
  <si>
    <t xml:space="preserve">Largest role: agents, RAG, gateway, evaluation</t>
  </si>
  <si>
    <t xml:space="preserve">DE – Data Engineer</t>
  </si>
  <si>
    <t xml:space="preserve">10–15%</t>
  </si>
  <si>
    <t xml:space="preserve">SAP, MES, PI pipelines and plant onboarding</t>
  </si>
  <si>
    <t xml:space="preserve">DG – Data Architect / Governance</t>
  </si>
  <si>
    <t xml:space="preserve">Classification, catalog, lineage</t>
  </si>
  <si>
    <t xml:space="preserve">DEV – Full-stack Developer</t>
  </si>
  <si>
    <t xml:space="preserve">7–10%</t>
  </si>
  <si>
    <t xml:space="preserve">Teams app, web, mobile, admin panel</t>
  </si>
  <si>
    <t xml:space="preserve">BA – Business Analyst / Product Owner</t>
  </si>
  <si>
    <t xml:space="preserve">Requirements, KPIs, golden test sets</t>
  </si>
  <si>
    <t xml:space="preserve">QA – QA / Test Engineer</t>
  </si>
  <si>
    <t xml:space="preserve">9–13%</t>
  </si>
  <si>
    <t xml:space="preserve">Testing inside every item</t>
  </si>
  <si>
    <t xml:space="preserve">CM – Change &amp; Training Lead</t>
  </si>
  <si>
    <t xml:space="preserve">Training and adoption across plants</t>
  </si>
  <si>
    <t xml:space="preserve">Phase 1: tasks and hours for each item (Foundation / Assess / Discover)</t>
  </si>
  <si>
    <t xml:space="preserve">Bold rows are the slide items; the rows beneath are their implementation tasks (green = linked to Task Breakdown).</t>
  </si>
  <si>
    <t xml:space="preserve">ID</t>
  </si>
  <si>
    <t xml:space="preserve">Item / task</t>
  </si>
  <si>
    <t xml:space="preserve">Owner team</t>
  </si>
  <si>
    <t xml:space="preserve">Deliverable</t>
  </si>
  <si>
    <t xml:space="preserve">% of phase</t>
  </si>
  <si>
    <t xml:space="preserve">AI Platform Setup: Foundation</t>
  </si>
  <si>
    <t xml:space="preserve">PS-1.01</t>
  </si>
  <si>
    <t xml:space="preserve">Azure landing zone, subscriptions, VNets, private endpoints</t>
  </si>
  <si>
    <t xml:space="preserve">Landing zone deployed</t>
  </si>
  <si>
    <t xml:space="preserve">PS-1.02</t>
  </si>
  <si>
    <t xml:space="preserve">Entra ID SSO, MFA / PIM, conditional access</t>
  </si>
  <si>
    <t xml:space="preserve">Identity and access configuration</t>
  </si>
  <si>
    <t xml:space="preserve">PS-1.03</t>
  </si>
  <si>
    <t xml:space="preserve">RBAC / ABAC roles and fine-grained permissions</t>
  </si>
  <si>
    <t xml:space="preserve">Role and permission matrix</t>
  </si>
  <si>
    <t xml:space="preserve">PS-1.04</t>
  </si>
  <si>
    <t xml:space="preserve">Key Vault, TDE / TLS encryption</t>
  </si>
  <si>
    <t xml:space="preserve">Key and secret management in place</t>
  </si>
  <si>
    <t xml:space="preserve">PS-1.05</t>
  </si>
  <si>
    <t xml:space="preserve">Front Door + API Management gateway</t>
  </si>
  <si>
    <t xml:space="preserve">APIM instance with policies</t>
  </si>
  <si>
    <t xml:space="preserve">PS-1.06</t>
  </si>
  <si>
    <t xml:space="preserve">Terraform / Bicep IaC, GitHub Actions CI/CD</t>
  </si>
  <si>
    <t xml:space="preserve">IaC modules and pipelines</t>
  </si>
  <si>
    <t xml:space="preserve">PS-1.07</t>
  </si>
  <si>
    <t xml:space="preserve">ACR, AKS and Container Apps</t>
  </si>
  <si>
    <t xml:space="preserve">Container hosting platform</t>
  </si>
  <si>
    <t xml:space="preserve">Subtotal: AI Platform Setup</t>
  </si>
  <si>
    <t xml:space="preserve">AI Data Readiness: Assess</t>
  </si>
  <si>
    <t xml:space="preserve">DR-1.01</t>
  </si>
  <si>
    <t xml:space="preserve">Inventory sources: SAP S/4HANA, MES, AVEVA PI, SharePoint, Coupa</t>
  </si>
  <si>
    <t xml:space="preserve">Source system inventory</t>
  </si>
  <si>
    <t xml:space="preserve">DR-1.02</t>
  </si>
  <si>
    <t xml:space="preserve">Classify data and tag PII</t>
  </si>
  <si>
    <t xml:space="preserve">Data classification and PII tags</t>
  </si>
  <si>
    <t xml:space="preserve">DR-1.03</t>
  </si>
  <si>
    <t xml:space="preserve">Name data owners and stewards</t>
  </si>
  <si>
    <t xml:space="preserve">Data ownership RACI</t>
  </si>
  <si>
    <t xml:space="preserve">DR-1.04</t>
  </si>
  <si>
    <t xml:space="preserve">ADLS Gen2 / Blob storage tiers</t>
  </si>
  <si>
    <t xml:space="preserve">Storage accounts and lifecycle rules</t>
  </si>
  <si>
    <t xml:space="preserve">DR-1.05</t>
  </si>
  <si>
    <t xml:space="preserve">Azure SQL, PostgreSQL + pgvector</t>
  </si>
  <si>
    <t xml:space="preserve">Databases provisioned</t>
  </si>
  <si>
    <t xml:space="preserve">DR-1.06</t>
  </si>
  <si>
    <t xml:space="preserve">Catalog and lineage baseline in Purview</t>
  </si>
  <si>
    <t xml:space="preserve">Purview scans and catalog</t>
  </si>
  <si>
    <t xml:space="preserve">Subtotal: AI Data Readiness</t>
  </si>
  <si>
    <t xml:space="preserve">AI Use Cases: Discover</t>
  </si>
  <si>
    <t xml:space="preserve">UC-1.01</t>
  </si>
  <si>
    <t xml:space="preserve">Build use-case backlog with plant and business owners</t>
  </si>
  <si>
    <t xml:space="preserve">Use-case backlog</t>
  </si>
  <si>
    <t xml:space="preserve">UC-1.02</t>
  </si>
  <si>
    <t xml:space="preserve">Rank by value and data readiness</t>
  </si>
  <si>
    <t xml:space="preserve">Prioritized use-case list</t>
  </si>
  <si>
    <t xml:space="preserve">UC-1.03</t>
  </si>
  <si>
    <t xml:space="preserve">Set success KPIs and baselines</t>
  </si>
  <si>
    <t xml:space="preserve">KPI baseline</t>
  </si>
  <si>
    <t xml:space="preserve">UC-1.04</t>
  </si>
  <si>
    <t xml:space="preserve">Pick pilots: Analyst agent, Spec agent</t>
  </si>
  <si>
    <t xml:space="preserve">Pilot charters</t>
  </si>
  <si>
    <t xml:space="preserve">UC-1.05</t>
  </si>
  <si>
    <t xml:space="preserve">Define approval rules per use case</t>
  </si>
  <si>
    <t xml:space="preserve">Human approval rules</t>
  </si>
  <si>
    <t xml:space="preserve">UC-1.06</t>
  </si>
  <si>
    <t xml:space="preserve">Responsible-AI review</t>
  </si>
  <si>
    <t xml:space="preserve">Responsible-AI assessment</t>
  </si>
  <si>
    <t xml:space="preserve">Subtotal: AI Use Cases</t>
  </si>
  <si>
    <t xml:space="preserve">Program Management: Mobilize</t>
  </si>
  <si>
    <t xml:space="preserve">PM-1.01</t>
  </si>
  <si>
    <t xml:space="preserve">Program management, planning, status and steering (added)</t>
  </si>
  <si>
    <t xml:space="preserve">Plans, status reports, RAID log</t>
  </si>
  <si>
    <t xml:space="preserve">Subtotal: Program Management</t>
  </si>
  <si>
    <t xml:space="preserve">Phase 1 total</t>
  </si>
  <si>
    <t xml:space="preserve">Person-weeks at the hours per week set on the Resources sheet</t>
  </si>
  <si>
    <t xml:space="preserve">Phase 2: tasks and hours for each item (Core AI build / Prepare / Pilot)</t>
  </si>
  <si>
    <t xml:space="preserve">AI Platform Setup: Core AI build</t>
  </si>
  <si>
    <t xml:space="preserve">PS-2.01</t>
  </si>
  <si>
    <t xml:space="preserve">AI Foundry hub and projects</t>
  </si>
  <si>
    <t xml:space="preserve">Foundry hub, projects, connections</t>
  </si>
  <si>
    <t xml:space="preserve">PS-2.02</t>
  </si>
  <si>
    <t xml:space="preserve">AI gateway / model router: Azure OpenAI, Anthropic, Gemini, self-hosted</t>
  </si>
  <si>
    <t xml:space="preserve">Model router with quotas and fallbacks</t>
  </si>
  <si>
    <t xml:space="preserve">PS-2.03</t>
  </si>
  <si>
    <t xml:space="preserve">Agent orchestrator: Foundry Agent Service, Semantic Kernel, LangGraph</t>
  </si>
  <si>
    <t xml:space="preserve">Orchestration framework and reference agent</t>
  </si>
  <si>
    <t xml:space="preserve">PS-2.04</t>
  </si>
  <si>
    <t xml:space="preserve">Memory layer: working, conversation, long-term</t>
  </si>
  <si>
    <t xml:space="preserve">Memory services</t>
  </si>
  <si>
    <t xml:space="preserve">PS-2.05</t>
  </si>
  <si>
    <t xml:space="preserve">Prompt library, templates, versioning</t>
  </si>
  <si>
    <t xml:space="preserve">Prompt repository with versioning</t>
  </si>
  <si>
    <t xml:space="preserve">PS-2.06</t>
  </si>
  <si>
    <t xml:space="preserve">Content Safety and Prompt Shields</t>
  </si>
  <si>
    <t xml:space="preserve">Safety policies configured</t>
  </si>
  <si>
    <t xml:space="preserve">AI Data Readiness: Prepare</t>
  </si>
  <si>
    <t xml:space="preserve">DR-2.01</t>
  </si>
  <si>
    <t xml:space="preserve">Pipelines from SAP, MES and file shares</t>
  </si>
  <si>
    <t xml:space="preserve">Ingestion pipelines</t>
  </si>
  <si>
    <t xml:space="preserve">DR-2.02</t>
  </si>
  <si>
    <t xml:space="preserve">Document ingestion: OCR, parsing, chunking</t>
  </si>
  <si>
    <t xml:space="preserve">Document ingestion pipeline</t>
  </si>
  <si>
    <t xml:space="preserve">DR-2.03</t>
  </si>
  <si>
    <t xml:space="preserve">Embedding models: text-embedding-3, Cohere, BGE / E5</t>
  </si>
  <si>
    <t xml:space="preserve">Embedding service</t>
  </si>
  <si>
    <t xml:space="preserve">DR-2.04</t>
  </si>
  <si>
    <t xml:space="preserve">Hybrid index in Azure AI Search (vector + BM25 + ranker)</t>
  </si>
  <si>
    <t xml:space="preserve">Search indexes</t>
  </si>
  <si>
    <t xml:space="preserve">DR-2.05</t>
  </si>
  <si>
    <t xml:space="preserve">Data quality validation rules</t>
  </si>
  <si>
    <t xml:space="preserve">Data quality rules and reports</t>
  </si>
  <si>
    <t xml:space="preserve">DR-2.06</t>
  </si>
  <si>
    <t xml:space="preserve">Fabric / OneLake for analytics</t>
  </si>
  <si>
    <t xml:space="preserve">Fabric workspace and lakehouse</t>
  </si>
  <si>
    <t xml:space="preserve">AI Use Cases: Pilot</t>
  </si>
  <si>
    <t xml:space="preserve">UC-2.01</t>
  </si>
  <si>
    <t xml:space="preserve">Analyst agent: plain-English questions over Fabric / SQL</t>
  </si>
  <si>
    <t xml:space="preserve">Analyst agent</t>
  </si>
  <si>
    <t xml:space="preserve">UC-2.02</t>
  </si>
  <si>
    <t xml:space="preserve">Spec agent: RAG over specs and SOPs</t>
  </si>
  <si>
    <t xml:space="preserve">Spec agent</t>
  </si>
  <si>
    <t xml:space="preserve">UC-2.03</t>
  </si>
  <si>
    <t xml:space="preserve">Deliver in Teams / Copilot</t>
  </si>
  <si>
    <t xml:space="preserve">Teams app</t>
  </si>
  <si>
    <t xml:space="preserve">UC-2.04</t>
  </si>
  <si>
    <t xml:space="preserve">Pilot at one or two plants</t>
  </si>
  <si>
    <t xml:space="preserve">Pilot run</t>
  </si>
  <si>
    <t xml:space="preserve">UC-2.05</t>
  </si>
  <si>
    <t xml:space="preserve">Collect user feedback and evaluations</t>
  </si>
  <si>
    <t xml:space="preserve">Feedback and evaluation report</t>
  </si>
  <si>
    <t xml:space="preserve">UC-2.06</t>
  </si>
  <si>
    <t xml:space="preserve">Go / no-go against KPIs</t>
  </si>
  <si>
    <t xml:space="preserve">Go / no-go decision</t>
  </si>
  <si>
    <t xml:space="preserve">UC-2.07</t>
  </si>
  <si>
    <t xml:space="preserve">Hypercare and production support for live agents (added)</t>
  </si>
  <si>
    <t xml:space="preserve">Stable agents in production, issue log</t>
  </si>
  <si>
    <t xml:space="preserve">Program Management: Build</t>
  </si>
  <si>
    <t xml:space="preserve">PM-2.01</t>
  </si>
  <si>
    <t xml:space="preserve">Phase 2 total</t>
  </si>
  <si>
    <t xml:space="preserve">Phase 3: tasks and hours for each item (Scale / Enrich / Expand)</t>
  </si>
  <si>
    <t xml:space="preserve">AI Platform Setup: Scale</t>
  </si>
  <si>
    <t xml:space="preserve">PS-3.01</t>
  </si>
  <si>
    <t xml:space="preserve">Redis semantic, embedding and response caches</t>
  </si>
  <si>
    <t xml:space="preserve">Cache layer</t>
  </si>
  <si>
    <t xml:space="preserve">PS-3.02</t>
  </si>
  <si>
    <t xml:space="preserve">Service Bus, Event Grid, Durable Functions</t>
  </si>
  <si>
    <t xml:space="preserve">Event bus and async workflows</t>
  </si>
  <si>
    <t xml:space="preserve">PS-3.03</t>
  </si>
  <si>
    <t xml:space="preserve">Tool and MCP registry with permissions</t>
  </si>
  <si>
    <t xml:space="preserve">MCP tool registry</t>
  </si>
  <si>
    <t xml:space="preserve">PS-3.04</t>
  </si>
  <si>
    <t xml:space="preserve">Human-in-the-loop review and escalation</t>
  </si>
  <si>
    <t xml:space="preserve">Approval and escalation workflows</t>
  </si>
  <si>
    <t xml:space="preserve">PS-3.05</t>
  </si>
  <si>
    <t xml:space="preserve">Admin panel: agent registry, users, policies</t>
  </si>
  <si>
    <t xml:space="preserve">Admin portal</t>
  </si>
  <si>
    <t xml:space="preserve">PS-3.06</t>
  </si>
  <si>
    <t xml:space="preserve">Tracing in Azure Monitor and App Insights</t>
  </si>
  <si>
    <t xml:space="preserve">Dashboards and traces</t>
  </si>
  <si>
    <t xml:space="preserve">PS-3.07</t>
  </si>
  <si>
    <t xml:space="preserve">Platform security assessment and penetration test (added)</t>
  </si>
  <si>
    <t xml:space="preserve">Pen-test report and closed findings</t>
  </si>
  <si>
    <t xml:space="preserve">PS-3.08</t>
  </si>
  <si>
    <t xml:space="preserve">Developer enablement and Foundry training (added)</t>
  </si>
  <si>
    <t xml:space="preserve">Training curriculum, labs, office hours</t>
  </si>
  <si>
    <t xml:space="preserve">AI Data Readiness: Enrich</t>
  </si>
  <si>
    <t xml:space="preserve">DR-3.01</t>
  </si>
  <si>
    <t xml:space="preserve">Knowledge graph: Cosmos DB Gremlin, GraphRAG</t>
  </si>
  <si>
    <t xml:space="preserve">Knowledge graph</t>
  </si>
  <si>
    <t xml:space="preserve">DR-3.02</t>
  </si>
  <si>
    <t xml:space="preserve">Entity extraction and relationship linking</t>
  </si>
  <si>
    <t xml:space="preserve">Entity extraction model</t>
  </si>
  <si>
    <t xml:space="preserve">DR-3.03</t>
  </si>
  <si>
    <t xml:space="preserve">Event Hubs streaming of plant telemetry</t>
  </si>
  <si>
    <t xml:space="preserve">Streaming pipeline</t>
  </si>
  <si>
    <t xml:space="preserve">DR-3.04</t>
  </si>
  <si>
    <t xml:space="preserve">Semantic memory indexes per domain</t>
  </si>
  <si>
    <t xml:space="preserve">Domain indexes</t>
  </si>
  <si>
    <t xml:space="preserve">DR-3.05</t>
  </si>
  <si>
    <t xml:space="preserve">Row and document-level security on indexes</t>
  </si>
  <si>
    <t xml:space="preserve">Security trimming on search</t>
  </si>
  <si>
    <t xml:space="preserve">DR-3.06</t>
  </si>
  <si>
    <t xml:space="preserve">Golden test sets for evaluation</t>
  </si>
  <si>
    <t xml:space="preserve">Golden datasets</t>
  </si>
  <si>
    <t xml:space="preserve">AI Use Cases: Expand</t>
  </si>
  <si>
    <t xml:space="preserve">UC-3.01</t>
  </si>
  <si>
    <t xml:space="preserve">Maintenance agent: AVEVA PI signals + work orders</t>
  </si>
  <si>
    <t xml:space="preserve">Maintenance agent</t>
  </si>
  <si>
    <t xml:space="preserve">UC-3.02</t>
  </si>
  <si>
    <t xml:space="preserve">Quality agent: defect and SPC triage</t>
  </si>
  <si>
    <t xml:space="preserve">Quality agent</t>
  </si>
  <si>
    <t xml:space="preserve">UC-3.03</t>
  </si>
  <si>
    <t xml:space="preserve">Supply agent: SAP / Coupa supply risk</t>
  </si>
  <si>
    <t xml:space="preserve">Supply agent</t>
  </si>
  <si>
    <t xml:space="preserve">UC-3.04</t>
  </si>
  <si>
    <t xml:space="preserve">Planner agent coordinating other agents</t>
  </si>
  <si>
    <t xml:space="preserve">Planner agent</t>
  </si>
  <si>
    <t xml:space="preserve">UC-3.05</t>
  </si>
  <si>
    <t xml:space="preserve">Plant Ops web and mobile apps</t>
  </si>
  <si>
    <t xml:space="preserve">Web and mobile apps</t>
  </si>
  <si>
    <t xml:space="preserve">UC-3.06</t>
  </si>
  <si>
    <t xml:space="preserve">Roll out to more plants</t>
  </si>
  <si>
    <t xml:space="preserve">Plant rollout</t>
  </si>
  <si>
    <t xml:space="preserve">UC-3.07</t>
  </si>
  <si>
    <t xml:space="preserve">Program Management: Scale</t>
  </si>
  <si>
    <t xml:space="preserve">PM-3.01</t>
  </si>
  <si>
    <t xml:space="preserve">Phase 3 total</t>
  </si>
  <si>
    <t xml:space="preserve">Phase 4: tasks and hours for each item (Optimize / Sustain / Industrialize)</t>
  </si>
  <si>
    <t xml:space="preserve">AI Platform Setup: Optimize</t>
  </si>
  <si>
    <t xml:space="preserve">PS-4.01</t>
  </si>
  <si>
    <t xml:space="preserve">Evaluation: AI eval SDK, RAGAS, hallucination checks</t>
  </si>
  <si>
    <t xml:space="preserve">Evaluation suite and quality gates</t>
  </si>
  <si>
    <t xml:space="preserve">PS-4.02</t>
  </si>
  <si>
    <t xml:space="preserve">Token usage tracking and budgets per agent</t>
  </si>
  <si>
    <t xml:space="preserve">Usage dashboard and alerts</t>
  </si>
  <si>
    <t xml:space="preserve">PS-4.03</t>
  </si>
  <si>
    <t xml:space="preserve">A/B testing of prompts and models</t>
  </si>
  <si>
    <t xml:space="preserve">A/B testing framework</t>
  </si>
  <si>
    <t xml:space="preserve">PS-4.04</t>
  </si>
  <si>
    <t xml:space="preserve">Backup, DR, point-in-time recovery</t>
  </si>
  <si>
    <t xml:space="preserve">DR plan with tested restore</t>
  </si>
  <si>
    <t xml:space="preserve">PS-4.05</t>
  </si>
  <si>
    <t xml:space="preserve">SLO alerting to Teams / PagerDuty</t>
  </si>
  <si>
    <t xml:space="preserve">Alert rules and runbooks</t>
  </si>
  <si>
    <t xml:space="preserve">PS-4.06</t>
  </si>
  <si>
    <t xml:space="preserve">On-prem MES gateway, plant to cloud</t>
  </si>
  <si>
    <t xml:space="preserve">Plant connectivity gateway</t>
  </si>
  <si>
    <t xml:space="preserve">PS-4.07</t>
  </si>
  <si>
    <t xml:space="preserve">Run handover: SRE, ServiceNow and support model (added)</t>
  </si>
  <si>
    <t xml:space="preserve">Support model, ITSM integration, runbooks</t>
  </si>
  <si>
    <t xml:space="preserve">AI Data Readiness: Sustain</t>
  </si>
  <si>
    <t xml:space="preserve">DR-4.01</t>
  </si>
  <si>
    <t xml:space="preserve">Automated re-indexing and freshness checks</t>
  </si>
  <si>
    <t xml:space="preserve">Scheduled refresh jobs</t>
  </si>
  <si>
    <t xml:space="preserve">DR-4.02</t>
  </si>
  <si>
    <t xml:space="preserve">End-to-end lineage in Purview</t>
  </si>
  <si>
    <t xml:space="preserve">Lineage maps</t>
  </si>
  <si>
    <t xml:space="preserve">DR-4.03</t>
  </si>
  <si>
    <t xml:space="preserve">Retention and archive policies</t>
  </si>
  <si>
    <t xml:space="preserve">Retention policies applied</t>
  </si>
  <si>
    <t xml:space="preserve">DR-4.04</t>
  </si>
  <si>
    <t xml:space="preserve">Search index and storage backups</t>
  </si>
  <si>
    <t xml:space="preserve">Backup jobs</t>
  </si>
  <si>
    <t xml:space="preserve">DR-4.05</t>
  </si>
  <si>
    <t xml:space="preserve">Data drift monitoring</t>
  </si>
  <si>
    <t xml:space="preserve">Drift monitors</t>
  </si>
  <si>
    <t xml:space="preserve">DR-4.06</t>
  </si>
  <si>
    <t xml:space="preserve">Onboard new plants and regions</t>
  </si>
  <si>
    <t xml:space="preserve">Plant onboarding kit</t>
  </si>
  <si>
    <t xml:space="preserve">AI Use Cases: Industrialize</t>
  </si>
  <si>
    <t xml:space="preserve">UC-4.01</t>
  </si>
  <si>
    <t xml:space="preserve">Sustainability agent: energy and carbon reporting</t>
  </si>
  <si>
    <t xml:space="preserve">Sustainability agent</t>
  </si>
  <si>
    <t xml:space="preserve">UC-4.02</t>
  </si>
  <si>
    <t xml:space="preserve">Partner APIs for customers and suppliers</t>
  </si>
  <si>
    <t xml:space="preserve">Partner API products</t>
  </si>
  <si>
    <t xml:space="preserve">UC-4.03</t>
  </si>
  <si>
    <t xml:space="preserve">Approved write-back actions into SAP</t>
  </si>
  <si>
    <t xml:space="preserve">SAP write-back actions</t>
  </si>
  <si>
    <t xml:space="preserve">UC-4.04</t>
  </si>
  <si>
    <t xml:space="preserve">Reusable agent templates</t>
  </si>
  <si>
    <t xml:space="preserve">Agent template library</t>
  </si>
  <si>
    <t xml:space="preserve">UC-4.05</t>
  </si>
  <si>
    <t xml:space="preserve">Adoption tracking and change management</t>
  </si>
  <si>
    <t xml:space="preserve">Adoption dashboard and training</t>
  </si>
  <si>
    <t xml:space="preserve">UC-4.06</t>
  </si>
  <si>
    <t xml:space="preserve">Retire or refresh low-value agents</t>
  </si>
  <si>
    <t xml:space="preserve">Agent portfolio review</t>
  </si>
  <si>
    <t xml:space="preserve">UC-4.07</t>
  </si>
  <si>
    <t xml:space="preserve">Program Management: Hand-over</t>
  </si>
  <si>
    <t xml:space="preserve">PM-4.01</t>
  </si>
  <si>
    <t xml:space="preserve">Phase 4 total</t>
  </si>
  <si>
    <t xml:space="preserve">Activity hours by resource (rolled up from Task Breakdown)</t>
  </si>
  <si>
    <t xml:space="preserve">Every hour figure here is a formula over the Task Breakdown sheet.</t>
  </si>
  <si>
    <t xml:space="preserve">Phase</t>
  </si>
  <si>
    <t xml:space="preserve">Phase name</t>
  </si>
  <si>
    <t xml:space="preserve">Activity</t>
  </si>
  <si>
    <t xml:space="preserve">Tasks</t>
  </si>
  <si>
    <t xml:space="preserve">Foundation</t>
  </si>
  <si>
    <t xml:space="preserve">Core AI build</t>
  </si>
  <si>
    <t xml:space="preserve">Scale</t>
  </si>
  <si>
    <t xml:space="preserve">Optimize</t>
  </si>
  <si>
    <t xml:space="preserve">Assess</t>
  </si>
  <si>
    <t xml:space="preserve">Prepare</t>
  </si>
  <si>
    <t xml:space="preserve">Enrich</t>
  </si>
  <si>
    <t xml:space="preserve">Sustain</t>
  </si>
  <si>
    <t xml:space="preserve">Discover</t>
  </si>
  <si>
    <t xml:space="preserve">Pilot</t>
  </si>
  <si>
    <t xml:space="preserve">Expand</t>
  </si>
  <si>
    <t xml:space="preserve">Industrialize</t>
  </si>
  <si>
    <t xml:space="preserve">Mobilize</t>
  </si>
  <si>
    <t xml:space="preserve">Build</t>
  </si>
  <si>
    <t xml:space="preserve">Hand-over</t>
  </si>
  <si>
    <t xml:space="preserve">Task breakdown: every implementation task with hours by role</t>
  </si>
  <si>
    <t xml:space="preserve">Hours in blue on yellow are the planning inputs for the whole workbook. Edit them here; Activity Hours, the phase sheets and the Summary all recalculate.</t>
  </si>
  <si>
    <t xml:space="preserve">Task ID</t>
  </si>
  <si>
    <t xml:space="preserve">Activity ID</t>
  </si>
  <si>
    <t xml:space="preserve">Task</t>
  </si>
  <si>
    <t xml:space="preserve">PS-1.01.01</t>
  </si>
  <si>
    <t xml:space="preserve">Define management-group and subscription hierarchy (prod, non-prod, sandbox)</t>
  </si>
  <si>
    <t xml:space="preserve">PS-1.01.02</t>
  </si>
  <si>
    <t xml:space="preserve">Design hub-and-spoke network, IP address plan and DNS</t>
  </si>
  <si>
    <t xml:space="preserve">PS-1.01.03</t>
  </si>
  <si>
    <t xml:space="preserve">Deploy hub VNet, Azure Firewall and spoke VNets</t>
  </si>
  <si>
    <t xml:space="preserve">PS-1.01.04</t>
  </si>
  <si>
    <t xml:space="preserve">Set up ExpressRoute / VPN to Ball data centers and plants</t>
  </si>
  <si>
    <t xml:space="preserve">PS-1.01.05</t>
  </si>
  <si>
    <t xml:space="preserve">Configure private endpoints and private DNS zones for PaaS services</t>
  </si>
  <si>
    <t xml:space="preserve">PS-1.01.06</t>
  </si>
  <si>
    <t xml:space="preserve">Apply Azure Policy baseline (allowed regions, tagging, no public IPs)</t>
  </si>
  <si>
    <t xml:space="preserve">PS-1.01.07</t>
  </si>
  <si>
    <t xml:space="preserve">Enable Defender for Cloud and diagnostic settings</t>
  </si>
  <si>
    <t xml:space="preserve">PS-1.01.08</t>
  </si>
  <si>
    <t xml:space="preserve">Validate connectivity and policy compliance</t>
  </si>
  <si>
    <t xml:space="preserve">PS-1.01.09</t>
  </si>
  <si>
    <t xml:space="preserve">Detailed design and design review</t>
  </si>
  <si>
    <t xml:space="preserve">PS-1.01.10</t>
  </si>
  <si>
    <t xml:space="preserve">Promote through dev / test / prod and release</t>
  </si>
  <si>
    <t xml:space="preserve">PS-1.01.11</t>
  </si>
  <si>
    <t xml:space="preserve">Documentation, runbook and knowledge transfer</t>
  </si>
  <si>
    <t xml:space="preserve">PS-1.01.12</t>
  </si>
  <si>
    <t xml:space="preserve">Defect fixing and rework after testing</t>
  </si>
  <si>
    <t xml:space="preserve">PS-1.02.01</t>
  </si>
  <si>
    <t xml:space="preserve">Register enterprise apps and app registrations for platform services</t>
  </si>
  <si>
    <t xml:space="preserve">PS-1.02.02</t>
  </si>
  <si>
    <t xml:space="preserve">Configure SSO (OIDC / SAML) for web, mobile and Teams clients</t>
  </si>
  <si>
    <t xml:space="preserve">PS-1.02.03</t>
  </si>
  <si>
    <t xml:space="preserve">Enforce MFA and create conditional access policies (device, location, risk)</t>
  </si>
  <si>
    <t xml:space="preserve">PS-1.02.04</t>
  </si>
  <si>
    <t xml:space="preserve">Set up PIM for privileged roles with approval and time limits</t>
  </si>
  <si>
    <t xml:space="preserve">PS-1.02.05</t>
  </si>
  <si>
    <t xml:space="preserve">Create managed identities for services and agents</t>
  </si>
  <si>
    <t xml:space="preserve">PS-1.02.06</t>
  </si>
  <si>
    <t xml:space="preserve">Test sign-in flows and break-glass accounts</t>
  </si>
  <si>
    <t xml:space="preserve">PS-1.02.07</t>
  </si>
  <si>
    <t xml:space="preserve">PS-1.02.08</t>
  </si>
  <si>
    <t xml:space="preserve">PS-1.03.01</t>
  </si>
  <si>
    <t xml:space="preserve">Gather personas and access needs (plant ops, engineers, analysts, admins)</t>
  </si>
  <si>
    <t xml:space="preserve">PS-1.03.02</t>
  </si>
  <si>
    <t xml:space="preserve">Design role model and permission matrix (RBAC + ABAC attributes: plant, region, function)</t>
  </si>
  <si>
    <t xml:space="preserve">PS-1.03.03</t>
  </si>
  <si>
    <t xml:space="preserve">Create Entra security groups and custom Azure roles</t>
  </si>
  <si>
    <t xml:space="preserve">PS-1.03.04</t>
  </si>
  <si>
    <t xml:space="preserve">Map agent and tool permissions to roles</t>
  </si>
  <si>
    <t xml:space="preserve">PS-1.03.05</t>
  </si>
  <si>
    <t xml:space="preserve">Document access request and periodic access review process</t>
  </si>
  <si>
    <t xml:space="preserve">PS-1.03.06</t>
  </si>
  <si>
    <t xml:space="preserve">PS-1.03.07</t>
  </si>
  <si>
    <t xml:space="preserve">PS-1.04.01</t>
  </si>
  <si>
    <t xml:space="preserve">Deploy Key Vaults per environment with private endpoints</t>
  </si>
  <si>
    <t xml:space="preserve">PS-1.04.02</t>
  </si>
  <si>
    <t xml:space="preserve">Define secret, key and certificate naming and rotation policy</t>
  </si>
  <si>
    <t xml:space="preserve">PS-1.04.03</t>
  </si>
  <si>
    <t xml:space="preserve">Enable TDE with customer-managed keys on SQL, PostgreSQL and Storage</t>
  </si>
  <si>
    <t xml:space="preserve">PS-1.04.04</t>
  </si>
  <si>
    <t xml:space="preserve">Enforce TLS 1.2+ and manage certificates for custom domains</t>
  </si>
  <si>
    <t xml:space="preserve">PS-1.04.05</t>
  </si>
  <si>
    <t xml:space="preserve">Configure vault RBAC and audit logging</t>
  </si>
  <si>
    <t xml:space="preserve">PS-1.04.06</t>
  </si>
  <si>
    <t xml:space="preserve">PS-1.04.07</t>
  </si>
  <si>
    <t xml:space="preserve">PS-1.05.01</t>
  </si>
  <si>
    <t xml:space="preserve">Design gateway topology (Front Door to APIM to backends)</t>
  </si>
  <si>
    <t xml:space="preserve">PS-1.05.02</t>
  </si>
  <si>
    <t xml:space="preserve">Deploy Front Door with WAF policy</t>
  </si>
  <si>
    <t xml:space="preserve">PS-1.05.03</t>
  </si>
  <si>
    <t xml:space="preserve">Deploy APIM in internal VNet mode with custom domains</t>
  </si>
  <si>
    <t xml:space="preserve">PS-1.05.04</t>
  </si>
  <si>
    <t xml:space="preserve">Configure products, subscriptions and JWT validation policy</t>
  </si>
  <si>
    <t xml:space="preserve">PS-1.05.05</t>
  </si>
  <si>
    <t xml:space="preserve">Configure rate limiting, quotas, routing and request validation policies</t>
  </si>
  <si>
    <t xml:space="preserve">PS-1.05.06</t>
  </si>
  <si>
    <t xml:space="preserve">Test routing, throttling and authentication failure paths</t>
  </si>
  <si>
    <t xml:space="preserve">PS-1.05.07</t>
  </si>
  <si>
    <t xml:space="preserve">PS-1.05.08</t>
  </si>
  <si>
    <t xml:space="preserve">PS-1.05.09</t>
  </si>
  <si>
    <t xml:space="preserve">PS-1.05.10</t>
  </si>
  <si>
    <t xml:space="preserve">PS-1.06.01</t>
  </si>
  <si>
    <t xml:space="preserve">Choose IaC standard, repository structure and module conventions</t>
  </si>
  <si>
    <t xml:space="preserve">PS-1.06.02</t>
  </si>
  <si>
    <t xml:space="preserve">Set up remote state, environments and workload identity for pipelines</t>
  </si>
  <si>
    <t xml:space="preserve">PS-1.06.03</t>
  </si>
  <si>
    <t xml:space="preserve">Build reusable modules: network, storage, Key Vault, APIM, AKS, AI services</t>
  </si>
  <si>
    <t xml:space="preserve">PS-1.06.04</t>
  </si>
  <si>
    <t xml:space="preserve">Build GitHub Actions pipelines: plan, approval gates, apply</t>
  </si>
  <si>
    <t xml:space="preserve">PS-1.06.05</t>
  </si>
  <si>
    <t xml:space="preserve">Add policy-as-code and security scanning (tfsec / Checkov)</t>
  </si>
  <si>
    <t xml:space="preserve">PS-1.06.06</t>
  </si>
  <si>
    <t xml:space="preserve">Build application CI/CD templates (build, test, container push, deploy)</t>
  </si>
  <si>
    <t xml:space="preserve">PS-1.06.07</t>
  </si>
  <si>
    <t xml:space="preserve">Test pipelines end to end in non-prod</t>
  </si>
  <si>
    <t xml:space="preserve">PS-1.06.08</t>
  </si>
  <si>
    <t xml:space="preserve">PS-1.06.09</t>
  </si>
  <si>
    <t xml:space="preserve">PS-1.06.10</t>
  </si>
  <si>
    <t xml:space="preserve">PS-1.06.11</t>
  </si>
  <si>
    <t xml:space="preserve">PS-1.07.01</t>
  </si>
  <si>
    <t xml:space="preserve">Decide hosting model per workload (AKS, Container Apps, Functions)</t>
  </si>
  <si>
    <t xml:space="preserve">PS-1.07.02</t>
  </si>
  <si>
    <t xml:space="preserve">Deploy Azure Container Registry with private endpoint and image scanning</t>
  </si>
  <si>
    <t xml:space="preserve">PS-1.07.03</t>
  </si>
  <si>
    <t xml:space="preserve">Deploy AKS cluster: node pools, autoscaling, workload identity</t>
  </si>
  <si>
    <t xml:space="preserve">PS-1.07.04</t>
  </si>
  <si>
    <t xml:space="preserve">Install ingress controller, cert-manager and Key Vault CSI driver</t>
  </si>
  <si>
    <t xml:space="preserve">PS-1.07.05</t>
  </si>
  <si>
    <t xml:space="preserve">Deploy Container Apps environment inside the VNet</t>
  </si>
  <si>
    <t xml:space="preserve">PS-1.07.06</t>
  </si>
  <si>
    <t xml:space="preserve">Apply pod security, network policies and Defender for Containers</t>
  </si>
  <si>
    <t xml:space="preserve">PS-1.07.07</t>
  </si>
  <si>
    <t xml:space="preserve">Set up GPU node pool for self-hosted models</t>
  </si>
  <si>
    <t xml:space="preserve">PS-1.07.08</t>
  </si>
  <si>
    <t xml:space="preserve">PS-1.07.09</t>
  </si>
  <si>
    <t xml:space="preserve">PS-1.07.10</t>
  </si>
  <si>
    <t xml:space="preserve">PS-1.07.11</t>
  </si>
  <si>
    <t xml:space="preserve">PS-2.01.01</t>
  </si>
  <si>
    <t xml:space="preserve">Design Foundry hub and project structure per domain and environment</t>
  </si>
  <si>
    <t xml:space="preserve">PS-2.01.02</t>
  </si>
  <si>
    <t xml:space="preserve">Deploy Foundry hub with managed VNet and private endpoints</t>
  </si>
  <si>
    <t xml:space="preserve">PS-2.01.03</t>
  </si>
  <si>
    <t xml:space="preserve">Create projects and connect AI Search, Storage, Key Vault, App Insights</t>
  </si>
  <si>
    <t xml:space="preserve">PS-2.01.04</t>
  </si>
  <si>
    <t xml:space="preserve">Deploy base chat and embedding models with capacity / PTU plan</t>
  </si>
  <si>
    <t xml:space="preserve">PS-2.01.05</t>
  </si>
  <si>
    <t xml:space="preserve">Set up project RBAC and developer access</t>
  </si>
  <si>
    <t xml:space="preserve">PS-2.01.06</t>
  </si>
  <si>
    <t xml:space="preserve">Smoke-test model endpoints from the SDK</t>
  </si>
  <si>
    <t xml:space="preserve">PS-2.01.07</t>
  </si>
  <si>
    <t xml:space="preserve">PS-2.01.08</t>
  </si>
  <si>
    <t xml:space="preserve">PS-2.01.09</t>
  </si>
  <si>
    <t xml:space="preserve">PS-2.01.10</t>
  </si>
  <si>
    <t xml:space="preserve">PS-2.02.01</t>
  </si>
  <si>
    <t xml:space="preserve">Define model routing policy (task type, cost, latency, fallback)</t>
  </si>
  <si>
    <t xml:space="preserve">PS-2.02.02</t>
  </si>
  <si>
    <t xml:space="preserve">Configure APIM AI gateway backends: Azure OpenAI, Anthropic, Gemini, self-hosted</t>
  </si>
  <si>
    <t xml:space="preserve">PS-2.02.03</t>
  </si>
  <si>
    <t xml:space="preserve">Implement token-based rate limits and quotas per team and agent</t>
  </si>
  <si>
    <t xml:space="preserve">PS-2.02.04</t>
  </si>
  <si>
    <t xml:space="preserve">Implement retry and fallback across regions and models</t>
  </si>
  <si>
    <t xml:space="preserve">PS-2.02.05</t>
  </si>
  <si>
    <t xml:space="preserve">Deploy self-hosted model (vLLM on AKS) behind the gateway</t>
  </si>
  <si>
    <t xml:space="preserve">PS-2.02.06</t>
  </si>
  <si>
    <t xml:space="preserve">Emit token metrics and log prompts / responses securely</t>
  </si>
  <si>
    <t xml:space="preserve">PS-2.02.07</t>
  </si>
  <si>
    <t xml:space="preserve">Use managed identity for model access (no keys in apps)</t>
  </si>
  <si>
    <t xml:space="preserve">PS-2.02.08</t>
  </si>
  <si>
    <t xml:space="preserve">Load and failover testing</t>
  </si>
  <si>
    <t xml:space="preserve">PS-2.02.09</t>
  </si>
  <si>
    <t xml:space="preserve">PS-2.02.10</t>
  </si>
  <si>
    <t xml:space="preserve">PS-2.02.11</t>
  </si>
  <si>
    <t xml:space="preserve">PS-2.02.12</t>
  </si>
  <si>
    <t xml:space="preserve">PS-2.03.01</t>
  </si>
  <si>
    <t xml:space="preserve">Evaluate and select orchestration options (Foundry Agent Service, Semantic Kernel, LangGraph)</t>
  </si>
  <si>
    <t xml:space="preserve">PS-2.03.02</t>
  </si>
  <si>
    <t xml:space="preserve">Define agent design standards: tools, state, guardrails, handoff</t>
  </si>
  <si>
    <t xml:space="preserve">PS-2.03.03</t>
  </si>
  <si>
    <t xml:space="preserve">Build orchestration service skeleton (API, sessions, state store)</t>
  </si>
  <si>
    <t xml:space="preserve">PS-2.03.04</t>
  </si>
  <si>
    <t xml:space="preserve">Implement tool calling and agent-to-agent handoff</t>
  </si>
  <si>
    <t xml:space="preserve">PS-2.03.05</t>
  </si>
  <si>
    <t xml:space="preserve">Implement checkpoints, retries, timeouts and human-in-the-loop hooks</t>
  </si>
  <si>
    <t xml:space="preserve">PS-2.03.06</t>
  </si>
  <si>
    <t xml:space="preserve">Build a reference agent end to end</t>
  </si>
  <si>
    <t xml:space="preserve">PS-2.03.07</t>
  </si>
  <si>
    <t xml:space="preserve">Write developer guide and starter template</t>
  </si>
  <si>
    <t xml:space="preserve">PS-2.03.08</t>
  </si>
  <si>
    <t xml:space="preserve">Integration and failure-mode testing</t>
  </si>
  <si>
    <t xml:space="preserve">PS-2.03.09</t>
  </si>
  <si>
    <t xml:space="preserve">PS-2.03.10</t>
  </si>
  <si>
    <t xml:space="preserve">PS-2.03.11</t>
  </si>
  <si>
    <t xml:space="preserve">PS-2.03.12</t>
  </si>
  <si>
    <t xml:space="preserve">PS-2.04.01</t>
  </si>
  <si>
    <t xml:space="preserve">Design memory types and retention (working, conversation, long-term, episodic)</t>
  </si>
  <si>
    <t xml:space="preserve">PS-2.04.02</t>
  </si>
  <si>
    <t xml:space="preserve">Implement conversation memory store in Cosmos DB with TTL</t>
  </si>
  <si>
    <t xml:space="preserve">PS-2.04.03</t>
  </si>
  <si>
    <t xml:space="preserve">Implement working memory / session state in Redis</t>
  </si>
  <si>
    <t xml:space="preserve">PS-2.04.04</t>
  </si>
  <si>
    <t xml:space="preserve">Implement long-term semantic memory with embeddings</t>
  </si>
  <si>
    <t xml:space="preserve">PS-2.04.05</t>
  </si>
  <si>
    <t xml:space="preserve">Add summarization and memory pruning</t>
  </si>
  <si>
    <t xml:space="preserve">PS-2.04.06</t>
  </si>
  <si>
    <t xml:space="preserve">Add PII handling and per-user isolation</t>
  </si>
  <si>
    <t xml:space="preserve">PS-2.04.07</t>
  </si>
  <si>
    <t xml:space="preserve">Test recall quality and user isolation</t>
  </si>
  <si>
    <t xml:space="preserve">PS-2.04.08</t>
  </si>
  <si>
    <t xml:space="preserve">PS-2.04.09</t>
  </si>
  <si>
    <t xml:space="preserve">PS-2.04.10</t>
  </si>
  <si>
    <t xml:space="preserve">PS-2.04.11</t>
  </si>
  <si>
    <t xml:space="preserve">PS-2.05.01</t>
  </si>
  <si>
    <t xml:space="preserve">Define prompt template standards and metadata</t>
  </si>
  <si>
    <t xml:space="preserve">PS-2.05.02</t>
  </si>
  <si>
    <t xml:space="preserve">Set up prompt repository with versioning and approvals</t>
  </si>
  <si>
    <t xml:space="preserve">PS-2.05.03</t>
  </si>
  <si>
    <t xml:space="preserve">Build system-prompt and guardrail templates for each agent type</t>
  </si>
  <si>
    <t xml:space="preserve">PS-2.05.04</t>
  </si>
  <si>
    <t xml:space="preserve">Wire prompt versions into the deployment pipeline</t>
  </si>
  <si>
    <t xml:space="preserve">PS-2.05.05</t>
  </si>
  <si>
    <t xml:space="preserve">Regression-test prompts against a sample set</t>
  </si>
  <si>
    <t xml:space="preserve">PS-2.05.06</t>
  </si>
  <si>
    <t xml:space="preserve">PS-2.05.07</t>
  </si>
  <si>
    <t xml:space="preserve">PS-2.05.08</t>
  </si>
  <si>
    <t xml:space="preserve">PS-2.05.09</t>
  </si>
  <si>
    <t xml:space="preserve">PS-2.06.01</t>
  </si>
  <si>
    <t xml:space="preserve">Define safety policy and severity thresholds</t>
  </si>
  <si>
    <t xml:space="preserve">PS-2.06.02</t>
  </si>
  <si>
    <t xml:space="preserve">Enable Azure AI Content Safety filters per model deployment</t>
  </si>
  <si>
    <t xml:space="preserve">PS-2.06.03</t>
  </si>
  <si>
    <t xml:space="preserve">Enable Prompt Shields for jailbreak and indirect injection</t>
  </si>
  <si>
    <t xml:space="preserve">PS-2.06.04</t>
  </si>
  <si>
    <t xml:space="preserve">Add PII detection and redaction on inputs and outputs</t>
  </si>
  <si>
    <t xml:space="preserve">PS-2.06.05</t>
  </si>
  <si>
    <t xml:space="preserve">Set up blocklists and safety incident logging</t>
  </si>
  <si>
    <t xml:space="preserve">PS-2.06.06</t>
  </si>
  <si>
    <t xml:space="preserve">Red-team testing</t>
  </si>
  <si>
    <t xml:space="preserve">PS-2.06.07</t>
  </si>
  <si>
    <t xml:space="preserve">PS-2.06.08</t>
  </si>
  <si>
    <t xml:space="preserve">PS-2.06.09</t>
  </si>
  <si>
    <t xml:space="preserve">PS-2.06.10</t>
  </si>
  <si>
    <t xml:space="preserve">PS-3.01.01</t>
  </si>
  <si>
    <t xml:space="preserve">Design cache strategy and TTLs (semantic, embedding, response)</t>
  </si>
  <si>
    <t xml:space="preserve">PS-3.01.02</t>
  </si>
  <si>
    <t xml:space="preserve">Deploy Azure Cache for Redis with private endpoint</t>
  </si>
  <si>
    <t xml:space="preserve">PS-3.01.03</t>
  </si>
  <si>
    <t xml:space="preserve">Implement semantic cache in the AI gateway</t>
  </si>
  <si>
    <t xml:space="preserve">PS-3.01.04</t>
  </si>
  <si>
    <t xml:space="preserve">Implement embedding cache in the ingestion pipeline</t>
  </si>
  <si>
    <t xml:space="preserve">PS-3.01.05</t>
  </si>
  <si>
    <t xml:space="preserve">Add cache metrics and invalidation</t>
  </si>
  <si>
    <t xml:space="preserve">PS-3.01.06</t>
  </si>
  <si>
    <t xml:space="preserve">Measure hit rate and answer correctness</t>
  </si>
  <si>
    <t xml:space="preserve">PS-3.01.07</t>
  </si>
  <si>
    <t xml:space="preserve">PS-3.01.08</t>
  </si>
  <si>
    <t xml:space="preserve">PS-3.01.09</t>
  </si>
  <si>
    <t xml:space="preserve">PS-3.01.10</t>
  </si>
  <si>
    <t xml:space="preserve">PS-3.02.01</t>
  </si>
  <si>
    <t xml:space="preserve">Design event model, topics and queues</t>
  </si>
  <si>
    <t xml:space="preserve">PS-3.02.02</t>
  </si>
  <si>
    <t xml:space="preserve">Deploy Service Bus namespaces, topics and dead-letter queues</t>
  </si>
  <si>
    <t xml:space="preserve">PS-3.02.03</t>
  </si>
  <si>
    <t xml:space="preserve">Deploy Event Grid topics and subscriptions</t>
  </si>
  <si>
    <t xml:space="preserve">PS-3.02.04</t>
  </si>
  <si>
    <t xml:space="preserve">Build Durable Functions for long-running agent workflows</t>
  </si>
  <si>
    <t xml:space="preserve">PS-3.02.05</t>
  </si>
  <si>
    <t xml:space="preserve">Build Logic Apps for notifications and approvals</t>
  </si>
  <si>
    <t xml:space="preserve">PS-3.02.06</t>
  </si>
  <si>
    <t xml:space="preserve">Set up monitoring and dead-letter alerting</t>
  </si>
  <si>
    <t xml:space="preserve">PS-3.02.07</t>
  </si>
  <si>
    <t xml:space="preserve">Test retries, ordering and poison-message handling</t>
  </si>
  <si>
    <t xml:space="preserve">PS-3.02.08</t>
  </si>
  <si>
    <t xml:space="preserve">PS-3.02.09</t>
  </si>
  <si>
    <t xml:space="preserve">PS-3.02.10</t>
  </si>
  <si>
    <t xml:space="preserve">PS-3.02.11</t>
  </si>
  <si>
    <t xml:space="preserve">PS-3.03.01</t>
  </si>
  <si>
    <t xml:space="preserve">Define MCP server standards and tool contract</t>
  </si>
  <si>
    <t xml:space="preserve">PS-3.03.02</t>
  </si>
  <si>
    <t xml:space="preserve">Build tool registry (catalog, owners, versions)</t>
  </si>
  <si>
    <t xml:space="preserve">PS-3.03.03</t>
  </si>
  <si>
    <t xml:space="preserve">Build MCP servers: SAP S/4HANA, SharePoint, AVEVA PI, FactoryTalk MES, Coupa, Azure SQL</t>
  </si>
  <si>
    <t xml:space="preserve">PS-3.03.04</t>
  </si>
  <si>
    <t xml:space="preserve">Implement per-tool permissions and on-behalf-of authentication</t>
  </si>
  <si>
    <t xml:space="preserve">PS-3.03.05</t>
  </si>
  <si>
    <t xml:space="preserve">Register MCP servers behind APIM</t>
  </si>
  <si>
    <t xml:space="preserve">PS-3.03.06</t>
  </si>
  <si>
    <t xml:space="preserve">Threat-model tools (read vs write actions)</t>
  </si>
  <si>
    <t xml:space="preserve">PS-3.03.07</t>
  </si>
  <si>
    <t xml:space="preserve">Contract and permission testing</t>
  </si>
  <si>
    <t xml:space="preserve">PS-3.03.08</t>
  </si>
  <si>
    <t xml:space="preserve">PS-3.03.09</t>
  </si>
  <si>
    <t xml:space="preserve">PS-3.03.10</t>
  </si>
  <si>
    <t xml:space="preserve">PS-3.03.11</t>
  </si>
  <si>
    <t xml:space="preserve">PS-3.04.01</t>
  </si>
  <si>
    <t xml:space="preserve">Define approval points and escalation rules with the business</t>
  </si>
  <si>
    <t xml:space="preserve">PS-3.04.02</t>
  </si>
  <si>
    <t xml:space="preserve">Build approval request UI (Teams adaptive cards and web)</t>
  </si>
  <si>
    <t xml:space="preserve">PS-3.04.03</t>
  </si>
  <si>
    <t xml:space="preserve">Implement pause / resume in the orchestrator</t>
  </si>
  <si>
    <t xml:space="preserve">PS-3.04.04</t>
  </si>
  <si>
    <t xml:space="preserve">Build edit-and-feedback capture</t>
  </si>
  <si>
    <t xml:space="preserve">PS-3.04.05</t>
  </si>
  <si>
    <t xml:space="preserve">Build escalation and SLA timers</t>
  </si>
  <si>
    <t xml:space="preserve">PS-3.04.06</t>
  </si>
  <si>
    <t xml:space="preserve">Define audit trail of decisions</t>
  </si>
  <si>
    <t xml:space="preserve">PS-3.04.07</t>
  </si>
  <si>
    <t xml:space="preserve">Test approval and timeout scenarios</t>
  </si>
  <si>
    <t xml:space="preserve">PS-3.04.08</t>
  </si>
  <si>
    <t xml:space="preserve">PS-3.04.09</t>
  </si>
  <si>
    <t xml:space="preserve">PS-3.04.10</t>
  </si>
  <si>
    <t xml:space="preserve">PS-3.04.11</t>
  </si>
  <si>
    <t xml:space="preserve">PS-3.05.01</t>
  </si>
  <si>
    <t xml:space="preserve">Gather admin requirements and wireframes</t>
  </si>
  <si>
    <t xml:space="preserve">PS-3.05.02</t>
  </si>
  <si>
    <t xml:space="preserve">Build agent registry screens (create, version, enable / disable)</t>
  </si>
  <si>
    <t xml:space="preserve">PS-3.05.03</t>
  </si>
  <si>
    <t xml:space="preserve">Build user and role management screens</t>
  </si>
  <si>
    <t xml:space="preserve">PS-3.05.04</t>
  </si>
  <si>
    <t xml:space="preserve">Build policy, prompt and knowledge-base management screens</t>
  </si>
  <si>
    <t xml:space="preserve">PS-3.05.05</t>
  </si>
  <si>
    <t xml:space="preserve">Build logs, usage and chargeback views</t>
  </si>
  <si>
    <t xml:space="preserve">PS-3.05.06</t>
  </si>
  <si>
    <t xml:space="preserve">Security review</t>
  </si>
  <si>
    <t xml:space="preserve">PS-3.05.07</t>
  </si>
  <si>
    <t xml:space="preserve">UAT with administrators</t>
  </si>
  <si>
    <t xml:space="preserve">PS-3.05.08</t>
  </si>
  <si>
    <t xml:space="preserve">PS-3.05.09</t>
  </si>
  <si>
    <t xml:space="preserve">PS-3.05.10</t>
  </si>
  <si>
    <t xml:space="preserve">PS-3.05.11</t>
  </si>
  <si>
    <t xml:space="preserve">PS-3.06.01</t>
  </si>
  <si>
    <t xml:space="preserve">Instrument services with OpenTelemetry</t>
  </si>
  <si>
    <t xml:space="preserve">PS-3.06.02</t>
  </si>
  <si>
    <t xml:space="preserve">Enable Foundry tracing for agent runs</t>
  </si>
  <si>
    <t xml:space="preserve">PS-3.06.03</t>
  </si>
  <si>
    <t xml:space="preserve">Configure Log Analytics workspaces and retention</t>
  </si>
  <si>
    <t xml:space="preserve">PS-3.06.04</t>
  </si>
  <si>
    <t xml:space="preserve">Build dashboards: latency, errors, token use, agent steps</t>
  </si>
  <si>
    <t xml:space="preserve">PS-3.06.05</t>
  </si>
  <si>
    <t xml:space="preserve">Set up trace correlation across gateway, agents and tools</t>
  </si>
  <si>
    <t xml:space="preserve">PS-3.06.06</t>
  </si>
  <si>
    <t xml:space="preserve">PS-3.06.07</t>
  </si>
  <si>
    <t xml:space="preserve">PS-3.06.08</t>
  </si>
  <si>
    <t xml:space="preserve">PS-3.06.09</t>
  </si>
  <si>
    <t xml:space="preserve">PS-4.01.01</t>
  </si>
  <si>
    <t xml:space="preserve">Define evaluation metrics per use case (groundedness, relevance, correctness, safety)</t>
  </si>
  <si>
    <t xml:space="preserve">PS-4.01.02</t>
  </si>
  <si>
    <t xml:space="preserve">Set up Azure AI evaluation SDK and RAGAS pipeline</t>
  </si>
  <si>
    <t xml:space="preserve">PS-4.01.03</t>
  </si>
  <si>
    <t xml:space="preserve">Build hallucination and groundedness checks</t>
  </si>
  <si>
    <t xml:space="preserve">PS-4.01.04</t>
  </si>
  <si>
    <t xml:space="preserve">Add evaluation gate to CI/CD</t>
  </si>
  <si>
    <t xml:space="preserve">PS-4.01.05</t>
  </si>
  <si>
    <t xml:space="preserve">Run online evaluation on sampled production traffic</t>
  </si>
  <si>
    <t xml:space="preserve">PS-4.01.06</t>
  </si>
  <si>
    <t xml:space="preserve">Build evaluation dashboard</t>
  </si>
  <si>
    <t xml:space="preserve">PS-4.01.07</t>
  </si>
  <si>
    <t xml:space="preserve">Review results with the business</t>
  </si>
  <si>
    <t xml:space="preserve">PS-4.01.08</t>
  </si>
  <si>
    <t xml:space="preserve">PS-4.01.09</t>
  </si>
  <si>
    <t xml:space="preserve">PS-4.01.10</t>
  </si>
  <si>
    <t xml:space="preserve">PS-4.01.11</t>
  </si>
  <si>
    <t xml:space="preserve">PS-4.02.01</t>
  </si>
  <si>
    <t xml:space="preserve">Define cost-allocation tags (team, agent, use case)</t>
  </si>
  <si>
    <t xml:space="preserve">PS-4.02.02</t>
  </si>
  <si>
    <t xml:space="preserve">Capture token metrics per call from the gateway</t>
  </si>
  <si>
    <t xml:space="preserve">PS-4.02.03</t>
  </si>
  <si>
    <t xml:space="preserve">Build usage and chargeback dashboard</t>
  </si>
  <si>
    <t xml:space="preserve">PS-4.02.04</t>
  </si>
  <si>
    <t xml:space="preserve">Configure budgets and alerts per agent</t>
  </si>
  <si>
    <t xml:space="preserve">PS-4.02.05</t>
  </si>
  <si>
    <t xml:space="preserve">Set up monthly usage review</t>
  </si>
  <si>
    <t xml:space="preserve">PS-4.02.06</t>
  </si>
  <si>
    <t xml:space="preserve">PS-4.02.07</t>
  </si>
  <si>
    <t xml:space="preserve">PS-4.02.08</t>
  </si>
  <si>
    <t xml:space="preserve">PS-4.02.09</t>
  </si>
  <si>
    <t xml:space="preserve">PS-4.03.01</t>
  </si>
  <si>
    <t xml:space="preserve">Design experiment framework (traffic split, success metrics)</t>
  </si>
  <si>
    <t xml:space="preserve">PS-4.03.02</t>
  </si>
  <si>
    <t xml:space="preserve">Implement traffic splitting in gateway / orchestrator</t>
  </si>
  <si>
    <t xml:space="preserve">PS-4.03.03</t>
  </si>
  <si>
    <t xml:space="preserve">Build experiment results analysis</t>
  </si>
  <si>
    <t xml:space="preserve">PS-4.03.04</t>
  </si>
  <si>
    <t xml:space="preserve">Build experiment admin screen</t>
  </si>
  <si>
    <t xml:space="preserve">PS-4.03.05</t>
  </si>
  <si>
    <t xml:space="preserve">Run first prompt / model experiment</t>
  </si>
  <si>
    <t xml:space="preserve">PS-4.03.06</t>
  </si>
  <si>
    <t xml:space="preserve">PS-4.03.07</t>
  </si>
  <si>
    <t xml:space="preserve">PS-4.03.08</t>
  </si>
  <si>
    <t xml:space="preserve">PS-4.03.09</t>
  </si>
  <si>
    <t xml:space="preserve">PS-4.04.01</t>
  </si>
  <si>
    <t xml:space="preserve">Define RPO / RTO per component</t>
  </si>
  <si>
    <t xml:space="preserve">PS-4.04.02</t>
  </si>
  <si>
    <t xml:space="preserve">Configure database backups and point-in-time restore</t>
  </si>
  <si>
    <t xml:space="preserve">PS-4.04.03</t>
  </si>
  <si>
    <t xml:space="preserve">Configure storage geo-redundancy and soft delete</t>
  </si>
  <si>
    <t xml:space="preserve">PS-4.04.04</t>
  </si>
  <si>
    <t xml:space="preserve">Back up AI Search indexes and configuration as code</t>
  </si>
  <si>
    <t xml:space="preserve">PS-4.04.05</t>
  </si>
  <si>
    <t xml:space="preserve">Plan secondary-region deployment</t>
  </si>
  <si>
    <t xml:space="preserve">PS-4.04.06</t>
  </si>
  <si>
    <t xml:space="preserve">Write DR runbook</t>
  </si>
  <si>
    <t xml:space="preserve">PS-4.04.07</t>
  </si>
  <si>
    <t xml:space="preserve">Run DR drill</t>
  </si>
  <si>
    <t xml:space="preserve">PS-4.04.08</t>
  </si>
  <si>
    <t xml:space="preserve">PS-4.04.09</t>
  </si>
  <si>
    <t xml:space="preserve">PS-4.04.10</t>
  </si>
  <si>
    <t xml:space="preserve">PS-4.04.11</t>
  </si>
  <si>
    <t xml:space="preserve">PS-4.05.01</t>
  </si>
  <si>
    <t xml:space="preserve">Define SLOs and SLIs per service</t>
  </si>
  <si>
    <t xml:space="preserve">PS-4.05.02</t>
  </si>
  <si>
    <t xml:space="preserve">Create alert rules and action groups</t>
  </si>
  <si>
    <t xml:space="preserve">PS-4.05.03</t>
  </si>
  <si>
    <t xml:space="preserve">Integrate alerts with Teams / PagerDuty</t>
  </si>
  <si>
    <t xml:space="preserve">PS-4.05.04</t>
  </si>
  <si>
    <t xml:space="preserve">Write on-call runbooks</t>
  </si>
  <si>
    <t xml:space="preserve">PS-4.05.05</t>
  </si>
  <si>
    <t xml:space="preserve">Set up security alerting from Defender / Sentinel</t>
  </si>
  <si>
    <t xml:space="preserve">PS-4.05.06</t>
  </si>
  <si>
    <t xml:space="preserve">PS-4.05.07</t>
  </si>
  <si>
    <t xml:space="preserve">PS-4.05.08</t>
  </si>
  <si>
    <t xml:space="preserve">PS-4.05.09</t>
  </si>
  <si>
    <t xml:space="preserve">PS-4.06.01</t>
  </si>
  <si>
    <t xml:space="preserve">Assess plant network zones (ISA-95 / Purdue) and OT security rules</t>
  </si>
  <si>
    <t xml:space="preserve">PS-4.06.02</t>
  </si>
  <si>
    <t xml:space="preserve">Design plant-to-cloud pattern (Azure Arc, IoT Edge, self-hosted gateway)</t>
  </si>
  <si>
    <t xml:space="preserve">PS-4.06.03</t>
  </si>
  <si>
    <t xml:space="preserve">Deploy edge gateway at the pilot plant</t>
  </si>
  <si>
    <t xml:space="preserve">PS-4.06.04</t>
  </si>
  <si>
    <t xml:space="preserve">Configure outbound-only secure connectivity and certificates</t>
  </si>
  <si>
    <t xml:space="preserve">PS-4.06.05</t>
  </si>
  <si>
    <t xml:space="preserve">Connect MES and AVEVA PI data feeds</t>
  </si>
  <si>
    <t xml:space="preserve">PS-4.06.06</t>
  </si>
  <si>
    <t xml:space="preserve">OT security review</t>
  </si>
  <si>
    <t xml:space="preserve">PS-4.06.07</t>
  </si>
  <si>
    <t xml:space="preserve">Failover and latency testing</t>
  </si>
  <si>
    <t xml:space="preserve">PS-4.06.08</t>
  </si>
  <si>
    <t xml:space="preserve">PS-4.06.09</t>
  </si>
  <si>
    <t xml:space="preserve">PS-4.06.10</t>
  </si>
  <si>
    <t xml:space="preserve">PS-4.06.11</t>
  </si>
  <si>
    <t xml:space="preserve">DR-1.01.01</t>
  </si>
  <si>
    <t xml:space="preserve">Run workshops with SAP, MES, AVEVA PI, SharePoint and Coupa owners</t>
  </si>
  <si>
    <t xml:space="preserve">DR-1.01.02</t>
  </si>
  <si>
    <t xml:space="preserve">Document systems, tables, volumes, refresh rates and access methods</t>
  </si>
  <si>
    <t xml:space="preserve">DR-1.01.03</t>
  </si>
  <si>
    <t xml:space="preserve">Identify document repositories (specs, SOPs, quality records)</t>
  </si>
  <si>
    <t xml:space="preserve">DR-1.01.04</t>
  </si>
  <si>
    <t xml:space="preserve">Build the data source register</t>
  </si>
  <si>
    <t xml:space="preserve">DR-1.01.05</t>
  </si>
  <si>
    <t xml:space="preserve">DR-1.01.06</t>
  </si>
  <si>
    <t xml:space="preserve">DR-1.02.01</t>
  </si>
  <si>
    <t xml:space="preserve">Define classification scheme (public, internal, confidential, restricted)</t>
  </si>
  <si>
    <t xml:space="preserve">DR-1.02.02</t>
  </si>
  <si>
    <t xml:space="preserve">Run Purview automated classification scans</t>
  </si>
  <si>
    <t xml:space="preserve">DR-1.02.03</t>
  </si>
  <si>
    <t xml:space="preserve">Review results and tag PII / sensitive columns</t>
  </si>
  <si>
    <t xml:space="preserve">DR-1.02.04</t>
  </si>
  <si>
    <t xml:space="preserve">Define handling rules per class for AI use</t>
  </si>
  <si>
    <t xml:space="preserve">DR-1.02.05</t>
  </si>
  <si>
    <t xml:space="preserve">Apply sensitivity labels to documents</t>
  </si>
  <si>
    <t xml:space="preserve">DR-1.02.06</t>
  </si>
  <si>
    <t xml:space="preserve">DR-1.02.07</t>
  </si>
  <si>
    <t xml:space="preserve">DR-1.03.01</t>
  </si>
  <si>
    <t xml:space="preserve">Identify owners per domain (production, quality, supply, finance)</t>
  </si>
  <si>
    <t xml:space="preserve">DR-1.03.02</t>
  </si>
  <si>
    <t xml:space="preserve">Define steward responsibilities and RACI</t>
  </si>
  <si>
    <t xml:space="preserve">DR-1.03.03</t>
  </si>
  <si>
    <t xml:space="preserve">Kick-off and training for stewards</t>
  </si>
  <si>
    <t xml:space="preserve">DR-1.03.04</t>
  </si>
  <si>
    <t xml:space="preserve">Ownership sign-off</t>
  </si>
  <si>
    <t xml:space="preserve">DR-1.03.05</t>
  </si>
  <si>
    <t xml:space="preserve">DR-1.03.06</t>
  </si>
  <si>
    <t xml:space="preserve">DR-1.04.01</t>
  </si>
  <si>
    <t xml:space="preserve">Design zones (raw, curated, serving) and container layout</t>
  </si>
  <si>
    <t xml:space="preserve">DR-1.04.02</t>
  </si>
  <si>
    <t xml:space="preserve">Deploy ADLS Gen2 with hierarchical namespace and private endpoints</t>
  </si>
  <si>
    <t xml:space="preserve">DR-1.04.03</t>
  </si>
  <si>
    <t xml:space="preserve">Configure lifecycle tiers (hot, cool, archive)</t>
  </si>
  <si>
    <t xml:space="preserve">DR-1.04.04</t>
  </si>
  <si>
    <t xml:space="preserve">Set ACLs aligned to the role model</t>
  </si>
  <si>
    <t xml:space="preserve">DR-1.04.05</t>
  </si>
  <si>
    <t xml:space="preserve">Enable soft delete and versioning</t>
  </si>
  <si>
    <t xml:space="preserve">DR-1.04.06</t>
  </si>
  <si>
    <t xml:space="preserve">DR-1.04.07</t>
  </si>
  <si>
    <t xml:space="preserve">DR-1.04.08</t>
  </si>
  <si>
    <t xml:space="preserve">DR-1.04.09</t>
  </si>
  <si>
    <t xml:space="preserve">DR-1.05.01</t>
  </si>
  <si>
    <t xml:space="preserve">Size and design databases (application metadata, vectors)</t>
  </si>
  <si>
    <t xml:space="preserve">DR-1.05.02</t>
  </si>
  <si>
    <t xml:space="preserve">Deploy Azure SQL and PostgreSQL Flexible Server</t>
  </si>
  <si>
    <t xml:space="preserve">DR-1.05.03</t>
  </si>
  <si>
    <t xml:space="preserve">Enable pgvector extension and create schemas</t>
  </si>
  <si>
    <t xml:space="preserve">DR-1.05.04</t>
  </si>
  <si>
    <t xml:space="preserve">Configure high availability, backups and private access</t>
  </si>
  <si>
    <t xml:space="preserve">DR-1.05.05</t>
  </si>
  <si>
    <t xml:space="preserve">Set up schema migration tooling (Flyway / Liquibase)</t>
  </si>
  <si>
    <t xml:space="preserve">DR-1.05.06</t>
  </si>
  <si>
    <t xml:space="preserve">DR-1.05.07</t>
  </si>
  <si>
    <t xml:space="preserve">DR-1.05.08</t>
  </si>
  <si>
    <t xml:space="preserve">DR-1.05.09</t>
  </si>
  <si>
    <t xml:space="preserve">DR-1.06.01</t>
  </si>
  <si>
    <t xml:space="preserve">Deploy Purview Unified Catalog and register sources</t>
  </si>
  <si>
    <t xml:space="preserve">DR-1.06.02</t>
  </si>
  <si>
    <t xml:space="preserve">Configure scans for SAP, SQL, ADLS and SharePoint</t>
  </si>
  <si>
    <t xml:space="preserve">DR-1.06.03</t>
  </si>
  <si>
    <t xml:space="preserve">Build business glossary of manufacturing terms</t>
  </si>
  <si>
    <t xml:space="preserve">DR-1.06.04</t>
  </si>
  <si>
    <t xml:space="preserve">Set up catalog collections and access</t>
  </si>
  <si>
    <t xml:space="preserve">DR-1.06.05</t>
  </si>
  <si>
    <t xml:space="preserve">Capture baseline lineage</t>
  </si>
  <si>
    <t xml:space="preserve">DR-1.06.06</t>
  </si>
  <si>
    <t xml:space="preserve">DR-1.06.07</t>
  </si>
  <si>
    <t xml:space="preserve">DR-2.01.01</t>
  </si>
  <si>
    <t xml:space="preserve">Define ingestion pattern per source (batch, CDC, event)</t>
  </si>
  <si>
    <t xml:space="preserve">DR-2.01.02</t>
  </si>
  <si>
    <t xml:space="preserve">Set up SAP connectivity (SAP Datasphere / BDC / ODP)</t>
  </si>
  <si>
    <t xml:space="preserve">DR-2.01.03</t>
  </si>
  <si>
    <t xml:space="preserve">Build SAP pipelines: materials, orders, maintenance, quality notifications</t>
  </si>
  <si>
    <t xml:space="preserve">DR-2.01.04</t>
  </si>
  <si>
    <t xml:space="preserve">Build MES pipelines: production, downtime, scrap</t>
  </si>
  <si>
    <t xml:space="preserve">DR-2.01.05</t>
  </si>
  <si>
    <t xml:space="preserve">Build SharePoint and file-share connectors for documents</t>
  </si>
  <si>
    <t xml:space="preserve">DR-2.01.06</t>
  </si>
  <si>
    <t xml:space="preserve">Map business rules and transformations with users</t>
  </si>
  <si>
    <t xml:space="preserve">DR-2.01.07</t>
  </si>
  <si>
    <t xml:space="preserve">Add scheduling, alerting and error handling</t>
  </si>
  <si>
    <t xml:space="preserve">DR-2.01.08</t>
  </si>
  <si>
    <t xml:space="preserve">Reconciliation testing against source systems</t>
  </si>
  <si>
    <t xml:space="preserve">DR-2.01.09</t>
  </si>
  <si>
    <t xml:space="preserve">DR-2.01.10</t>
  </si>
  <si>
    <t xml:space="preserve">DR-2.01.11</t>
  </si>
  <si>
    <t xml:space="preserve">DR-2.01.12</t>
  </si>
  <si>
    <t xml:space="preserve">DR-2.02.01</t>
  </si>
  <si>
    <t xml:space="preserve">Profile document types (PDF specs, scans, Excel, drawings)</t>
  </si>
  <si>
    <t xml:space="preserve">DR-2.02.02</t>
  </si>
  <si>
    <t xml:space="preserve">Set up Azure AI Document Intelligence for OCR and layout</t>
  </si>
  <si>
    <t xml:space="preserve">DR-2.02.03</t>
  </si>
  <si>
    <t xml:space="preserve">Build parsing for tables, headers and sections</t>
  </si>
  <si>
    <t xml:space="preserve">DR-2.02.04</t>
  </si>
  <si>
    <t xml:space="preserve">Implement chunking strategy (structure-aware, size, overlap)</t>
  </si>
  <si>
    <t xml:space="preserve">DR-2.02.05</t>
  </si>
  <si>
    <t xml:space="preserve">Extract metadata (plant, product, revision, date)</t>
  </si>
  <si>
    <t xml:space="preserve">DR-2.02.06</t>
  </si>
  <si>
    <t xml:space="preserve">Build incremental ingestion (new, changed, deleted documents)</t>
  </si>
  <si>
    <t xml:space="preserve">DR-2.02.07</t>
  </si>
  <si>
    <t xml:space="preserve">Quality checks on extracted text</t>
  </si>
  <si>
    <t xml:space="preserve">DR-2.02.08</t>
  </si>
  <si>
    <t xml:space="preserve">DR-2.02.09</t>
  </si>
  <si>
    <t xml:space="preserve">DR-2.02.10</t>
  </si>
  <si>
    <t xml:space="preserve">DR-2.02.11</t>
  </si>
  <si>
    <t xml:space="preserve">DR-2.03.01</t>
  </si>
  <si>
    <t xml:space="preserve">Benchmark embedding models on Ball documents</t>
  </si>
  <si>
    <t xml:space="preserve">DR-2.03.02</t>
  </si>
  <si>
    <t xml:space="preserve">Select model and vector dimensions</t>
  </si>
  <si>
    <t xml:space="preserve">DR-2.03.03</t>
  </si>
  <si>
    <t xml:space="preserve">Deploy embedding endpoints (Foundry and self-hosted BGE / E5)</t>
  </si>
  <si>
    <t xml:space="preserve">DR-2.03.04</t>
  </si>
  <si>
    <t xml:space="preserve">Build batch embedding job with retries</t>
  </si>
  <si>
    <t xml:space="preserve">DR-2.03.05</t>
  </si>
  <si>
    <t xml:space="preserve">Embedding quality testing</t>
  </si>
  <si>
    <t xml:space="preserve">DR-2.03.06</t>
  </si>
  <si>
    <t xml:space="preserve">DR-2.03.07</t>
  </si>
  <si>
    <t xml:space="preserve">DR-2.03.08</t>
  </si>
  <si>
    <t xml:space="preserve">DR-2.03.09</t>
  </si>
  <si>
    <t xml:space="preserve">DR-2.04.01</t>
  </si>
  <si>
    <t xml:space="preserve">Design index schema and fields</t>
  </si>
  <si>
    <t xml:space="preserve">DR-2.04.02</t>
  </si>
  <si>
    <t xml:space="preserve">Deploy Azure AI Search (tier, replicas, partitions)</t>
  </si>
  <si>
    <t xml:space="preserve">DR-2.04.03</t>
  </si>
  <si>
    <t xml:space="preserve">Build indexers / push pipeline from the chunk store</t>
  </si>
  <si>
    <t xml:space="preserve">DR-2.04.04</t>
  </si>
  <si>
    <t xml:space="preserve">Configure vector + BM25 hybrid search and semantic ranker</t>
  </si>
  <si>
    <t xml:space="preserve">DR-2.04.05</t>
  </si>
  <si>
    <t xml:space="preserve">Add filters (plant, document type, security)</t>
  </si>
  <si>
    <t xml:space="preserve">DR-2.04.06</t>
  </si>
  <si>
    <t xml:space="preserve">Tune relevance with test queries</t>
  </si>
  <si>
    <t xml:space="preserve">DR-2.04.07</t>
  </si>
  <si>
    <t xml:space="preserve">Search quality testing</t>
  </si>
  <si>
    <t xml:space="preserve">DR-2.04.08</t>
  </si>
  <si>
    <t xml:space="preserve">DR-2.04.09</t>
  </si>
  <si>
    <t xml:space="preserve">DR-2.04.10</t>
  </si>
  <si>
    <t xml:space="preserve">DR-2.04.11</t>
  </si>
  <si>
    <t xml:space="preserve">DR-2.05.01</t>
  </si>
  <si>
    <t xml:space="preserve">Define quality rules with data owners</t>
  </si>
  <si>
    <t xml:space="preserve">DR-2.05.02</t>
  </si>
  <si>
    <t xml:space="preserve">Implement rules (completeness, validity, freshness) in pipelines</t>
  </si>
  <si>
    <t xml:space="preserve">DR-2.05.03</t>
  </si>
  <si>
    <t xml:space="preserve">Build data quality dashboard and alerts</t>
  </si>
  <si>
    <t xml:space="preserve">DR-2.05.04</t>
  </si>
  <si>
    <t xml:space="preserve">Define issue triage process</t>
  </si>
  <si>
    <t xml:space="preserve">DR-2.05.05</t>
  </si>
  <si>
    <t xml:space="preserve">Test the rules</t>
  </si>
  <si>
    <t xml:space="preserve">DR-2.05.06</t>
  </si>
  <si>
    <t xml:space="preserve">DR-2.05.07</t>
  </si>
  <si>
    <t xml:space="preserve">DR-2.05.08</t>
  </si>
  <si>
    <t xml:space="preserve">DR-2.05.09</t>
  </si>
  <si>
    <t xml:space="preserve">DR-2.06.01</t>
  </si>
  <si>
    <t xml:space="preserve">Design Fabric workspaces and capacity</t>
  </si>
  <si>
    <t xml:space="preserve">DR-2.06.02</t>
  </si>
  <si>
    <t xml:space="preserve">Provision Fabric capacity and workspaces</t>
  </si>
  <si>
    <t xml:space="preserve">DR-2.06.03</t>
  </si>
  <si>
    <t xml:space="preserve">Set up OneLake shortcuts to ADLS</t>
  </si>
  <si>
    <t xml:space="preserve">DR-2.06.04</t>
  </si>
  <si>
    <t xml:space="preserve">Build lakehouse / warehouse models (production, quality, supply)</t>
  </si>
  <si>
    <t xml:space="preserve">DR-2.06.05</t>
  </si>
  <si>
    <t xml:space="preserve">Build semantic model for the Analyst agent</t>
  </si>
  <si>
    <t xml:space="preserve">DR-2.06.06</t>
  </si>
  <si>
    <t xml:space="preserve">Apply workspace security and governance</t>
  </si>
  <si>
    <t xml:space="preserve">DR-2.06.07</t>
  </si>
  <si>
    <t xml:space="preserve">DR-2.06.08</t>
  </si>
  <si>
    <t xml:space="preserve">DR-2.06.09</t>
  </si>
  <si>
    <t xml:space="preserve">DR-2.06.10</t>
  </si>
  <si>
    <t xml:space="preserve">DR-3.01.01</t>
  </si>
  <si>
    <t xml:space="preserve">Design ontology (plants, lines, equipment, products, specs, suppliers)</t>
  </si>
  <si>
    <t xml:space="preserve">DR-3.01.02</t>
  </si>
  <si>
    <t xml:space="preserve">Deploy Cosmos DB for Gremlin</t>
  </si>
  <si>
    <t xml:space="preserve">DR-3.01.03</t>
  </si>
  <si>
    <t xml:space="preserve">Build graph load pipelines from SAP / MES master data</t>
  </si>
  <si>
    <t xml:space="preserve">DR-3.01.04</t>
  </si>
  <si>
    <t xml:space="preserve">Implement GraphRAG indexing over documents</t>
  </si>
  <si>
    <t xml:space="preserve">DR-3.01.05</t>
  </si>
  <si>
    <t xml:space="preserve">Build graph query tools for agents (Gremlin / Cypher)</t>
  </si>
  <si>
    <t xml:space="preserve">DR-3.01.06</t>
  </si>
  <si>
    <t xml:space="preserve">Validate ontology with SMEs</t>
  </si>
  <si>
    <t xml:space="preserve">DR-3.01.07</t>
  </si>
  <si>
    <t xml:space="preserve">Graph quality testing</t>
  </si>
  <si>
    <t xml:space="preserve">DR-3.01.08</t>
  </si>
  <si>
    <t xml:space="preserve">DR-3.01.09</t>
  </si>
  <si>
    <t xml:space="preserve">DR-3.01.10</t>
  </si>
  <si>
    <t xml:space="preserve">DR-3.01.11</t>
  </si>
  <si>
    <t xml:space="preserve">DR-3.02.01</t>
  </si>
  <si>
    <t xml:space="preserve">Define entity types and linking rules</t>
  </si>
  <si>
    <t xml:space="preserve">DR-3.02.02</t>
  </si>
  <si>
    <t xml:space="preserve">Build LLM / AI Language extraction pipeline</t>
  </si>
  <si>
    <t xml:space="preserve">DR-3.02.03</t>
  </si>
  <si>
    <t xml:space="preserve">Resolve entities to master data (SAP material, equipment IDs)</t>
  </si>
  <si>
    <t xml:space="preserve">DR-3.02.04</t>
  </si>
  <si>
    <t xml:space="preserve">Write relationships to the graph</t>
  </si>
  <si>
    <t xml:space="preserve">DR-3.02.05</t>
  </si>
  <si>
    <t xml:space="preserve">Precision / recall evaluation</t>
  </si>
  <si>
    <t xml:space="preserve">DR-3.02.06</t>
  </si>
  <si>
    <t xml:space="preserve">DR-3.02.07</t>
  </si>
  <si>
    <t xml:space="preserve">DR-3.02.08</t>
  </si>
  <si>
    <t xml:space="preserve">DR-3.02.09</t>
  </si>
  <si>
    <t xml:space="preserve">DR-3.03.01</t>
  </si>
  <si>
    <t xml:space="preserve">Design streaming architecture and select tags</t>
  </si>
  <si>
    <t xml:space="preserve">DR-3.03.02</t>
  </si>
  <si>
    <t xml:space="preserve">Deploy Event Hubs with capture to ADLS</t>
  </si>
  <si>
    <t xml:space="preserve">DR-3.03.03</t>
  </si>
  <si>
    <t xml:space="preserve">Connect AVEVA PI historian to Event Hubs</t>
  </si>
  <si>
    <t xml:space="preserve">DR-3.03.04</t>
  </si>
  <si>
    <t xml:space="preserve">Build stream processing for aggregates (Stream Analytics / Fabric Real-Time)</t>
  </si>
  <si>
    <t xml:space="preserve">DR-3.03.05</t>
  </si>
  <si>
    <t xml:space="preserve">Set up anomaly alerting</t>
  </si>
  <si>
    <t xml:space="preserve">DR-3.03.06</t>
  </si>
  <si>
    <t xml:space="preserve">Throughput and lag testing</t>
  </si>
  <si>
    <t xml:space="preserve">DR-3.03.07</t>
  </si>
  <si>
    <t xml:space="preserve">DR-3.03.08</t>
  </si>
  <si>
    <t xml:space="preserve">DR-3.03.09</t>
  </si>
  <si>
    <t xml:space="preserve">DR-3.03.10</t>
  </si>
  <si>
    <t xml:space="preserve">DR-3.04.01</t>
  </si>
  <si>
    <t xml:space="preserve">Define knowledge domains (maintenance, quality, supply, specs)</t>
  </si>
  <si>
    <t xml:space="preserve">DR-3.04.02</t>
  </si>
  <si>
    <t xml:space="preserve">Build domain indexes and query routing</t>
  </si>
  <si>
    <t xml:space="preserve">DR-3.04.03</t>
  </si>
  <si>
    <t xml:space="preserve">Domain-specific chunking and metadata</t>
  </si>
  <si>
    <t xml:space="preserve">DR-3.04.04</t>
  </si>
  <si>
    <t xml:space="preserve">Retrieval tuning per domain</t>
  </si>
  <si>
    <t xml:space="preserve">DR-3.04.05</t>
  </si>
  <si>
    <t xml:space="preserve">DR-3.04.06</t>
  </si>
  <si>
    <t xml:space="preserve">DR-3.04.07</t>
  </si>
  <si>
    <t xml:space="preserve">DR-3.04.08</t>
  </si>
  <si>
    <t xml:space="preserve">DR-3.05.01</t>
  </si>
  <si>
    <t xml:space="preserve">Map document ACLs from SharePoint / SAP to index fields</t>
  </si>
  <si>
    <t xml:space="preserve">DR-3.05.02</t>
  </si>
  <si>
    <t xml:space="preserve">Implement security-trimming filters in retrieval</t>
  </si>
  <si>
    <t xml:space="preserve">DR-3.05.03</t>
  </si>
  <si>
    <t xml:space="preserve">Sync ACL changes to the index</t>
  </si>
  <si>
    <t xml:space="preserve">DR-3.05.04</t>
  </si>
  <si>
    <t xml:space="preserve">DR-3.05.05</t>
  </si>
  <si>
    <t xml:space="preserve">Negative access testing</t>
  </si>
  <si>
    <t xml:space="preserve">DR-3.05.06</t>
  </si>
  <si>
    <t xml:space="preserve">DR-3.05.07</t>
  </si>
  <si>
    <t xml:space="preserve">DR-3.06.01</t>
  </si>
  <si>
    <t xml:space="preserve">Collect real questions from plant users</t>
  </si>
  <si>
    <t xml:space="preserve">DR-3.06.02</t>
  </si>
  <si>
    <t xml:space="preserve">Write expected answers and sources with SMEs</t>
  </si>
  <si>
    <t xml:space="preserve">DR-3.06.03</t>
  </si>
  <si>
    <t xml:space="preserve">Store test sets in a versioned repository</t>
  </si>
  <si>
    <t xml:space="preserve">DR-3.06.04</t>
  </si>
  <si>
    <t xml:space="preserve">Wire test sets into the evaluation pipeline</t>
  </si>
  <si>
    <t xml:space="preserve">DR-3.06.05</t>
  </si>
  <si>
    <t xml:space="preserve">Review coverage</t>
  </si>
  <si>
    <t xml:space="preserve">DR-3.06.06</t>
  </si>
  <si>
    <t xml:space="preserve">DR-3.06.07</t>
  </si>
  <si>
    <t xml:space="preserve">DR-4.01.01</t>
  </si>
  <si>
    <t xml:space="preserve">Define freshness SLAs per source</t>
  </si>
  <si>
    <t xml:space="preserve">DR-4.01.02</t>
  </si>
  <si>
    <t xml:space="preserve">Schedule incremental re-indexing</t>
  </si>
  <si>
    <t xml:space="preserve">DR-4.01.03</t>
  </si>
  <si>
    <t xml:space="preserve">Freshness monitoring and alerts</t>
  </si>
  <si>
    <t xml:space="preserve">DR-4.01.04</t>
  </si>
  <si>
    <t xml:space="preserve">Re-embed content when models change</t>
  </si>
  <si>
    <t xml:space="preserve">DR-4.01.05</t>
  </si>
  <si>
    <t xml:space="preserve">DR-4.01.06</t>
  </si>
  <si>
    <t xml:space="preserve">DR-4.01.07</t>
  </si>
  <si>
    <t xml:space="preserve">DR-4.01.08</t>
  </si>
  <si>
    <t xml:space="preserve">DR-4.02.01</t>
  </si>
  <si>
    <t xml:space="preserve">Connect pipeline lineage (Data Factory / Fabric) to Purview</t>
  </si>
  <si>
    <t xml:space="preserve">DR-4.02.02</t>
  </si>
  <si>
    <t xml:space="preserve">Add lineage from indexes and agents back to sources</t>
  </si>
  <si>
    <t xml:space="preserve">DR-4.02.03</t>
  </si>
  <si>
    <t xml:space="preserve">Publish lineage views for auditors</t>
  </si>
  <si>
    <t xml:space="preserve">DR-4.02.04</t>
  </si>
  <si>
    <t xml:space="preserve">DR-4.02.05</t>
  </si>
  <si>
    <t xml:space="preserve">DR-4.03.01</t>
  </si>
  <si>
    <t xml:space="preserve">Define retention per data class and legal holds</t>
  </si>
  <si>
    <t xml:space="preserve">DR-4.03.02</t>
  </si>
  <si>
    <t xml:space="preserve">Configure lifecycle and deletion policies</t>
  </si>
  <si>
    <t xml:space="preserve">DR-4.03.03</t>
  </si>
  <si>
    <t xml:space="preserve">Apply retention to logs and conversation history</t>
  </si>
  <si>
    <t xml:space="preserve">DR-4.03.04</t>
  </si>
  <si>
    <t xml:space="preserve">DR-4.03.05</t>
  </si>
  <si>
    <t xml:space="preserve">DR-4.04.01</t>
  </si>
  <si>
    <t xml:space="preserve">Automate AI Search index export / rebuild scripts</t>
  </si>
  <si>
    <t xml:space="preserve">DR-4.04.02</t>
  </si>
  <si>
    <t xml:space="preserve">Set storage and database backup schedules</t>
  </si>
  <si>
    <t xml:space="preserve">DR-4.04.03</t>
  </si>
  <si>
    <t xml:space="preserve">Restore test</t>
  </si>
  <si>
    <t xml:space="preserve">DR-4.04.04</t>
  </si>
  <si>
    <t xml:space="preserve">DR-4.04.05</t>
  </si>
  <si>
    <t xml:space="preserve">DR-4.04.06</t>
  </si>
  <si>
    <t xml:space="preserve">DR-4.04.07</t>
  </si>
  <si>
    <t xml:space="preserve">DR-4.05.01</t>
  </si>
  <si>
    <t xml:space="preserve">Define drift signals (data, embeddings, answer quality)</t>
  </si>
  <si>
    <t xml:space="preserve">DR-4.05.02</t>
  </si>
  <si>
    <t xml:space="preserve">Build drift jobs and dashboards</t>
  </si>
  <si>
    <t xml:space="preserve">DR-4.05.03</t>
  </si>
  <si>
    <t xml:space="preserve">Set alert thresholds and review cadence</t>
  </si>
  <si>
    <t xml:space="preserve">DR-4.05.04</t>
  </si>
  <si>
    <t xml:space="preserve">DR-4.05.05</t>
  </si>
  <si>
    <t xml:space="preserve">DR-4.05.06</t>
  </si>
  <si>
    <t xml:space="preserve">DR-4.05.07</t>
  </si>
  <si>
    <t xml:space="preserve">DR-4.06.01</t>
  </si>
  <si>
    <t xml:space="preserve">Plant data readiness checklist</t>
  </si>
  <si>
    <t xml:space="preserve">DR-4.06.02</t>
  </si>
  <si>
    <t xml:space="preserve">Parameterize pipelines for plant codes</t>
  </si>
  <si>
    <t xml:space="preserve">DR-4.06.03</t>
  </si>
  <si>
    <t xml:space="preserve">Connect plant sources and validate</t>
  </si>
  <si>
    <t xml:space="preserve">DR-4.06.04</t>
  </si>
  <si>
    <t xml:space="preserve">Onboard local data owners</t>
  </si>
  <si>
    <t xml:space="preserve">DR-4.06.05</t>
  </si>
  <si>
    <t xml:space="preserve">Plant go-live sign-off</t>
  </si>
  <si>
    <t xml:space="preserve">DR-4.06.06</t>
  </si>
  <si>
    <t xml:space="preserve">DR-4.06.07</t>
  </si>
  <si>
    <t xml:space="preserve">DR-4.06.08</t>
  </si>
  <si>
    <t xml:space="preserve">DR-4.06.09</t>
  </si>
  <si>
    <t xml:space="preserve">UC-1.01.01</t>
  </si>
  <si>
    <t xml:space="preserve">Plan and run discovery workshops at plants and functions</t>
  </si>
  <si>
    <t xml:space="preserve">UC-1.01.02</t>
  </si>
  <si>
    <t xml:space="preserve">Capture pain points and ideas in a standard template</t>
  </si>
  <si>
    <t xml:space="preserve">UC-1.01.03</t>
  </si>
  <si>
    <t xml:space="preserve">Map ideas to agent types and architecture</t>
  </si>
  <si>
    <t xml:space="preserve">UC-1.01.04</t>
  </si>
  <si>
    <t xml:space="preserve">Consolidate the backlog</t>
  </si>
  <si>
    <t xml:space="preserve">UC-1.01.05</t>
  </si>
  <si>
    <t xml:space="preserve">UC-1.01.06</t>
  </si>
  <si>
    <t xml:space="preserve">UC-1.02.01</t>
  </si>
  <si>
    <t xml:space="preserve">Define scoring (value, feasibility, data readiness, risk)</t>
  </si>
  <si>
    <t xml:space="preserve">UC-1.02.02</t>
  </si>
  <si>
    <t xml:space="preserve">Score each use case</t>
  </si>
  <si>
    <t xml:space="preserve">UC-1.02.03</t>
  </si>
  <si>
    <t xml:space="preserve">Leadership prioritization session</t>
  </si>
  <si>
    <t xml:space="preserve">UC-1.02.04</t>
  </si>
  <si>
    <t xml:space="preserve">UC-1.02.05</t>
  </si>
  <si>
    <t xml:space="preserve">UC-1.03.01</t>
  </si>
  <si>
    <t xml:space="preserve">Define KPIs per use case (MTTR, OEE, scrap, time saved)</t>
  </si>
  <si>
    <t xml:space="preserve">UC-1.03.02</t>
  </si>
  <si>
    <t xml:space="preserve">Collect baseline data</t>
  </si>
  <si>
    <t xml:space="preserve">UC-1.03.03</t>
  </si>
  <si>
    <t xml:space="preserve">KPI sign-off with owners</t>
  </si>
  <si>
    <t xml:space="preserve">UC-1.03.04</t>
  </si>
  <si>
    <t xml:space="preserve">UC-1.03.05</t>
  </si>
  <si>
    <t xml:space="preserve">UC-1.04.01</t>
  </si>
  <si>
    <t xml:space="preserve">Confirm pilot plants and users</t>
  </si>
  <si>
    <t xml:space="preserve">UC-1.04.02</t>
  </si>
  <si>
    <t xml:space="preserve">Write pilot charters (scope, KPIs, team, success criteria)</t>
  </si>
  <si>
    <t xml:space="preserve">UC-1.04.03</t>
  </si>
  <si>
    <t xml:space="preserve">Solution outline for Analyst and Spec agents</t>
  </si>
  <si>
    <t xml:space="preserve">UC-1.04.04</t>
  </si>
  <si>
    <t xml:space="preserve">UC-1.04.05</t>
  </si>
  <si>
    <t xml:space="preserve">UC-1.05.01</t>
  </si>
  <si>
    <t xml:space="preserve">Classify agent actions by risk (read, recommend, act)</t>
  </si>
  <si>
    <t xml:space="preserve">UC-1.05.02</t>
  </si>
  <si>
    <t xml:space="preserve">Define approvers and thresholds</t>
  </si>
  <si>
    <t xml:space="preserve">UC-1.05.03</t>
  </si>
  <si>
    <t xml:space="preserve">Security and audit requirements</t>
  </si>
  <si>
    <t xml:space="preserve">UC-1.05.04</t>
  </si>
  <si>
    <t xml:space="preserve">UC-1.05.05</t>
  </si>
  <si>
    <t xml:space="preserve">UC-1.06.01</t>
  </si>
  <si>
    <t xml:space="preserve">Complete Responsible-AI impact assessment</t>
  </si>
  <si>
    <t xml:space="preserve">UC-1.06.02</t>
  </si>
  <si>
    <t xml:space="preserve">Privacy and security review</t>
  </si>
  <si>
    <t xml:space="preserve">UC-1.06.03</t>
  </si>
  <si>
    <t xml:space="preserve">Agree mitigations and sign-off</t>
  </si>
  <si>
    <t xml:space="preserve">UC-1.06.04</t>
  </si>
  <si>
    <t xml:space="preserve">UC-1.06.05</t>
  </si>
  <si>
    <t xml:space="preserve">UC-2.01.01</t>
  </si>
  <si>
    <t xml:space="preserve">Gather question catalog and metric definitions</t>
  </si>
  <si>
    <t xml:space="preserve">UC-2.01.02</t>
  </si>
  <si>
    <t xml:space="preserve">Prepare semantic model and metadata for NL-to-SQL / DAX</t>
  </si>
  <si>
    <t xml:space="preserve">UC-2.01.03</t>
  </si>
  <si>
    <t xml:space="preserve">Build NL-to-SQL tool with schema grounding</t>
  </si>
  <si>
    <t xml:space="preserve">UC-2.01.04</t>
  </si>
  <si>
    <t xml:space="preserve">Add result explanation and chart generation</t>
  </si>
  <si>
    <t xml:space="preserve">UC-2.01.05</t>
  </si>
  <si>
    <t xml:space="preserve">Add guardrails (row limits, read-only, row-level security)</t>
  </si>
  <si>
    <t xml:space="preserve">UC-2.01.06</t>
  </si>
  <si>
    <t xml:space="preserve">Integrate with orchestrator and memory</t>
  </si>
  <si>
    <t xml:space="preserve">UC-2.01.07</t>
  </si>
  <si>
    <t xml:space="preserve">Accuracy testing on the golden set</t>
  </si>
  <si>
    <t xml:space="preserve">UC-2.01.08</t>
  </si>
  <si>
    <t xml:space="preserve">UC-2.01.09</t>
  </si>
  <si>
    <t xml:space="preserve">UC-2.01.10</t>
  </si>
  <si>
    <t xml:space="preserve">UC-2.01.11</t>
  </si>
  <si>
    <t xml:space="preserve">UC-2.02.01</t>
  </si>
  <si>
    <t xml:space="preserve">Collect spec and SOP corpus with document owners</t>
  </si>
  <si>
    <t xml:space="preserve">UC-2.02.02</t>
  </si>
  <si>
    <t xml:space="preserve">Build retrieval chain with citations</t>
  </si>
  <si>
    <t xml:space="preserve">UC-2.02.03</t>
  </si>
  <si>
    <t xml:space="preserve">Handle revisions and plant-specific variants</t>
  </si>
  <si>
    <t xml:space="preserve">UC-2.02.04</t>
  </si>
  <si>
    <t xml:space="preserve">Format answers with source links</t>
  </si>
  <si>
    <t xml:space="preserve">UC-2.02.05</t>
  </si>
  <si>
    <t xml:space="preserve">Integrate with the orchestrator</t>
  </si>
  <si>
    <t xml:space="preserve">UC-2.02.06</t>
  </si>
  <si>
    <t xml:space="preserve">Accuracy testing with SMEs</t>
  </si>
  <si>
    <t xml:space="preserve">UC-2.02.07</t>
  </si>
  <si>
    <t xml:space="preserve">UC-2.02.08</t>
  </si>
  <si>
    <t xml:space="preserve">UC-2.02.09</t>
  </si>
  <si>
    <t xml:space="preserve">UC-2.02.10</t>
  </si>
  <si>
    <t xml:space="preserve">UC-2.03.01</t>
  </si>
  <si>
    <t xml:space="preserve">Register Teams app / Copilot agent</t>
  </si>
  <si>
    <t xml:space="preserve">UC-2.03.02</t>
  </si>
  <si>
    <t xml:space="preserve">Build bot with adaptive cards and SSO</t>
  </si>
  <si>
    <t xml:space="preserve">UC-2.03.03</t>
  </si>
  <si>
    <t xml:space="preserve">Connect to orchestrator API through APIM</t>
  </si>
  <si>
    <t xml:space="preserve">UC-2.03.04</t>
  </si>
  <si>
    <t xml:space="preserve">Admin approval and publish to Teams catalog</t>
  </si>
  <si>
    <t xml:space="preserve">UC-2.03.05</t>
  </si>
  <si>
    <t xml:space="preserve">Test across desktop, web and mobile</t>
  </si>
  <si>
    <t xml:space="preserve">UC-2.03.06</t>
  </si>
  <si>
    <t xml:space="preserve">UC-2.03.07</t>
  </si>
  <si>
    <t xml:space="preserve">UC-2.03.08</t>
  </si>
  <si>
    <t xml:space="preserve">UC-2.03.09</t>
  </si>
  <si>
    <t xml:space="preserve">UC-2.04.01</t>
  </si>
  <si>
    <t xml:space="preserve">Pilot plan and schedule</t>
  </si>
  <si>
    <t xml:space="preserve">UC-2.04.02</t>
  </si>
  <si>
    <t xml:space="preserve">Train pilot users</t>
  </si>
  <si>
    <t xml:space="preserve">UC-2.04.03</t>
  </si>
  <si>
    <t xml:space="preserve">Hypercare support during the pilot</t>
  </si>
  <si>
    <t xml:space="preserve">UC-2.04.04</t>
  </si>
  <si>
    <t xml:space="preserve">Weekly pilot reviews</t>
  </si>
  <si>
    <t xml:space="preserve">UC-2.04.05</t>
  </si>
  <si>
    <t xml:space="preserve">UC-2.04.06</t>
  </si>
  <si>
    <t xml:space="preserve">UC-2.05.01</t>
  </si>
  <si>
    <t xml:space="preserve">Capture in-app ratings and comments</t>
  </si>
  <si>
    <t xml:space="preserve">UC-2.05.02</t>
  </si>
  <si>
    <t xml:space="preserve">Run user surveys and interviews</t>
  </si>
  <si>
    <t xml:space="preserve">UC-2.05.03</t>
  </si>
  <si>
    <t xml:space="preserve">Analyse feedback and evaluation results</t>
  </si>
  <si>
    <t xml:space="preserve">UC-2.05.04</t>
  </si>
  <si>
    <t xml:space="preserve">UC-2.05.05</t>
  </si>
  <si>
    <t xml:space="preserve">UC-2.06.01</t>
  </si>
  <si>
    <t xml:space="preserve">Compare KPIs to baseline</t>
  </si>
  <si>
    <t xml:space="preserve">UC-2.06.02</t>
  </si>
  <si>
    <t xml:space="preserve">Write pilot report and recommendation</t>
  </si>
  <si>
    <t xml:space="preserve">UC-2.06.03</t>
  </si>
  <si>
    <t xml:space="preserve">Steering committee decision</t>
  </si>
  <si>
    <t xml:space="preserve">UC-2.06.04</t>
  </si>
  <si>
    <t xml:space="preserve">UC-3.01.01</t>
  </si>
  <si>
    <t xml:space="preserve">Gather requirements with maintenance teams</t>
  </si>
  <si>
    <t xml:space="preserve">UC-3.01.02</t>
  </si>
  <si>
    <t xml:space="preserve">Build AVEVA PI tool: tag lookup, trends, anomalies</t>
  </si>
  <si>
    <t xml:space="preserve">UC-3.01.03</t>
  </si>
  <si>
    <t xml:space="preserve">Build SAP PM tool: work orders, history, notifications</t>
  </si>
  <si>
    <t xml:space="preserve">UC-3.01.04</t>
  </si>
  <si>
    <t xml:space="preserve">RAG over equipment manuals and failure history</t>
  </si>
  <si>
    <t xml:space="preserve">UC-3.01.05</t>
  </si>
  <si>
    <t xml:space="preserve">Root-cause and recommended-action logic</t>
  </si>
  <si>
    <t xml:space="preserve">UC-3.01.06</t>
  </si>
  <si>
    <t xml:space="preserve">Draft work orders with approval step</t>
  </si>
  <si>
    <t xml:space="preserve">UC-3.01.07</t>
  </si>
  <si>
    <t xml:space="preserve">Surface agent in Teams / Plant Ops app</t>
  </si>
  <si>
    <t xml:space="preserve">UC-3.01.08</t>
  </si>
  <si>
    <t xml:space="preserve">SME and functional testing</t>
  </si>
  <si>
    <t xml:space="preserve">UC-3.01.09</t>
  </si>
  <si>
    <t xml:space="preserve">UC-3.01.10</t>
  </si>
  <si>
    <t xml:space="preserve">UC-3.01.11</t>
  </si>
  <si>
    <t xml:space="preserve">UC-3.01.12</t>
  </si>
  <si>
    <t xml:space="preserve">UC-3.02.01</t>
  </si>
  <si>
    <t xml:space="preserve">Gather requirements with quality teams</t>
  </si>
  <si>
    <t xml:space="preserve">UC-3.02.02</t>
  </si>
  <si>
    <t xml:space="preserve">Connect SPC, inspection and defect data</t>
  </si>
  <si>
    <t xml:space="preserve">UC-3.02.03</t>
  </si>
  <si>
    <t xml:space="preserve">Defect triage and pattern detection</t>
  </si>
  <si>
    <t xml:space="preserve">UC-3.02.04</t>
  </si>
  <si>
    <t xml:space="preserve">RAG over quality procedures and NCRs</t>
  </si>
  <si>
    <t xml:space="preserve">UC-3.02.05</t>
  </si>
  <si>
    <t xml:space="preserve">Draft NCR / CAPA with approval step</t>
  </si>
  <si>
    <t xml:space="preserve">UC-3.02.06</t>
  </si>
  <si>
    <t xml:space="preserve">Surface agent in user channels</t>
  </si>
  <si>
    <t xml:space="preserve">UC-3.02.07</t>
  </si>
  <si>
    <t xml:space="preserve">Testing with quality engineers</t>
  </si>
  <si>
    <t xml:space="preserve">UC-3.02.08</t>
  </si>
  <si>
    <t xml:space="preserve">UC-3.02.09</t>
  </si>
  <si>
    <t xml:space="preserve">UC-3.02.10</t>
  </si>
  <si>
    <t xml:space="preserve">UC-3.02.11</t>
  </si>
  <si>
    <t xml:space="preserve">UC-3.03.01</t>
  </si>
  <si>
    <t xml:space="preserve">Gather requirements with supply chain</t>
  </si>
  <si>
    <t xml:space="preserve">UC-3.03.02</t>
  </si>
  <si>
    <t xml:space="preserve">Build SAP MM / Coupa tools: inventory, POs, supplier data</t>
  </si>
  <si>
    <t xml:space="preserve">UC-3.03.03</t>
  </si>
  <si>
    <t xml:space="preserve">Supply risk signals and scoring</t>
  </si>
  <si>
    <t xml:space="preserve">UC-3.03.04</t>
  </si>
  <si>
    <t xml:space="preserve">Alerts and recommended actions</t>
  </si>
  <si>
    <t xml:space="preserve">UC-3.03.05</t>
  </si>
  <si>
    <t xml:space="preserve">UC-3.03.06</t>
  </si>
  <si>
    <t xml:space="preserve">Testing with planners</t>
  </si>
  <si>
    <t xml:space="preserve">UC-3.03.07</t>
  </si>
  <si>
    <t xml:space="preserve">UC-3.03.08</t>
  </si>
  <si>
    <t xml:space="preserve">UC-3.03.09</t>
  </si>
  <si>
    <t xml:space="preserve">UC-3.03.10</t>
  </si>
  <si>
    <t xml:space="preserve">UC-3.04.01</t>
  </si>
  <si>
    <t xml:space="preserve">Design multi-agent coordination (routing, handoff, shared context)</t>
  </si>
  <si>
    <t xml:space="preserve">UC-3.04.02</t>
  </si>
  <si>
    <t xml:space="preserve">Build intent router and task planner</t>
  </si>
  <si>
    <t xml:space="preserve">UC-3.04.03</t>
  </si>
  <si>
    <t xml:space="preserve">Implement handoff protocol with specialist agents</t>
  </si>
  <si>
    <t xml:space="preserve">UC-3.04.04</t>
  </si>
  <si>
    <t xml:space="preserve">Add conflict and loop safeguards</t>
  </si>
  <si>
    <t xml:space="preserve">UC-3.04.05</t>
  </si>
  <si>
    <t xml:space="preserve">Multi-agent scenario testing</t>
  </si>
  <si>
    <t xml:space="preserve">UC-3.04.06</t>
  </si>
  <si>
    <t xml:space="preserve">UC-3.04.07</t>
  </si>
  <si>
    <t xml:space="preserve">UC-3.04.08</t>
  </si>
  <si>
    <t xml:space="preserve">UC-3.04.09</t>
  </si>
  <si>
    <t xml:space="preserve">UC-3.05.01</t>
  </si>
  <si>
    <t xml:space="preserve">UX research and wireframes</t>
  </si>
  <si>
    <t xml:space="preserve">UC-3.05.02</t>
  </si>
  <si>
    <t xml:space="preserve">UI design system and screens</t>
  </si>
  <si>
    <t xml:space="preserve">UC-3.05.03</t>
  </si>
  <si>
    <t xml:space="preserve">Build web app (chat, dashboards, approvals)</t>
  </si>
  <si>
    <t xml:space="preserve">UC-3.05.04</t>
  </si>
  <si>
    <t xml:space="preserve">Build mobile app (React Native / PWA)</t>
  </si>
  <si>
    <t xml:space="preserve">UC-3.05.05</t>
  </si>
  <si>
    <t xml:space="preserve">SSO, device policies and offline handling</t>
  </si>
  <si>
    <t xml:space="preserve">UC-3.05.06</t>
  </si>
  <si>
    <t xml:space="preserve">Accessibility and usability review</t>
  </si>
  <si>
    <t xml:space="preserve">UC-3.05.07</t>
  </si>
  <si>
    <t xml:space="preserve">Functional and device testing</t>
  </si>
  <si>
    <t xml:space="preserve">UC-3.05.08</t>
  </si>
  <si>
    <t xml:space="preserve">UC-3.05.09</t>
  </si>
  <si>
    <t xml:space="preserve">UC-3.05.10</t>
  </si>
  <si>
    <t xml:space="preserve">UC-3.05.11</t>
  </si>
  <si>
    <t xml:space="preserve">UC-3.06.01</t>
  </si>
  <si>
    <t xml:space="preserve">Rollout wave plan</t>
  </si>
  <si>
    <t xml:space="preserve">UC-3.06.02</t>
  </si>
  <si>
    <t xml:space="preserve">Plant readiness assessments</t>
  </si>
  <si>
    <t xml:space="preserve">UC-3.06.03</t>
  </si>
  <si>
    <t xml:space="preserve">Train-the-trainer and user training</t>
  </si>
  <si>
    <t xml:space="preserve">UC-3.06.04</t>
  </si>
  <si>
    <t xml:space="preserve">Go-live support</t>
  </si>
  <si>
    <t xml:space="preserve">UC-3.06.05</t>
  </si>
  <si>
    <t xml:space="preserve">Rollout communications</t>
  </si>
  <si>
    <t xml:space="preserve">UC-3.06.06</t>
  </si>
  <si>
    <t xml:space="preserve">UC-3.06.07</t>
  </si>
  <si>
    <t xml:space="preserve">UC-4.01.01</t>
  </si>
  <si>
    <t xml:space="preserve">Gather requirements with sustainability team (energy, carbon, water, recycled content)</t>
  </si>
  <si>
    <t xml:space="preserve">UC-4.01.02</t>
  </si>
  <si>
    <t xml:space="preserve">Connect energy meters and utility data</t>
  </si>
  <si>
    <t xml:space="preserve">UC-4.01.03</t>
  </si>
  <si>
    <t xml:space="preserve">Build emission-factor and calculation tools</t>
  </si>
  <si>
    <t xml:space="preserve">UC-4.01.04</t>
  </si>
  <si>
    <t xml:space="preserve">Draft ESG and customer sustainability reports</t>
  </si>
  <si>
    <t xml:space="preserve">UC-4.01.05</t>
  </si>
  <si>
    <t xml:space="preserve">Detect energy-saving opportunities</t>
  </si>
  <si>
    <t xml:space="preserve">UC-4.01.06</t>
  </si>
  <si>
    <t xml:space="preserve">Validate numbers with sustainability team</t>
  </si>
  <si>
    <t xml:space="preserve">UC-4.01.07</t>
  </si>
  <si>
    <t xml:space="preserve">UC-4.01.08</t>
  </si>
  <si>
    <t xml:space="preserve">UC-4.01.09</t>
  </si>
  <si>
    <t xml:space="preserve">UC-4.01.10</t>
  </si>
  <si>
    <t xml:space="preserve">UC-4.02.01</t>
  </si>
  <si>
    <t xml:space="preserve">Define partner use cases and API contracts</t>
  </si>
  <si>
    <t xml:space="preserve">UC-4.02.02</t>
  </si>
  <si>
    <t xml:space="preserve">Build APIs and publish in the APIM developer portal</t>
  </si>
  <si>
    <t xml:space="preserve">UC-4.02.03</t>
  </si>
  <si>
    <t xml:space="preserve">Partner onboarding: OAuth clients, keys, quotas</t>
  </si>
  <si>
    <t xml:space="preserve">UC-4.02.04</t>
  </si>
  <si>
    <t xml:space="preserve">Security testing and penetration test</t>
  </si>
  <si>
    <t xml:space="preserve">UC-4.02.05</t>
  </si>
  <si>
    <t xml:space="preserve">Integration testing with a first partner</t>
  </si>
  <si>
    <t xml:space="preserve">UC-4.02.06</t>
  </si>
  <si>
    <t xml:space="preserve">UC-4.02.07</t>
  </si>
  <si>
    <t xml:space="preserve">UC-4.02.08</t>
  </si>
  <si>
    <t xml:space="preserve">UC-4.02.09</t>
  </si>
  <si>
    <t xml:space="preserve">UC-4.03.01</t>
  </si>
  <si>
    <t xml:space="preserve">Select write actions (create notification, work order, PO change)</t>
  </si>
  <si>
    <t xml:space="preserve">UC-4.03.02</t>
  </si>
  <si>
    <t xml:space="preserve">Build write tools via SAP APIs / BAPIs</t>
  </si>
  <si>
    <t xml:space="preserve">UC-4.03.03</t>
  </si>
  <si>
    <t xml:space="preserve">Enforce approvals and dual control</t>
  </si>
  <si>
    <t xml:space="preserve">UC-4.03.04</t>
  </si>
  <si>
    <t xml:space="preserve">Idempotency, rollback and audit logging</t>
  </si>
  <si>
    <t xml:space="preserve">UC-4.03.05</t>
  </si>
  <si>
    <t xml:space="preserve">UC-4.03.06</t>
  </si>
  <si>
    <t xml:space="preserve">Testing in SAP QA system</t>
  </si>
  <si>
    <t xml:space="preserve">UC-4.03.07</t>
  </si>
  <si>
    <t xml:space="preserve">UC-4.03.08</t>
  </si>
  <si>
    <t xml:space="preserve">UC-4.03.09</t>
  </si>
  <si>
    <t xml:space="preserve">UC-4.03.10</t>
  </si>
  <si>
    <t xml:space="preserve">UC-4.04.01</t>
  </si>
  <si>
    <t xml:space="preserve">Extract common patterns from built agents</t>
  </si>
  <si>
    <t xml:space="preserve">UC-4.04.02</t>
  </si>
  <si>
    <t xml:space="preserve">Build template repository (agent, RAG, tool, evaluation)</t>
  </si>
  <si>
    <t xml:space="preserve">UC-4.04.03</t>
  </si>
  <si>
    <t xml:space="preserve">Build scaffolding pipeline for new agents</t>
  </si>
  <si>
    <t xml:space="preserve">UC-4.04.04</t>
  </si>
  <si>
    <t xml:space="preserve">Template documentation</t>
  </si>
  <si>
    <t xml:space="preserve">UC-4.04.05</t>
  </si>
  <si>
    <t xml:space="preserve">UC-4.04.06</t>
  </si>
  <si>
    <t xml:space="preserve">UC-4.04.07</t>
  </si>
  <si>
    <t xml:space="preserve">UC-4.04.08</t>
  </si>
  <si>
    <t xml:space="preserve">UC-4.05.01</t>
  </si>
  <si>
    <t xml:space="preserve">Define adoption metrics</t>
  </si>
  <si>
    <t xml:space="preserve">UC-4.05.02</t>
  </si>
  <si>
    <t xml:space="preserve">Build adoption dashboard</t>
  </si>
  <si>
    <t xml:space="preserve">UC-4.05.03</t>
  </si>
  <si>
    <t xml:space="preserve">Build change network of plant champions</t>
  </si>
  <si>
    <t xml:space="preserve">UC-4.05.04</t>
  </si>
  <si>
    <t xml:space="preserve">Ongoing training and communications</t>
  </si>
  <si>
    <t xml:space="preserve">UC-4.05.05</t>
  </si>
  <si>
    <t xml:space="preserve">Adoption reviews</t>
  </si>
  <si>
    <t xml:space="preserve">UC-4.05.06</t>
  </si>
  <si>
    <t xml:space="preserve">UC-4.05.07</t>
  </si>
  <si>
    <t xml:space="preserve">UC-4.06.01</t>
  </si>
  <si>
    <t xml:space="preserve">Quarterly agent value review</t>
  </si>
  <si>
    <t xml:space="preserve">UC-4.06.02</t>
  </si>
  <si>
    <t xml:space="preserve">Decide refresh or retire per agent</t>
  </si>
  <si>
    <t xml:space="preserve">UC-4.06.03</t>
  </si>
  <si>
    <t xml:space="preserve">Decommission or upgrade plan</t>
  </si>
  <si>
    <t xml:space="preserve">UC-4.06.04</t>
  </si>
  <si>
    <t xml:space="preserve">PM-1.01.01</t>
  </si>
  <si>
    <t xml:space="preserve">Phase plan and schedule</t>
  </si>
  <si>
    <t xml:space="preserve">PM-1.01.02</t>
  </si>
  <si>
    <t xml:space="preserve">Weekly status reporting and RAID log</t>
  </si>
  <si>
    <t xml:space="preserve">PM-1.01.03</t>
  </si>
  <si>
    <t xml:space="preserve">Steering committee preparation</t>
  </si>
  <si>
    <t xml:space="preserve">PM-1.01.04</t>
  </si>
  <si>
    <t xml:space="preserve">Architecture design authority reviews</t>
  </si>
  <si>
    <t xml:space="preserve">PM-1.01.05</t>
  </si>
  <si>
    <t xml:space="preserve">Resource and vendor coordination</t>
  </si>
  <si>
    <t xml:space="preserve">PM-2.01.01</t>
  </si>
  <si>
    <t xml:space="preserve">PM-2.01.02</t>
  </si>
  <si>
    <t xml:space="preserve">PM-2.01.03</t>
  </si>
  <si>
    <t xml:space="preserve">PM-2.01.04</t>
  </si>
  <si>
    <t xml:space="preserve">PM-2.01.05</t>
  </si>
  <si>
    <t xml:space="preserve">PM-3.01.01</t>
  </si>
  <si>
    <t xml:space="preserve">PM-3.01.02</t>
  </si>
  <si>
    <t xml:space="preserve">PM-3.01.03</t>
  </si>
  <si>
    <t xml:space="preserve">PM-3.01.04</t>
  </si>
  <si>
    <t xml:space="preserve">PM-3.01.05</t>
  </si>
  <si>
    <t xml:space="preserve">PM-4.01.01</t>
  </si>
  <si>
    <t xml:space="preserve">PM-4.01.02</t>
  </si>
  <si>
    <t xml:space="preserve">PM-4.01.03</t>
  </si>
  <si>
    <t xml:space="preserve">PM-4.01.04</t>
  </si>
  <si>
    <t xml:space="preserve">PM-4.01.05</t>
  </si>
  <si>
    <t xml:space="preserve">PS-3.07.01</t>
  </si>
  <si>
    <t xml:space="preserve">Threat-model the end-to-end platform</t>
  </si>
  <si>
    <t xml:space="preserve">PS-3.07.02</t>
  </si>
  <si>
    <t xml:space="preserve">Scope and run external penetration test</t>
  </si>
  <si>
    <t xml:space="preserve">PS-3.07.03</t>
  </si>
  <si>
    <t xml:space="preserve">Remediate findings across platform, agents and apps</t>
  </si>
  <si>
    <t xml:space="preserve">PS-3.07.04</t>
  </si>
  <si>
    <t xml:space="preserve">Retest and close findings</t>
  </si>
  <si>
    <t xml:space="preserve">PS-4.07.01</t>
  </si>
  <si>
    <t xml:space="preserve">Define L1 / L2 / L3 support model and SLAs</t>
  </si>
  <si>
    <t xml:space="preserve">PS-4.07.02</t>
  </si>
  <si>
    <t xml:space="preserve">Integrate alerts and incidents with ServiceNow</t>
  </si>
  <si>
    <t xml:space="preserve">PS-4.07.03</t>
  </si>
  <si>
    <t xml:space="preserve">Runbooks and knowledge-transfer sessions to run team</t>
  </si>
  <si>
    <t xml:space="preserve">PS-4.07.04</t>
  </si>
  <si>
    <t xml:space="preserve">Operational readiness review</t>
  </si>
  <si>
    <t xml:space="preserve">PS-3.08.01</t>
  </si>
  <si>
    <t xml:space="preserve">Build training curriculum for agent developers</t>
  </si>
  <si>
    <t xml:space="preserve">PS-3.08.02</t>
  </si>
  <si>
    <t xml:space="preserve">Hands-on labs using Foundry templates</t>
  </si>
  <si>
    <t xml:space="preserve">PS-3.08.03</t>
  </si>
  <si>
    <t xml:space="preserve">Weekly office hours and design clinics</t>
  </si>
  <si>
    <t xml:space="preserve">PS-3.08.04</t>
  </si>
  <si>
    <t xml:space="preserve">Enablement communications</t>
  </si>
  <si>
    <t xml:space="preserve">UC-2.07.01</t>
  </si>
  <si>
    <t xml:space="preserve">L2 support for live agents (monitor, triage, answer users)</t>
  </si>
  <si>
    <t xml:space="preserve">UC-2.07.02</t>
  </si>
  <si>
    <t xml:space="preserve">Fix production defects and tune prompts / retrieval</t>
  </si>
  <si>
    <t xml:space="preserve">UC-2.07.03</t>
  </si>
  <si>
    <t xml:space="preserve">Weekly operations and quality review</t>
  </si>
  <si>
    <t xml:space="preserve">UC-3.07.01</t>
  </si>
  <si>
    <t xml:space="preserve">UC-3.07.02</t>
  </si>
  <si>
    <t xml:space="preserve">UC-3.07.03</t>
  </si>
  <si>
    <t xml:space="preserve">UC-4.07.01</t>
  </si>
  <si>
    <t xml:space="preserve">UC-4.07.02</t>
  </si>
  <si>
    <t xml:space="preserve">UC-4.07.03</t>
  </si>
  <si>
    <t xml:space="preserve">Estimation basis: what drives the hours for each item</t>
  </si>
  <si>
    <t xml:space="preserve">Hours and task counts are live from Activity Hours.</t>
  </si>
  <si>
    <t xml:space="preserve">Item</t>
  </si>
  <si>
    <t xml:space="preserve">Scope driver</t>
  </si>
  <si>
    <t xml:space="preserve">3 environments x 2 regions; fit into Ball's existing hub, firewall and change process; ExpressRoute to several sites</t>
  </si>
  <si>
    <t xml:space="preserve">Existing tenant and CAB approvals; web, mobile, Teams and partner clients</t>
  </si>
  <si>
    <t xml:space="preserve">Attributes for plant, region and function across many plants; agent and tool permissions</t>
  </si>
  <si>
    <t xml:space="preserve">Customer-managed keys and rotation automation in 3 environments</t>
  </si>
  <si>
    <t xml:space="preserve">Multi-region APIM with per-product policies and WAF tuning</t>
  </si>
  <si>
    <t xml:space="preserve">Module library for 15+ Azure services, 3 environments, policy-as-code</t>
  </si>
  <si>
    <t xml:space="preserve">Production-grade clusters in 2 regions plus GPU pool for self-hosted models</t>
  </si>
  <si>
    <t xml:space="preserve">Hub and projects per domain and environment, managed network</t>
  </si>
  <si>
    <t xml:space="preserve">4 model providers, quotas per team, multi-region failover, self-hosted models</t>
  </si>
  <si>
    <t xml:space="preserve">Shared framework every agent depends on; production hardening and patterns</t>
  </si>
  <si>
    <t xml:space="preserve">Several memory types, PII isolation, retention rules</t>
  </si>
  <si>
    <t xml:space="preserve">Templates for 7 agent types with approval workflow</t>
  </si>
  <si>
    <t xml:space="preserve">Policies and red-teaming per agent type</t>
  </si>
  <si>
    <t xml:space="preserve">Three cache types in 2 regions</t>
  </si>
  <si>
    <t xml:space="preserve">Async workflows for long-running and approval-based agents</t>
  </si>
  <si>
    <t xml:space="preserve">6 enterprise systems; each MCP server needs auth, paging, errors, write controls</t>
  </si>
  <si>
    <t xml:space="preserve">Approval flows across Teams and web for every action-taking agent</t>
  </si>
  <si>
    <t xml:space="preserve">Full internal application with role-based screens</t>
  </si>
  <si>
    <t xml:space="preserve">End-to-end correlation across gateway, agents, tools and plants</t>
  </si>
  <si>
    <t xml:space="preserve">Offline and online evaluation for every agent, CI/CD gates</t>
  </si>
  <si>
    <t xml:space="preserve">Chargeback by team, agent and plant</t>
  </si>
  <si>
    <t xml:space="preserve">Experiment framework reused by all agents</t>
  </si>
  <si>
    <t xml:space="preserve">Cross-region DR design and drills</t>
  </si>
  <si>
    <t xml:space="preserve">SLOs for every service and agent; on-call setup</t>
  </si>
  <si>
    <t xml:space="preserve">OT network variation across 5 plants; strict OT security reviews</t>
  </si>
  <si>
    <t xml:space="preserve">5 source systems with plant-by-plant variation</t>
  </si>
  <si>
    <t xml:space="preserve">Large estate of SAP, SharePoint and plant data</t>
  </si>
  <si>
    <t xml:space="preserve">Owners per domain and per region</t>
  </si>
  <si>
    <t xml:space="preserve">Zones and ACLs in 3 environments</t>
  </si>
  <si>
    <t xml:space="preserve">HA databases in 3 environments</t>
  </si>
  <si>
    <t xml:space="preserve">Scans and glossary across all sources</t>
  </si>
  <si>
    <t xml:space="preserve">SAP extraction across several modules (PM, QM, MM, PP, SD); MES variation by plant</t>
  </si>
  <si>
    <t xml:space="preserve">Scanned, multi-language and drawing-heavy documents at scale</t>
  </si>
  <si>
    <t xml:space="preserve">Benchmarking on Ball content; re-embedding strategy</t>
  </si>
  <si>
    <t xml:space="preserve">Several indexes, filters and relevance tuning per domain</t>
  </si>
  <si>
    <t xml:space="preserve">Rules for every critical table and source</t>
  </si>
  <si>
    <t xml:space="preserve">Analytical models for production, quality, supply and energy</t>
  </si>
  <si>
    <t xml:space="preserve">Ontology across plants, equipment, products and suppliers</t>
  </si>
  <si>
    <t xml:space="preserve">Matching to SAP master data with low tolerance for errors</t>
  </si>
  <si>
    <t xml:space="preserve">AVEVA PI historians at several plants; high data volume</t>
  </si>
  <si>
    <t xml:space="preserve">4 domain indexes with routing</t>
  </si>
  <si>
    <t xml:space="preserve">ACL sync from SharePoint and SAP; strict negative testing</t>
  </si>
  <si>
    <t xml:space="preserve">Test sets for each agent and domain, built with SMEs</t>
  </si>
  <si>
    <t xml:space="preserve">Freshness for all sources</t>
  </si>
  <si>
    <t xml:space="preserve">Lineage across pipelines, indexes and agents</t>
  </si>
  <si>
    <t xml:space="preserve">Policies per data class and region</t>
  </si>
  <si>
    <t xml:space="preserve">Backups in 2 regions</t>
  </si>
  <si>
    <t xml:space="preserve">Drift checks for every agent</t>
  </si>
  <si>
    <t xml:space="preserve">15 additional plants in Phase 4, each with its own systems and owners</t>
  </si>
  <si>
    <t xml:space="preserve">Workshops across regions and functions</t>
  </si>
  <si>
    <t xml:space="preserve">Scoring across a large backlog</t>
  </si>
  <si>
    <t xml:space="preserve">Baselines per agent and plant</t>
  </si>
  <si>
    <t xml:space="preserve">Charters for 2 pilots at 2 plants</t>
  </si>
  <si>
    <t xml:space="preserve">Rules for each action-taking agent</t>
  </si>
  <si>
    <t xml:space="preserve">Assessment per agent</t>
  </si>
  <si>
    <t xml:space="preserve">Enterprise semantic model; high accuracy bar for numbers</t>
  </si>
  <si>
    <t xml:space="preserve">Large spec / SOP corpus with revisions and plant variants</t>
  </si>
  <si>
    <t xml:space="preserve">Teams and Copilot channels, enterprise app approval</t>
  </si>
  <si>
    <t xml:space="preserve">2 plants, shifts and multiple user groups</t>
  </si>
  <si>
    <t xml:space="preserve">Feedback across pilot plants</t>
  </si>
  <si>
    <t xml:space="preserve">Formal steering decision</t>
  </si>
  <si>
    <t xml:space="preserve">PI and SAP PM integration; safety-relevant recommendations</t>
  </si>
  <si>
    <t xml:space="preserve">SPC, inspection and NCR / CAPA integration</t>
  </si>
  <si>
    <t xml:space="preserve">SAP MM and Coupa integration; risk scoring</t>
  </si>
  <si>
    <t xml:space="preserve">Coordination across all specialist agents</t>
  </si>
  <si>
    <t xml:space="preserve">Web and mobile apps with offline use on the plant floor</t>
  </si>
  <si>
    <t xml:space="preserve">Rollout to 5 plants in waves</t>
  </si>
  <si>
    <t xml:space="preserve">Energy and carbon data across plants; audit-grade numbers</t>
  </si>
  <si>
    <t xml:space="preserve">External security, onboarding and support</t>
  </si>
  <si>
    <t xml:space="preserve">SOX / ITGC controls on SAP changes</t>
  </si>
  <si>
    <t xml:space="preserve">Templates for agent, RAG, tool and evaluation</t>
  </si>
  <si>
    <t xml:space="preserve">Change network across many plants</t>
  </si>
  <si>
    <t xml:space="preserve">Quarterly portfolio review</t>
  </si>
  <si>
    <t xml:space="preserve">Program across 3 teams, many plants and vendors</t>
  </si>
  <si>
    <t xml:space="preserve">Not on the slides; added for a complete delivery plan</t>
  </si>
  <si>
    <t xml:space="preserve">Not on the slides; added for a complete delivery plan (support grows as more agents go live)</t>
  </si>
  <si>
    <t xml:space="preserve">Scope and assumptions behind the 24,000-hour estimate</t>
  </si>
  <si>
    <t xml:space="preserve">Assumption used for sizing</t>
  </si>
  <si>
    <t xml:space="preserve">Target total</t>
  </si>
  <si>
    <t xml:space="preserve">24,000 hours across all phases, teams and roles </t>
  </si>
  <si>
    <t xml:space="preserve">Environments</t>
  </si>
  <si>
    <t xml:space="preserve">3: dev, test, production</t>
  </si>
  <si>
    <t xml:space="preserve">Azure regions</t>
  </si>
  <si>
    <t xml:space="preserve">2: primary and DR / secondary</t>
  </si>
  <si>
    <t xml:space="preserve">Plants</t>
  </si>
  <si>
    <t xml:space="preserve">2 pilot plants (Phase 2), 5 plants live by end of Phase 3, 15 more plants onboarded in Phase 4</t>
  </si>
  <si>
    <t xml:space="preserve">Enterprise systems integrated</t>
  </si>
  <si>
    <t xml:space="preserve">6: SAP S/4HANA, FactoryTalk MES, AVEVA PI, SharePoint, Coupa, Azure SQL</t>
  </si>
  <si>
    <t xml:space="preserve">Agents built</t>
  </si>
  <si>
    <t xml:space="preserve">7: Analyst, Spec, Maintenance, Quality, Supply, Planner, Sustainability</t>
  </si>
  <si>
    <t xml:space="preserve">Model providers</t>
  </si>
  <si>
    <t xml:space="preserve">4: Azure OpenAI, Anthropic, Google Gemini, self-hosted open models</t>
  </si>
  <si>
    <t xml:space="preserve">Applications</t>
  </si>
  <si>
    <t xml:space="preserve">Teams / Copilot app, Plant Ops web app, mobile app, admin panel, partner APIs</t>
  </si>
  <si>
    <t xml:space="preserve">Controls</t>
  </si>
  <si>
    <t xml:space="preserve">SOX / ITGC controls on SAP write-back; OT security review for plant connectivity; Responsible-AI review per agent</t>
  </si>
  <si>
    <t xml:space="preserve">Delivery standard</t>
  </si>
  <si>
    <t xml:space="preserve">Every slide item gets design review, dev-test-prod promotion, documentation and defect-fix effort</t>
  </si>
  <si>
    <t xml:space="preserve">Out of scope</t>
  </si>
  <si>
    <t xml:space="preserve">Plant SMEs' time, SAP / MES / PI application owners, vendor licences, Azure consumption, hardware at plants</t>
  </si>
  <si>
    <t xml:space="preserve">Method</t>
  </si>
  <si>
    <t xml:space="preserve">Bottom-up: every slide item broken into implementation tasks, each sized by role for the scope above, plus design review, dev-test-prod promotion, documentation and defect fixing on every item</t>
  </si>
  <si>
    <t xml:space="preserve">Resource roles and planning basis</t>
  </si>
  <si>
    <t xml:space="preserve">Working hours per person-week</t>
  </si>
  <si>
    <t xml:space="preserve">Input: used only to convert hours to person-weeks.</t>
  </si>
  <si>
    <t xml:space="preserve">Main team</t>
  </si>
  <si>
    <t xml:space="preserve">Notes</t>
  </si>
  <si>
    <t xml:space="preserve">Activities come from the deck's three track slides; each is broken into implementation tasks on the Task Breakdown sheet.</t>
  </si>
  <si>
    <t xml:space="preserve">Owner teams: Platform Engineering, Foundry, AI Data Lake (Data Engineers and Data Architect / Governance), Factory. Data readiness items led by data engineering or governance belong to AI Data Lake. Program management rows (one per phase) are not on the slides.</t>
  </si>
  <si>
    <t xml:space="preserve">Hours are an enterprise-wide planning estimate of 24,000 hours for the scope on the Scope &amp; Assumptions sheet. Validate with each team lead before committing.</t>
  </si>
  <si>
    <t xml:space="preserve">Hours exclude plant SMEs, SAP / MES / AVEVA PI application owners, licences and Azure consumption.</t>
  </si>
  <si>
    <t xml:space="preserve">Testing effort sits inside each activity (QA tasks) rather than a separate test phase.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</si>
</sst>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"/>
    <numFmt numFmtId="167" formatCode="0.0%"/>
    <numFmt numFmtId="168" formatCode="0.0%;\-0.0%;\-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C"/>
        <bgColor rgb="FF333333"/>
      </patternFill>
    </fill>
    <fill>
      <patternFill patternType="solid">
        <fgColor rgb="FFE7ECF2"/>
        <bgColor rgb="FFDCE6F1"/>
      </patternFill>
    </fill>
    <fill>
      <patternFill patternType="solid">
        <fgColor rgb="FFFFF2CC"/>
        <bgColor rgb="FFF2F5F9"/>
      </patternFill>
    </fill>
    <fill>
      <patternFill patternType="solid">
        <fgColor rgb="FFDCE6F1"/>
        <bgColor rgb="FFE7ECF2"/>
      </patternFill>
    </fill>
    <fill>
      <patternFill patternType="solid">
        <fgColor rgb="FFF2F5F9"/>
        <bgColor rgb="FFE7EC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1DB"/>
      </left>
      <right style="thin">
        <color rgb="FFC9D1DB"/>
      </right>
      <top style="thin">
        <color rgb="FFC9D1DB"/>
      </top>
      <bottom style="thin">
        <color rgb="FFC9D1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2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CF2"/>
      <rgbColor rgb="FF660066"/>
      <rgbColor rgb="FFFF8080"/>
      <rgbColor rgb="FF0066CC"/>
      <rgbColor rgb="FFC9D1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5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9" min="3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5" hidden="false" customHeight="false" outlineLevel="0" collapsed="false">
      <c r="A6" s="5" t="s">
        <v>11</v>
      </c>
      <c r="B6" s="5" t="s">
        <v>12</v>
      </c>
      <c r="C6" s="6" t="n">
        <f aca="false">SUMPRODUCT(('Activity Hours'!$C$5:$C$87=C$5)*INDEX('Activity Hours'!$I$5:$T$87,0,MATCH($A6,'Activity Hours'!$I$4:$T$4,0)))</f>
        <v>454</v>
      </c>
      <c r="D6" s="6" t="n">
        <f aca="false">SUMPRODUCT(('Activity Hours'!$C$5:$C$87=D$5)*INDEX('Activity Hours'!$I$5:$T$87,0,MATCH($A6,'Activity Hours'!$I$4:$T$4,0)))</f>
        <v>434</v>
      </c>
      <c r="E6" s="6" t="n">
        <f aca="false">SUMPRODUCT(('Activity Hours'!$C$5:$C$87=E$5)*INDEX('Activity Hours'!$I$5:$T$87,0,MATCH($A6,'Activity Hours'!$I$4:$T$4,0)))</f>
        <v>444</v>
      </c>
      <c r="F6" s="6" t="n">
        <f aca="false">SUMPRODUCT(('Activity Hours'!$C$5:$C$87=F$5)*INDEX('Activity Hours'!$I$5:$T$87,0,MATCH($A6,'Activity Hours'!$I$4:$T$4,0)))</f>
        <v>402</v>
      </c>
      <c r="G6" s="7" t="n">
        <f aca="false">SUM(C6:F6)</f>
        <v>1734</v>
      </c>
      <c r="H6" s="8" t="n">
        <f aca="false">IF(Resources!$B$3&gt;0,G6/Resources!$B$3,0)</f>
        <v>43.35</v>
      </c>
    </row>
    <row r="7" customFormat="false" ht="15" hidden="false" customHeight="false" outlineLevel="0" collapsed="false">
      <c r="A7" s="5" t="s">
        <v>13</v>
      </c>
      <c r="B7" s="5" t="s">
        <v>14</v>
      </c>
      <c r="C7" s="6" t="n">
        <f aca="false">SUMPRODUCT(('Activity Hours'!$C$5:$C$87=C$5)*INDEX('Activity Hours'!$I$5:$T$87,0,MATCH($A7,'Activity Hours'!$I$4:$T$4,0)))</f>
        <v>306</v>
      </c>
      <c r="D7" s="6" t="n">
        <f aca="false">SUMPRODUCT(('Activity Hours'!$C$5:$C$87=D$5)*INDEX('Activity Hours'!$I$5:$T$87,0,MATCH($A7,'Activity Hours'!$I$4:$T$4,0)))</f>
        <v>48</v>
      </c>
      <c r="E7" s="6" t="n">
        <f aca="false">SUMPRODUCT(('Activity Hours'!$C$5:$C$87=E$5)*INDEX('Activity Hours'!$I$5:$T$87,0,MATCH($A7,'Activity Hours'!$I$4:$T$4,0)))</f>
        <v>153</v>
      </c>
      <c r="F7" s="6" t="n">
        <f aca="false">SUMPRODUCT(('Activity Hours'!$C$5:$C$87=F$5)*INDEX('Activity Hours'!$I$5:$T$87,0,MATCH($A7,'Activity Hours'!$I$4:$T$4,0)))</f>
        <v>185</v>
      </c>
      <c r="G7" s="7" t="n">
        <f aca="false">SUM(C7:F7)</f>
        <v>692</v>
      </c>
      <c r="H7" s="8" t="n">
        <f aca="false">IF(Resources!$B$3&gt;0,G7/Resources!$B$3,0)</f>
        <v>17.3</v>
      </c>
    </row>
    <row r="8" customFormat="false" ht="15" hidden="false" customHeight="false" outlineLevel="0" collapsed="false">
      <c r="A8" s="5" t="s">
        <v>15</v>
      </c>
      <c r="B8" s="5" t="s">
        <v>16</v>
      </c>
      <c r="C8" s="6" t="n">
        <f aca="false">SUMPRODUCT(('Activity Hours'!$C$5:$C$87=C$5)*INDEX('Activity Hours'!$I$5:$T$87,0,MATCH($A8,'Activity Hours'!$I$4:$T$4,0)))</f>
        <v>917</v>
      </c>
      <c r="D8" s="6" t="n">
        <f aca="false">SUMPRODUCT(('Activity Hours'!$C$5:$C$87=D$5)*INDEX('Activity Hours'!$I$5:$T$87,0,MATCH($A8,'Activity Hours'!$I$4:$T$4,0)))</f>
        <v>334</v>
      </c>
      <c r="E8" s="6" t="n">
        <f aca="false">SUMPRODUCT(('Activity Hours'!$C$5:$C$87=E$5)*INDEX('Activity Hours'!$I$5:$T$87,0,MATCH($A8,'Activity Hours'!$I$4:$T$4,0)))</f>
        <v>581</v>
      </c>
      <c r="F8" s="6" t="n">
        <f aca="false">SUMPRODUCT(('Activity Hours'!$C$5:$C$87=F$5)*INDEX('Activity Hours'!$I$5:$T$87,0,MATCH($A8,'Activity Hours'!$I$4:$T$4,0)))</f>
        <v>817</v>
      </c>
      <c r="G8" s="7" t="n">
        <f aca="false">SUM(C8:F8)</f>
        <v>2649</v>
      </c>
      <c r="H8" s="8" t="n">
        <f aca="false">IF(Resources!$B$3&gt;0,G8/Resources!$B$3,0)</f>
        <v>66.225</v>
      </c>
    </row>
    <row r="9" customFormat="false" ht="15" hidden="false" customHeight="false" outlineLevel="0" collapsed="false">
      <c r="A9" s="5" t="s">
        <v>17</v>
      </c>
      <c r="B9" s="5" t="s">
        <v>18</v>
      </c>
      <c r="C9" s="6" t="n">
        <f aca="false">SUMPRODUCT(('Activity Hours'!$C$5:$C$87=C$5)*INDEX('Activity Hours'!$I$5:$T$87,0,MATCH($A9,'Activity Hours'!$I$4:$T$4,0)))</f>
        <v>414</v>
      </c>
      <c r="D9" s="6" t="n">
        <f aca="false">SUMPRODUCT(('Activity Hours'!$C$5:$C$87=D$5)*INDEX('Activity Hours'!$I$5:$T$87,0,MATCH($A9,'Activity Hours'!$I$4:$T$4,0)))</f>
        <v>96</v>
      </c>
      <c r="E9" s="6" t="n">
        <f aca="false">SUMPRODUCT(('Activity Hours'!$C$5:$C$87=E$5)*INDEX('Activity Hours'!$I$5:$T$87,0,MATCH($A9,'Activity Hours'!$I$4:$T$4,0)))</f>
        <v>273</v>
      </c>
      <c r="F9" s="6" t="n">
        <f aca="false">SUMPRODUCT(('Activity Hours'!$C$5:$C$87=F$5)*INDEX('Activity Hours'!$I$5:$T$87,0,MATCH($A9,'Activity Hours'!$I$4:$T$4,0)))</f>
        <v>244</v>
      </c>
      <c r="G9" s="7" t="n">
        <f aca="false">SUM(C9:F9)</f>
        <v>1027</v>
      </c>
      <c r="H9" s="8" t="n">
        <f aca="false">IF(Resources!$B$3&gt;0,G9/Resources!$B$3,0)</f>
        <v>25.675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6" t="n">
        <f aca="false">SUMPRODUCT(('Activity Hours'!$C$5:$C$87=C$5)*INDEX('Activity Hours'!$I$5:$T$87,0,MATCH($A10,'Activity Hours'!$I$4:$T$4,0)))</f>
        <v>131</v>
      </c>
      <c r="D10" s="6" t="n">
        <f aca="false">SUMPRODUCT(('Activity Hours'!$C$5:$C$87=D$5)*INDEX('Activity Hours'!$I$5:$T$87,0,MATCH($A10,'Activity Hours'!$I$4:$T$4,0)))</f>
        <v>511</v>
      </c>
      <c r="E10" s="6" t="n">
        <f aca="false">SUMPRODUCT(('Activity Hours'!$C$5:$C$87=E$5)*INDEX('Activity Hours'!$I$5:$T$87,0,MATCH($A10,'Activity Hours'!$I$4:$T$4,0)))</f>
        <v>521</v>
      </c>
      <c r="F10" s="6" t="n">
        <f aca="false">SUMPRODUCT(('Activity Hours'!$C$5:$C$87=F$5)*INDEX('Activity Hours'!$I$5:$T$87,0,MATCH($A10,'Activity Hours'!$I$4:$T$4,0)))</f>
        <v>195</v>
      </c>
      <c r="G10" s="7" t="n">
        <f aca="false">SUM(C10:F10)</f>
        <v>1358</v>
      </c>
      <c r="H10" s="8" t="n">
        <f aca="false">IF(Resources!$B$3&gt;0,G10/Resources!$B$3,0)</f>
        <v>33.95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6" t="n">
        <f aca="false">SUMPRODUCT(('Activity Hours'!$C$5:$C$87=C$5)*INDEX('Activity Hours'!$I$5:$T$87,0,MATCH($A11,'Activity Hours'!$I$4:$T$4,0)))</f>
        <v>0</v>
      </c>
      <c r="D11" s="6" t="n">
        <f aca="false">SUMPRODUCT(('Activity Hours'!$C$5:$C$87=D$5)*INDEX('Activity Hours'!$I$5:$T$87,0,MATCH($A11,'Activity Hours'!$I$4:$T$4,0)))</f>
        <v>2024</v>
      </c>
      <c r="E11" s="6" t="n">
        <f aca="false">SUMPRODUCT(('Activity Hours'!$C$5:$C$87=E$5)*INDEX('Activity Hours'!$I$5:$T$87,0,MATCH($A11,'Activity Hours'!$I$4:$T$4,0)))</f>
        <v>2581</v>
      </c>
      <c r="F11" s="6" t="n">
        <f aca="false">SUMPRODUCT(('Activity Hours'!$C$5:$C$87=F$5)*INDEX('Activity Hours'!$I$5:$T$87,0,MATCH($A11,'Activity Hours'!$I$4:$T$4,0)))</f>
        <v>1143</v>
      </c>
      <c r="G11" s="7" t="n">
        <f aca="false">SUM(C11:F11)</f>
        <v>5748</v>
      </c>
      <c r="H11" s="8" t="n">
        <f aca="false">IF(Resources!$B$3&gt;0,G11/Resources!$B$3,0)</f>
        <v>143.7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6" t="n">
        <f aca="false">SUMPRODUCT(('Activity Hours'!$C$5:$C$87=C$5)*INDEX('Activity Hours'!$I$5:$T$87,0,MATCH($A12,'Activity Hours'!$I$4:$T$4,0)))</f>
        <v>162</v>
      </c>
      <c r="D12" s="6" t="n">
        <f aca="false">SUMPRODUCT(('Activity Hours'!$C$5:$C$87=D$5)*INDEX('Activity Hours'!$I$5:$T$87,0,MATCH($A12,'Activity Hours'!$I$4:$T$4,0)))</f>
        <v>1227</v>
      </c>
      <c r="E12" s="6" t="n">
        <f aca="false">SUMPRODUCT(('Activity Hours'!$C$5:$C$87=E$5)*INDEX('Activity Hours'!$I$5:$T$87,0,MATCH($A12,'Activity Hours'!$I$4:$T$4,0)))</f>
        <v>885</v>
      </c>
      <c r="F12" s="6" t="n">
        <f aca="false">SUMPRODUCT(('Activity Hours'!$C$5:$C$87=F$5)*INDEX('Activity Hours'!$I$5:$T$87,0,MATCH($A12,'Activity Hours'!$I$4:$T$4,0)))</f>
        <v>661</v>
      </c>
      <c r="G12" s="7" t="n">
        <f aca="false">SUM(C12:F12)</f>
        <v>2935</v>
      </c>
      <c r="H12" s="8" t="n">
        <f aca="false">IF(Resources!$B$3&gt;0,G12/Resources!$B$3,0)</f>
        <v>73.375</v>
      </c>
    </row>
    <row r="13" customFormat="false" ht="15" hidden="false" customHeight="false" outlineLevel="0" collapsed="false">
      <c r="A13" s="5" t="s">
        <v>25</v>
      </c>
      <c r="B13" s="5" t="s">
        <v>26</v>
      </c>
      <c r="C13" s="6" t="n">
        <f aca="false">SUMPRODUCT(('Activity Hours'!$C$5:$C$87=C$5)*INDEX('Activity Hours'!$I$5:$T$87,0,MATCH($A13,'Activity Hours'!$I$4:$T$4,0)))</f>
        <v>346</v>
      </c>
      <c r="D13" s="6" t="n">
        <f aca="false">SUMPRODUCT(('Activity Hours'!$C$5:$C$87=D$5)*INDEX('Activity Hours'!$I$5:$T$87,0,MATCH($A13,'Activity Hours'!$I$4:$T$4,0)))</f>
        <v>170</v>
      </c>
      <c r="E13" s="6" t="n">
        <f aca="false">SUMPRODUCT(('Activity Hours'!$C$5:$C$87=E$5)*INDEX('Activity Hours'!$I$5:$T$87,0,MATCH($A13,'Activity Hours'!$I$4:$T$4,0)))</f>
        <v>37</v>
      </c>
      <c r="F13" s="6" t="n">
        <f aca="false">SUMPRODUCT(('Activity Hours'!$C$5:$C$87=F$5)*INDEX('Activity Hours'!$I$5:$T$87,0,MATCH($A13,'Activity Hours'!$I$4:$T$4,0)))</f>
        <v>201</v>
      </c>
      <c r="G13" s="7" t="n">
        <f aca="false">SUM(C13:F13)</f>
        <v>754</v>
      </c>
      <c r="H13" s="8" t="n">
        <f aca="false">IF(Resources!$B$3&gt;0,G13/Resources!$B$3,0)</f>
        <v>18.85</v>
      </c>
    </row>
    <row r="14" customFormat="false" ht="15" hidden="false" customHeight="false" outlineLevel="0" collapsed="false">
      <c r="A14" s="5" t="s">
        <v>27</v>
      </c>
      <c r="B14" s="5" t="s">
        <v>28</v>
      </c>
      <c r="C14" s="6" t="n">
        <f aca="false">SUMPRODUCT(('Activity Hours'!$C$5:$C$87=C$5)*INDEX('Activity Hours'!$I$5:$T$87,0,MATCH($A14,'Activity Hours'!$I$4:$T$4,0)))</f>
        <v>0</v>
      </c>
      <c r="D14" s="6" t="n">
        <f aca="false">SUMPRODUCT(('Activity Hours'!$C$5:$C$87=D$5)*INDEX('Activity Hours'!$I$5:$T$87,0,MATCH($A14,'Activity Hours'!$I$4:$T$4,0)))</f>
        <v>319</v>
      </c>
      <c r="E14" s="6" t="n">
        <f aca="false">SUMPRODUCT(('Activity Hours'!$C$5:$C$87=E$5)*INDEX('Activity Hours'!$I$5:$T$87,0,MATCH($A14,'Activity Hours'!$I$4:$T$4,0)))</f>
        <v>1306</v>
      </c>
      <c r="F14" s="6" t="n">
        <f aca="false">SUMPRODUCT(('Activity Hours'!$C$5:$C$87=F$5)*INDEX('Activity Hours'!$I$5:$T$87,0,MATCH($A14,'Activity Hours'!$I$4:$T$4,0)))</f>
        <v>406</v>
      </c>
      <c r="G14" s="7" t="n">
        <f aca="false">SUM(C14:F14)</f>
        <v>2031</v>
      </c>
      <c r="H14" s="8" t="n">
        <f aca="false">IF(Resources!$B$3&gt;0,G14/Resources!$B$3,0)</f>
        <v>50.775</v>
      </c>
    </row>
    <row r="15" customFormat="false" ht="15" hidden="false" customHeight="false" outlineLevel="0" collapsed="false">
      <c r="A15" s="5" t="s">
        <v>29</v>
      </c>
      <c r="B15" s="5" t="s">
        <v>30</v>
      </c>
      <c r="C15" s="6" t="n">
        <f aca="false">SUMPRODUCT(('Activity Hours'!$C$5:$C$87=C$5)*INDEX('Activity Hours'!$I$5:$T$87,0,MATCH($A15,'Activity Hours'!$I$4:$T$4,0)))</f>
        <v>491</v>
      </c>
      <c r="D15" s="6" t="n">
        <f aca="false">SUMPRODUCT(('Activity Hours'!$C$5:$C$87=D$5)*INDEX('Activity Hours'!$I$5:$T$87,0,MATCH($A15,'Activity Hours'!$I$4:$T$4,0)))</f>
        <v>493</v>
      </c>
      <c r="E15" s="6" t="n">
        <f aca="false">SUMPRODUCT(('Activity Hours'!$C$5:$C$87=E$5)*INDEX('Activity Hours'!$I$5:$T$87,0,MATCH($A15,'Activity Hours'!$I$4:$T$4,0)))</f>
        <v>795</v>
      </c>
      <c r="F15" s="6" t="n">
        <f aca="false">SUMPRODUCT(('Activity Hours'!$C$5:$C$87=F$5)*INDEX('Activity Hours'!$I$5:$T$87,0,MATCH($A15,'Activity Hours'!$I$4:$T$4,0)))</f>
        <v>446</v>
      </c>
      <c r="G15" s="7" t="n">
        <f aca="false">SUM(C15:F15)</f>
        <v>2225</v>
      </c>
      <c r="H15" s="8" t="n">
        <f aca="false">IF(Resources!$B$3&gt;0,G15/Resources!$B$3,0)</f>
        <v>55.625</v>
      </c>
    </row>
    <row r="16" customFormat="false" ht="15" hidden="false" customHeight="false" outlineLevel="0" collapsed="false">
      <c r="A16" s="5" t="s">
        <v>31</v>
      </c>
      <c r="B16" s="5" t="s">
        <v>32</v>
      </c>
      <c r="C16" s="6" t="n">
        <f aca="false">SUMPRODUCT(('Activity Hours'!$C$5:$C$87=C$5)*INDEX('Activity Hours'!$I$5:$T$87,0,MATCH($A16,'Activity Hours'!$I$4:$T$4,0)))</f>
        <v>76</v>
      </c>
      <c r="D16" s="6" t="n">
        <f aca="false">SUMPRODUCT(('Activity Hours'!$C$5:$C$87=D$5)*INDEX('Activity Hours'!$I$5:$T$87,0,MATCH($A16,'Activity Hours'!$I$4:$T$4,0)))</f>
        <v>712</v>
      </c>
      <c r="E16" s="6" t="n">
        <f aca="false">SUMPRODUCT(('Activity Hours'!$C$5:$C$87=E$5)*INDEX('Activity Hours'!$I$5:$T$87,0,MATCH($A16,'Activity Hours'!$I$4:$T$4,0)))</f>
        <v>983</v>
      </c>
      <c r="F16" s="6" t="n">
        <f aca="false">SUMPRODUCT(('Activity Hours'!$C$5:$C$87=F$5)*INDEX('Activity Hours'!$I$5:$T$87,0,MATCH($A16,'Activity Hours'!$I$4:$T$4,0)))</f>
        <v>488</v>
      </c>
      <c r="G16" s="7" t="n">
        <f aca="false">SUM(C16:F16)</f>
        <v>2259</v>
      </c>
      <c r="H16" s="8" t="n">
        <f aca="false">IF(Resources!$B$3&gt;0,G16/Resources!$B$3,0)</f>
        <v>56.475</v>
      </c>
    </row>
    <row r="17" customFormat="false" ht="15" hidden="false" customHeight="false" outlineLevel="0" collapsed="false">
      <c r="A17" s="5" t="s">
        <v>33</v>
      </c>
      <c r="B17" s="5" t="s">
        <v>34</v>
      </c>
      <c r="C17" s="6" t="n">
        <f aca="false">SUMPRODUCT(('Activity Hours'!$C$5:$C$87=C$5)*INDEX('Activity Hours'!$I$5:$T$87,0,MATCH($A17,'Activity Hours'!$I$4:$T$4,0)))</f>
        <v>16</v>
      </c>
      <c r="D17" s="6" t="n">
        <f aca="false">SUMPRODUCT(('Activity Hours'!$C$5:$C$87=D$5)*INDEX('Activity Hours'!$I$5:$T$87,0,MATCH($A17,'Activity Hours'!$I$4:$T$4,0)))</f>
        <v>97</v>
      </c>
      <c r="E17" s="6" t="n">
        <f aca="false">SUMPRODUCT(('Activity Hours'!$C$5:$C$87=E$5)*INDEX('Activity Hours'!$I$5:$T$87,0,MATCH($A17,'Activity Hours'!$I$4:$T$4,0)))</f>
        <v>222</v>
      </c>
      <c r="F17" s="6" t="n">
        <f aca="false">SUMPRODUCT(('Activity Hours'!$C$5:$C$87=F$5)*INDEX('Activity Hours'!$I$5:$T$87,0,MATCH($A17,'Activity Hours'!$I$4:$T$4,0)))</f>
        <v>253</v>
      </c>
      <c r="G17" s="7" t="n">
        <f aca="false">SUM(C17:F17)</f>
        <v>588</v>
      </c>
      <c r="H17" s="8" t="n">
        <f aca="false">IF(Resources!$B$3&gt;0,G17/Resources!$B$3,0)</f>
        <v>14.7</v>
      </c>
    </row>
    <row r="18" customFormat="false" ht="15" hidden="false" customHeight="false" outlineLevel="0" collapsed="false">
      <c r="A18" s="9"/>
      <c r="B18" s="10" t="s">
        <v>35</v>
      </c>
      <c r="C18" s="11" t="n">
        <f aca="false">SUM(C6:C17)</f>
        <v>3313</v>
      </c>
      <c r="D18" s="11" t="n">
        <f aca="false">SUM(D6:D17)</f>
        <v>6465</v>
      </c>
      <c r="E18" s="11" t="n">
        <f aca="false">SUM(E6:E17)</f>
        <v>8781</v>
      </c>
      <c r="F18" s="11" t="n">
        <f aca="false">SUM(F6:F17)</f>
        <v>5441</v>
      </c>
      <c r="G18" s="11" t="n">
        <f aca="false">SUM(G6:G17)</f>
        <v>24000</v>
      </c>
      <c r="H18" s="12" t="n">
        <f aca="false">SUM(H6:H17)</f>
        <v>600</v>
      </c>
    </row>
    <row r="21" customFormat="false" ht="15" hidden="false" customHeight="false" outlineLevel="0" collapsed="false">
      <c r="A21" s="3" t="s">
        <v>36</v>
      </c>
    </row>
    <row r="22" customFormat="false" ht="31.5" hidden="false" customHeight="true" outlineLevel="0" collapsed="false">
      <c r="A22" s="4" t="s">
        <v>3</v>
      </c>
      <c r="B22" s="4" t="s">
        <v>4</v>
      </c>
      <c r="C22" s="4" t="s">
        <v>37</v>
      </c>
      <c r="D22" s="4" t="s">
        <v>38</v>
      </c>
      <c r="E22" s="4" t="s">
        <v>39</v>
      </c>
      <c r="F22" s="4" t="s">
        <v>40</v>
      </c>
      <c r="G22" s="4" t="s">
        <v>9</v>
      </c>
    </row>
    <row r="23" customFormat="false" ht="15" hidden="false" customHeight="false" outlineLevel="0" collapsed="false">
      <c r="A23" s="5" t="s">
        <v>11</v>
      </c>
      <c r="B23" s="5" t="s">
        <v>12</v>
      </c>
      <c r="C23" s="6" t="n">
        <f aca="false">SUMPRODUCT(('Activity Hours'!$B$5:$B$87=C$22)*INDEX('Activity Hours'!$I$5:$T$87,0,MATCH($A23,'Activity Hours'!$I$4:$T$4,0)))</f>
        <v>8</v>
      </c>
      <c r="D23" s="6" t="n">
        <f aca="false">SUMPRODUCT(('Activity Hours'!$B$5:$B$87=D$22)*INDEX('Activity Hours'!$I$5:$T$87,0,MATCH($A23,'Activity Hours'!$I$4:$T$4,0)))</f>
        <v>16</v>
      </c>
      <c r="E23" s="6" t="n">
        <f aca="false">SUMPRODUCT(('Activity Hours'!$B$5:$B$87=E$22)*INDEX('Activity Hours'!$I$5:$T$87,0,MATCH($A23,'Activity Hours'!$I$4:$T$4,0)))</f>
        <v>246</v>
      </c>
      <c r="F23" s="6" t="n">
        <f aca="false">SUMPRODUCT(('Activity Hours'!$B$5:$B$87=F$22)*INDEX('Activity Hours'!$I$5:$T$87,0,MATCH($A23,'Activity Hours'!$I$4:$T$4,0)))</f>
        <v>1464</v>
      </c>
      <c r="G23" s="7" t="n">
        <f aca="false">SUM(C23:F23)</f>
        <v>1734</v>
      </c>
    </row>
    <row r="24" customFormat="false" ht="15" hidden="false" customHeight="false" outlineLevel="0" collapsed="false">
      <c r="A24" s="5" t="s">
        <v>13</v>
      </c>
      <c r="B24" s="5" t="s">
        <v>14</v>
      </c>
      <c r="C24" s="6" t="n">
        <f aca="false">SUMPRODUCT(('Activity Hours'!$B$5:$B$87=C$22)*INDEX('Activity Hours'!$I$5:$T$87,0,MATCH($A24,'Activity Hours'!$I$4:$T$4,0)))</f>
        <v>467</v>
      </c>
      <c r="D24" s="6" t="n">
        <f aca="false">SUMPRODUCT(('Activity Hours'!$B$5:$B$87=D$22)*INDEX('Activity Hours'!$I$5:$T$87,0,MATCH($A24,'Activity Hours'!$I$4:$T$4,0)))</f>
        <v>113</v>
      </c>
      <c r="E24" s="6" t="n">
        <f aca="false">SUMPRODUCT(('Activity Hours'!$B$5:$B$87=E$22)*INDEX('Activity Hours'!$I$5:$T$87,0,MATCH($A24,'Activity Hours'!$I$4:$T$4,0)))</f>
        <v>16</v>
      </c>
      <c r="F24" s="6" t="n">
        <f aca="false">SUMPRODUCT(('Activity Hours'!$B$5:$B$87=F$22)*INDEX('Activity Hours'!$I$5:$T$87,0,MATCH($A24,'Activity Hours'!$I$4:$T$4,0)))</f>
        <v>96</v>
      </c>
      <c r="G24" s="7" t="n">
        <f aca="false">SUM(C24:F24)</f>
        <v>692</v>
      </c>
    </row>
    <row r="25" customFormat="false" ht="15" hidden="false" customHeight="false" outlineLevel="0" collapsed="false">
      <c r="A25" s="5" t="s">
        <v>15</v>
      </c>
      <c r="B25" s="5" t="s">
        <v>16</v>
      </c>
      <c r="C25" s="6" t="n">
        <f aca="false">SUMPRODUCT(('Activity Hours'!$B$5:$B$87=C$22)*INDEX('Activity Hours'!$I$5:$T$87,0,MATCH($A25,'Activity Hours'!$I$4:$T$4,0)))</f>
        <v>1917</v>
      </c>
      <c r="D25" s="6" t="n">
        <f aca="false">SUMPRODUCT(('Activity Hours'!$B$5:$B$87=D$22)*INDEX('Activity Hours'!$I$5:$T$87,0,MATCH($A25,'Activity Hours'!$I$4:$T$4,0)))</f>
        <v>470</v>
      </c>
      <c r="E25" s="6" t="n">
        <f aca="false">SUMPRODUCT(('Activity Hours'!$B$5:$B$87=E$22)*INDEX('Activity Hours'!$I$5:$T$87,0,MATCH($A25,'Activity Hours'!$I$4:$T$4,0)))</f>
        <v>262</v>
      </c>
      <c r="F25" s="6" t="n">
        <f aca="false">SUMPRODUCT(('Activity Hours'!$B$5:$B$87=F$22)*INDEX('Activity Hours'!$I$5:$T$87,0,MATCH($A25,'Activity Hours'!$I$4:$T$4,0)))</f>
        <v>0</v>
      </c>
      <c r="G25" s="7" t="n">
        <f aca="false">SUM(C25:F25)</f>
        <v>2649</v>
      </c>
    </row>
    <row r="26" customFormat="false" ht="15" hidden="false" customHeight="false" outlineLevel="0" collapsed="false">
      <c r="A26" s="5" t="s">
        <v>17</v>
      </c>
      <c r="B26" s="5" t="s">
        <v>18</v>
      </c>
      <c r="C26" s="6" t="n">
        <f aca="false">SUMPRODUCT(('Activity Hours'!$B$5:$B$87=C$22)*INDEX('Activity Hours'!$I$5:$T$87,0,MATCH($A26,'Activity Hours'!$I$4:$T$4,0)))</f>
        <v>641</v>
      </c>
      <c r="D26" s="6" t="n">
        <f aca="false">SUMPRODUCT(('Activity Hours'!$B$5:$B$87=D$22)*INDEX('Activity Hours'!$I$5:$T$87,0,MATCH($A26,'Activity Hours'!$I$4:$T$4,0)))</f>
        <v>199</v>
      </c>
      <c r="E26" s="6" t="n">
        <f aca="false">SUMPRODUCT(('Activity Hours'!$B$5:$B$87=E$22)*INDEX('Activity Hours'!$I$5:$T$87,0,MATCH($A26,'Activity Hours'!$I$4:$T$4,0)))</f>
        <v>187</v>
      </c>
      <c r="F26" s="6" t="n">
        <f aca="false">SUMPRODUCT(('Activity Hours'!$B$5:$B$87=F$22)*INDEX('Activity Hours'!$I$5:$T$87,0,MATCH($A26,'Activity Hours'!$I$4:$T$4,0)))</f>
        <v>0</v>
      </c>
      <c r="G26" s="7" t="n">
        <f aca="false">SUM(C26:F26)</f>
        <v>1027</v>
      </c>
    </row>
    <row r="27" customFormat="false" ht="15" hidden="false" customHeight="false" outlineLevel="0" collapsed="false">
      <c r="A27" s="5" t="s">
        <v>19</v>
      </c>
      <c r="B27" s="5" t="s">
        <v>20</v>
      </c>
      <c r="C27" s="6" t="n">
        <f aca="false">SUMPRODUCT(('Activity Hours'!$B$5:$B$87=C$22)*INDEX('Activity Hours'!$I$5:$T$87,0,MATCH($A27,'Activity Hours'!$I$4:$T$4,0)))</f>
        <v>499</v>
      </c>
      <c r="D27" s="6" t="n">
        <f aca="false">SUMPRODUCT(('Activity Hours'!$B$5:$B$87=D$22)*INDEX('Activity Hours'!$I$5:$T$87,0,MATCH($A27,'Activity Hours'!$I$4:$T$4,0)))</f>
        <v>212</v>
      </c>
      <c r="E27" s="6" t="n">
        <f aca="false">SUMPRODUCT(('Activity Hours'!$B$5:$B$87=E$22)*INDEX('Activity Hours'!$I$5:$T$87,0,MATCH($A27,'Activity Hours'!$I$4:$T$4,0)))</f>
        <v>551</v>
      </c>
      <c r="F27" s="6" t="n">
        <f aca="false">SUMPRODUCT(('Activity Hours'!$B$5:$B$87=F$22)*INDEX('Activity Hours'!$I$5:$T$87,0,MATCH($A27,'Activity Hours'!$I$4:$T$4,0)))</f>
        <v>96</v>
      </c>
      <c r="G27" s="7" t="n">
        <f aca="false">SUM(C27:F27)</f>
        <v>1358</v>
      </c>
    </row>
    <row r="28" customFormat="false" ht="15" hidden="false" customHeight="false" outlineLevel="0" collapsed="false">
      <c r="A28" s="5" t="s">
        <v>21</v>
      </c>
      <c r="B28" s="5" t="s">
        <v>22</v>
      </c>
      <c r="C28" s="6" t="n">
        <f aca="false">SUMPRODUCT(('Activity Hours'!$B$5:$B$87=C$22)*INDEX('Activity Hours'!$I$5:$T$87,0,MATCH($A28,'Activity Hours'!$I$4:$T$4,0)))</f>
        <v>1739</v>
      </c>
      <c r="D28" s="6" t="n">
        <f aca="false">SUMPRODUCT(('Activity Hours'!$B$5:$B$87=D$22)*INDEX('Activity Hours'!$I$5:$T$87,0,MATCH($A28,'Activity Hours'!$I$4:$T$4,0)))</f>
        <v>1114</v>
      </c>
      <c r="E28" s="6" t="n">
        <f aca="false">SUMPRODUCT(('Activity Hours'!$B$5:$B$87=E$22)*INDEX('Activity Hours'!$I$5:$T$87,0,MATCH($A28,'Activity Hours'!$I$4:$T$4,0)))</f>
        <v>2895</v>
      </c>
      <c r="F28" s="6" t="n">
        <f aca="false">SUMPRODUCT(('Activity Hours'!$B$5:$B$87=F$22)*INDEX('Activity Hours'!$I$5:$T$87,0,MATCH($A28,'Activity Hours'!$I$4:$T$4,0)))</f>
        <v>0</v>
      </c>
      <c r="G28" s="7" t="n">
        <f aca="false">SUM(C28:F28)</f>
        <v>5748</v>
      </c>
    </row>
    <row r="29" customFormat="false" ht="15" hidden="false" customHeight="false" outlineLevel="0" collapsed="false">
      <c r="A29" s="5" t="s">
        <v>23</v>
      </c>
      <c r="B29" s="5" t="s">
        <v>24</v>
      </c>
      <c r="C29" s="6" t="n">
        <f aca="false">SUMPRODUCT(('Activity Hours'!$B$5:$B$87=C$22)*INDEX('Activity Hours'!$I$5:$T$87,0,MATCH($A29,'Activity Hours'!$I$4:$T$4,0)))</f>
        <v>93</v>
      </c>
      <c r="D29" s="6" t="n">
        <f aca="false">SUMPRODUCT(('Activity Hours'!$B$5:$B$87=D$22)*INDEX('Activity Hours'!$I$5:$T$87,0,MATCH($A29,'Activity Hours'!$I$4:$T$4,0)))</f>
        <v>2071</v>
      </c>
      <c r="E29" s="6" t="n">
        <f aca="false">SUMPRODUCT(('Activity Hours'!$B$5:$B$87=E$22)*INDEX('Activity Hours'!$I$5:$T$87,0,MATCH($A29,'Activity Hours'!$I$4:$T$4,0)))</f>
        <v>771</v>
      </c>
      <c r="F29" s="6" t="n">
        <f aca="false">SUMPRODUCT(('Activity Hours'!$B$5:$B$87=F$22)*INDEX('Activity Hours'!$I$5:$T$87,0,MATCH($A29,'Activity Hours'!$I$4:$T$4,0)))</f>
        <v>0</v>
      </c>
      <c r="G29" s="7" t="n">
        <f aca="false">SUM(C29:F29)</f>
        <v>2935</v>
      </c>
    </row>
    <row r="30" customFormat="false" ht="15" hidden="false" customHeight="false" outlineLevel="0" collapsed="false">
      <c r="A30" s="5" t="s">
        <v>25</v>
      </c>
      <c r="B30" s="5" t="s">
        <v>26</v>
      </c>
      <c r="C30" s="6" t="n">
        <f aca="false">SUMPRODUCT(('Activity Hours'!$B$5:$B$87=C$22)*INDEX('Activity Hours'!$I$5:$T$87,0,MATCH($A30,'Activity Hours'!$I$4:$T$4,0)))</f>
        <v>0</v>
      </c>
      <c r="D30" s="6" t="n">
        <f aca="false">SUMPRODUCT(('Activity Hours'!$B$5:$B$87=D$22)*INDEX('Activity Hours'!$I$5:$T$87,0,MATCH($A30,'Activity Hours'!$I$4:$T$4,0)))</f>
        <v>738</v>
      </c>
      <c r="E30" s="6" t="n">
        <f aca="false">SUMPRODUCT(('Activity Hours'!$B$5:$B$87=E$22)*INDEX('Activity Hours'!$I$5:$T$87,0,MATCH($A30,'Activity Hours'!$I$4:$T$4,0)))</f>
        <v>16</v>
      </c>
      <c r="F30" s="6" t="n">
        <f aca="false">SUMPRODUCT(('Activity Hours'!$B$5:$B$87=F$22)*INDEX('Activity Hours'!$I$5:$T$87,0,MATCH($A30,'Activity Hours'!$I$4:$T$4,0)))</f>
        <v>0</v>
      </c>
      <c r="G30" s="7" t="n">
        <f aca="false">SUM(C30:F30)</f>
        <v>754</v>
      </c>
    </row>
    <row r="31" customFormat="false" ht="15" hidden="false" customHeight="false" outlineLevel="0" collapsed="false">
      <c r="A31" s="5" t="s">
        <v>27</v>
      </c>
      <c r="B31" s="5" t="s">
        <v>28</v>
      </c>
      <c r="C31" s="6" t="n">
        <f aca="false">SUMPRODUCT(('Activity Hours'!$B$5:$B$87=C$22)*INDEX('Activity Hours'!$I$5:$T$87,0,MATCH($A31,'Activity Hours'!$I$4:$T$4,0)))</f>
        <v>732</v>
      </c>
      <c r="D31" s="6" t="n">
        <f aca="false">SUMPRODUCT(('Activity Hours'!$B$5:$B$87=D$22)*INDEX('Activity Hours'!$I$5:$T$87,0,MATCH($A31,'Activity Hours'!$I$4:$T$4,0)))</f>
        <v>0</v>
      </c>
      <c r="E31" s="6" t="n">
        <f aca="false">SUMPRODUCT(('Activity Hours'!$B$5:$B$87=E$22)*INDEX('Activity Hours'!$I$5:$T$87,0,MATCH($A31,'Activity Hours'!$I$4:$T$4,0)))</f>
        <v>1299</v>
      </c>
      <c r="F31" s="6" t="n">
        <f aca="false">SUMPRODUCT(('Activity Hours'!$B$5:$B$87=F$22)*INDEX('Activity Hours'!$I$5:$T$87,0,MATCH($A31,'Activity Hours'!$I$4:$T$4,0)))</f>
        <v>0</v>
      </c>
      <c r="G31" s="7" t="n">
        <f aca="false">SUM(C31:F31)</f>
        <v>2031</v>
      </c>
    </row>
    <row r="32" customFormat="false" ht="15" hidden="false" customHeight="false" outlineLevel="0" collapsed="false">
      <c r="A32" s="5" t="s">
        <v>29</v>
      </c>
      <c r="B32" s="5" t="s">
        <v>30</v>
      </c>
      <c r="C32" s="6" t="n">
        <f aca="false">SUMPRODUCT(('Activity Hours'!$B$5:$B$87=C$22)*INDEX('Activity Hours'!$I$5:$T$87,0,MATCH($A32,'Activity Hours'!$I$4:$T$4,0)))</f>
        <v>174</v>
      </c>
      <c r="D32" s="6" t="n">
        <f aca="false">SUMPRODUCT(('Activity Hours'!$B$5:$B$87=D$22)*INDEX('Activity Hours'!$I$5:$T$87,0,MATCH($A32,'Activity Hours'!$I$4:$T$4,0)))</f>
        <v>510</v>
      </c>
      <c r="E32" s="6" t="n">
        <f aca="false">SUMPRODUCT(('Activity Hours'!$B$5:$B$87=E$22)*INDEX('Activity Hours'!$I$5:$T$87,0,MATCH($A32,'Activity Hours'!$I$4:$T$4,0)))</f>
        <v>1541</v>
      </c>
      <c r="F32" s="6" t="n">
        <f aca="false">SUMPRODUCT(('Activity Hours'!$B$5:$B$87=F$22)*INDEX('Activity Hours'!$I$5:$T$87,0,MATCH($A32,'Activity Hours'!$I$4:$T$4,0)))</f>
        <v>0</v>
      </c>
      <c r="G32" s="7" t="n">
        <f aca="false">SUM(C32:F32)</f>
        <v>2225</v>
      </c>
    </row>
    <row r="33" customFormat="false" ht="15" hidden="false" customHeight="false" outlineLevel="0" collapsed="false">
      <c r="A33" s="5" t="s">
        <v>31</v>
      </c>
      <c r="B33" s="5" t="s">
        <v>32</v>
      </c>
      <c r="C33" s="6" t="n">
        <f aca="false">SUMPRODUCT(('Activity Hours'!$B$5:$B$87=C$22)*INDEX('Activity Hours'!$I$5:$T$87,0,MATCH($A33,'Activity Hours'!$I$4:$T$4,0)))</f>
        <v>739</v>
      </c>
      <c r="D33" s="6" t="n">
        <f aca="false">SUMPRODUCT(('Activity Hours'!$B$5:$B$87=D$22)*INDEX('Activity Hours'!$I$5:$T$87,0,MATCH($A33,'Activity Hours'!$I$4:$T$4,0)))</f>
        <v>505</v>
      </c>
      <c r="E33" s="6" t="n">
        <f aca="false">SUMPRODUCT(('Activity Hours'!$B$5:$B$87=E$22)*INDEX('Activity Hours'!$I$5:$T$87,0,MATCH($A33,'Activity Hours'!$I$4:$T$4,0)))</f>
        <v>1015</v>
      </c>
      <c r="F33" s="6" t="n">
        <f aca="false">SUMPRODUCT(('Activity Hours'!$B$5:$B$87=F$22)*INDEX('Activity Hours'!$I$5:$T$87,0,MATCH($A33,'Activity Hours'!$I$4:$T$4,0)))</f>
        <v>0</v>
      </c>
      <c r="G33" s="7" t="n">
        <f aca="false">SUM(C33:F33)</f>
        <v>2259</v>
      </c>
    </row>
    <row r="34" customFormat="false" ht="15" hidden="false" customHeight="false" outlineLevel="0" collapsed="false">
      <c r="A34" s="5" t="s">
        <v>33</v>
      </c>
      <c r="B34" s="5" t="s">
        <v>34</v>
      </c>
      <c r="C34" s="6" t="n">
        <f aca="false">SUMPRODUCT(('Activity Hours'!$B$5:$B$87=C$22)*INDEX('Activity Hours'!$I$5:$T$87,0,MATCH($A34,'Activity Hours'!$I$4:$T$4,0)))</f>
        <v>8</v>
      </c>
      <c r="D34" s="6" t="n">
        <f aca="false">SUMPRODUCT(('Activity Hours'!$B$5:$B$87=D$22)*INDEX('Activity Hours'!$I$5:$T$87,0,MATCH($A34,'Activity Hours'!$I$4:$T$4,0)))</f>
        <v>114</v>
      </c>
      <c r="E34" s="6" t="n">
        <f aca="false">SUMPRODUCT(('Activity Hours'!$B$5:$B$87=E$22)*INDEX('Activity Hours'!$I$5:$T$87,0,MATCH($A34,'Activity Hours'!$I$4:$T$4,0)))</f>
        <v>466</v>
      </c>
      <c r="F34" s="6" t="n">
        <f aca="false">SUMPRODUCT(('Activity Hours'!$B$5:$B$87=F$22)*INDEX('Activity Hours'!$I$5:$T$87,0,MATCH($A34,'Activity Hours'!$I$4:$T$4,0)))</f>
        <v>0</v>
      </c>
      <c r="G34" s="7" t="n">
        <f aca="false">SUM(C34:F34)</f>
        <v>588</v>
      </c>
    </row>
    <row r="35" customFormat="false" ht="15" hidden="false" customHeight="false" outlineLevel="0" collapsed="false">
      <c r="A35" s="9"/>
      <c r="B35" s="10" t="s">
        <v>35</v>
      </c>
      <c r="C35" s="11" t="n">
        <f aca="false">SUM(C23:C34)</f>
        <v>7017</v>
      </c>
      <c r="D35" s="11" t="n">
        <f aca="false">SUM(D23:D34)</f>
        <v>6062</v>
      </c>
      <c r="E35" s="11" t="n">
        <f aca="false">SUM(E23:E34)</f>
        <v>9265</v>
      </c>
      <c r="F35" s="11" t="n">
        <f aca="false">SUM(F23:F34)</f>
        <v>1656</v>
      </c>
      <c r="G35" s="11" t="n">
        <f aca="false">SUM(G23:G34)</f>
        <v>24000</v>
      </c>
    </row>
    <row r="38" customFormat="false" ht="15" hidden="false" customHeight="false" outlineLevel="0" collapsed="false">
      <c r="A38" s="3" t="s">
        <v>41</v>
      </c>
    </row>
    <row r="39" customFormat="false" ht="31.5" hidden="false" customHeight="true" outlineLevel="0" collapsed="false">
      <c r="A39" s="4" t="s">
        <v>3</v>
      </c>
      <c r="B39" s="4" t="s">
        <v>4</v>
      </c>
      <c r="C39" s="4" t="s">
        <v>42</v>
      </c>
      <c r="D39" s="4" t="s">
        <v>43</v>
      </c>
      <c r="E39" s="4" t="s">
        <v>44</v>
      </c>
      <c r="F39" s="4" t="s">
        <v>45</v>
      </c>
      <c r="G39" s="4" t="s">
        <v>46</v>
      </c>
      <c r="H39" s="4" t="s">
        <v>9</v>
      </c>
    </row>
    <row r="40" customFormat="false" ht="15" hidden="false" customHeight="false" outlineLevel="0" collapsed="false">
      <c r="A40" s="5" t="s">
        <v>11</v>
      </c>
      <c r="B40" s="5" t="s">
        <v>12</v>
      </c>
      <c r="C40" s="6" t="n">
        <f aca="false">SUMPRODUCT(('Activity Hours'!$F$5:$F$87=C$39)*INDEX('Activity Hours'!$I$5:$T$87,0,MATCH($A40,'Activity Hours'!$I$4:$T$4,0)))</f>
        <v>8</v>
      </c>
      <c r="D40" s="6" t="n">
        <f aca="false">SUMPRODUCT(('Activity Hours'!$F$5:$F$87=D$39)*INDEX('Activity Hours'!$I$5:$T$87,0,MATCH($A40,'Activity Hours'!$I$4:$T$4,0)))</f>
        <v>0</v>
      </c>
      <c r="E40" s="6" t="n">
        <f aca="false">SUMPRODUCT(('Activity Hours'!$F$5:$F$87=E$39)*INDEX('Activity Hours'!$I$5:$T$87,0,MATCH($A40,'Activity Hours'!$I$4:$T$4,0)))</f>
        <v>16</v>
      </c>
      <c r="F40" s="6" t="n">
        <f aca="false">SUMPRODUCT(('Activity Hours'!$F$5:$F$87=F$39)*INDEX('Activity Hours'!$I$5:$T$87,0,MATCH($A40,'Activity Hours'!$I$4:$T$4,0)))</f>
        <v>246</v>
      </c>
      <c r="G40" s="6" t="n">
        <f aca="false">SUMPRODUCT(('Activity Hours'!$F$5:$F$87=G$39)*INDEX('Activity Hours'!$I$5:$T$87,0,MATCH($A40,'Activity Hours'!$I$4:$T$4,0)))</f>
        <v>1464</v>
      </c>
      <c r="H40" s="7" t="n">
        <f aca="false">SUM(C40:G40)</f>
        <v>1734</v>
      </c>
    </row>
    <row r="41" customFormat="false" ht="15" hidden="false" customHeight="false" outlineLevel="0" collapsed="false">
      <c r="A41" s="5" t="s">
        <v>13</v>
      </c>
      <c r="B41" s="5" t="s">
        <v>14</v>
      </c>
      <c r="C41" s="6" t="n">
        <f aca="false">SUMPRODUCT(('Activity Hours'!$F$5:$F$87=C$39)*INDEX('Activity Hours'!$I$5:$T$87,0,MATCH($A41,'Activity Hours'!$I$4:$T$4,0)))</f>
        <v>543</v>
      </c>
      <c r="D41" s="6" t="n">
        <f aca="false">SUMPRODUCT(('Activity Hours'!$F$5:$F$87=D$39)*INDEX('Activity Hours'!$I$5:$T$87,0,MATCH($A41,'Activity Hours'!$I$4:$T$4,0)))</f>
        <v>0</v>
      </c>
      <c r="E41" s="6" t="n">
        <f aca="false">SUMPRODUCT(('Activity Hours'!$F$5:$F$87=E$39)*INDEX('Activity Hours'!$I$5:$T$87,0,MATCH($A41,'Activity Hours'!$I$4:$T$4,0)))</f>
        <v>53</v>
      </c>
      <c r="F41" s="6" t="n">
        <f aca="false">SUMPRODUCT(('Activity Hours'!$F$5:$F$87=F$39)*INDEX('Activity Hours'!$I$5:$T$87,0,MATCH($A41,'Activity Hours'!$I$4:$T$4,0)))</f>
        <v>0</v>
      </c>
      <c r="G41" s="6" t="n">
        <f aca="false">SUMPRODUCT(('Activity Hours'!$F$5:$F$87=G$39)*INDEX('Activity Hours'!$I$5:$T$87,0,MATCH($A41,'Activity Hours'!$I$4:$T$4,0)))</f>
        <v>96</v>
      </c>
      <c r="H41" s="7" t="n">
        <f aca="false">SUM(C41:G41)</f>
        <v>692</v>
      </c>
    </row>
    <row r="42" customFormat="false" ht="15" hidden="false" customHeight="false" outlineLevel="0" collapsed="false">
      <c r="A42" s="5" t="s">
        <v>15</v>
      </c>
      <c r="B42" s="5" t="s">
        <v>16</v>
      </c>
      <c r="C42" s="6" t="n">
        <f aca="false">SUMPRODUCT(('Activity Hours'!$F$5:$F$87=C$39)*INDEX('Activity Hours'!$I$5:$T$87,0,MATCH($A42,'Activity Hours'!$I$4:$T$4,0)))</f>
        <v>1878</v>
      </c>
      <c r="D42" s="6" t="n">
        <f aca="false">SUMPRODUCT(('Activity Hours'!$F$5:$F$87=D$39)*INDEX('Activity Hours'!$I$5:$T$87,0,MATCH($A42,'Activity Hours'!$I$4:$T$4,0)))</f>
        <v>358</v>
      </c>
      <c r="E42" s="6" t="n">
        <f aca="false">SUMPRODUCT(('Activity Hours'!$F$5:$F$87=E$39)*INDEX('Activity Hours'!$I$5:$T$87,0,MATCH($A42,'Activity Hours'!$I$4:$T$4,0)))</f>
        <v>224</v>
      </c>
      <c r="F42" s="6" t="n">
        <f aca="false">SUMPRODUCT(('Activity Hours'!$F$5:$F$87=F$39)*INDEX('Activity Hours'!$I$5:$T$87,0,MATCH($A42,'Activity Hours'!$I$4:$T$4,0)))</f>
        <v>189</v>
      </c>
      <c r="G42" s="6" t="n">
        <f aca="false">SUMPRODUCT(('Activity Hours'!$F$5:$F$87=G$39)*INDEX('Activity Hours'!$I$5:$T$87,0,MATCH($A42,'Activity Hours'!$I$4:$T$4,0)))</f>
        <v>0</v>
      </c>
      <c r="H42" s="7" t="n">
        <f aca="false">SUM(C42:G42)</f>
        <v>2649</v>
      </c>
    </row>
    <row r="43" customFormat="false" ht="15" hidden="false" customHeight="false" outlineLevel="0" collapsed="false">
      <c r="A43" s="5" t="s">
        <v>17</v>
      </c>
      <c r="B43" s="5" t="s">
        <v>18</v>
      </c>
      <c r="C43" s="6" t="n">
        <f aca="false">SUMPRODUCT(('Activity Hours'!$F$5:$F$87=C$39)*INDEX('Activity Hours'!$I$5:$T$87,0,MATCH($A43,'Activity Hours'!$I$4:$T$4,0)))</f>
        <v>688</v>
      </c>
      <c r="D43" s="6" t="n">
        <f aca="false">SUMPRODUCT(('Activity Hours'!$F$5:$F$87=D$39)*INDEX('Activity Hours'!$I$5:$T$87,0,MATCH($A43,'Activity Hours'!$I$4:$T$4,0)))</f>
        <v>153</v>
      </c>
      <c r="E43" s="6" t="n">
        <f aca="false">SUMPRODUCT(('Activity Hours'!$F$5:$F$87=E$39)*INDEX('Activity Hours'!$I$5:$T$87,0,MATCH($A43,'Activity Hours'!$I$4:$T$4,0)))</f>
        <v>76</v>
      </c>
      <c r="F43" s="6" t="n">
        <f aca="false">SUMPRODUCT(('Activity Hours'!$F$5:$F$87=F$39)*INDEX('Activity Hours'!$I$5:$T$87,0,MATCH($A43,'Activity Hours'!$I$4:$T$4,0)))</f>
        <v>110</v>
      </c>
      <c r="G43" s="6" t="n">
        <f aca="false">SUMPRODUCT(('Activity Hours'!$F$5:$F$87=G$39)*INDEX('Activity Hours'!$I$5:$T$87,0,MATCH($A43,'Activity Hours'!$I$4:$T$4,0)))</f>
        <v>0</v>
      </c>
      <c r="H43" s="7" t="n">
        <f aca="false">SUM(C43:G43)</f>
        <v>1027</v>
      </c>
    </row>
    <row r="44" customFormat="false" ht="15" hidden="false" customHeight="false" outlineLevel="0" collapsed="false">
      <c r="A44" s="5" t="s">
        <v>19</v>
      </c>
      <c r="B44" s="5" t="s">
        <v>20</v>
      </c>
      <c r="C44" s="6" t="n">
        <f aca="false">SUMPRODUCT(('Activity Hours'!$F$5:$F$87=C$39)*INDEX('Activity Hours'!$I$5:$T$87,0,MATCH($A44,'Activity Hours'!$I$4:$T$4,0)))</f>
        <v>0</v>
      </c>
      <c r="D44" s="6" t="n">
        <f aca="false">SUMPRODUCT(('Activity Hours'!$F$5:$F$87=D$39)*INDEX('Activity Hours'!$I$5:$T$87,0,MATCH($A44,'Activity Hours'!$I$4:$T$4,0)))</f>
        <v>887</v>
      </c>
      <c r="E44" s="6" t="n">
        <f aca="false">SUMPRODUCT(('Activity Hours'!$F$5:$F$87=E$39)*INDEX('Activity Hours'!$I$5:$T$87,0,MATCH($A44,'Activity Hours'!$I$4:$T$4,0)))</f>
        <v>0</v>
      </c>
      <c r="F44" s="6" t="n">
        <f aca="false">SUMPRODUCT(('Activity Hours'!$F$5:$F$87=F$39)*INDEX('Activity Hours'!$I$5:$T$87,0,MATCH($A44,'Activity Hours'!$I$4:$T$4,0)))</f>
        <v>375</v>
      </c>
      <c r="G44" s="6" t="n">
        <f aca="false">SUMPRODUCT(('Activity Hours'!$F$5:$F$87=G$39)*INDEX('Activity Hours'!$I$5:$T$87,0,MATCH($A44,'Activity Hours'!$I$4:$T$4,0)))</f>
        <v>96</v>
      </c>
      <c r="H44" s="7" t="n">
        <f aca="false">SUM(C44:G44)</f>
        <v>1358</v>
      </c>
    </row>
    <row r="45" customFormat="false" ht="15" hidden="false" customHeight="false" outlineLevel="0" collapsed="false">
      <c r="A45" s="5" t="s">
        <v>21</v>
      </c>
      <c r="B45" s="5" t="s">
        <v>22</v>
      </c>
      <c r="C45" s="6" t="n">
        <f aca="false">SUMPRODUCT(('Activity Hours'!$F$5:$F$87=C$39)*INDEX('Activity Hours'!$I$5:$T$87,0,MATCH($A45,'Activity Hours'!$I$4:$T$4,0)))</f>
        <v>209</v>
      </c>
      <c r="D45" s="6" t="n">
        <f aca="false">SUMPRODUCT(('Activity Hours'!$F$5:$F$87=D$39)*INDEX('Activity Hours'!$I$5:$T$87,0,MATCH($A45,'Activity Hours'!$I$4:$T$4,0)))</f>
        <v>2969</v>
      </c>
      <c r="E45" s="6" t="n">
        <f aca="false">SUMPRODUCT(('Activity Hours'!$F$5:$F$87=E$39)*INDEX('Activity Hours'!$I$5:$T$87,0,MATCH($A45,'Activity Hours'!$I$4:$T$4,0)))</f>
        <v>32</v>
      </c>
      <c r="F45" s="6" t="n">
        <f aca="false">SUMPRODUCT(('Activity Hours'!$F$5:$F$87=F$39)*INDEX('Activity Hours'!$I$5:$T$87,0,MATCH($A45,'Activity Hours'!$I$4:$T$4,0)))</f>
        <v>2538</v>
      </c>
      <c r="G45" s="6" t="n">
        <f aca="false">SUMPRODUCT(('Activity Hours'!$F$5:$F$87=G$39)*INDEX('Activity Hours'!$I$5:$T$87,0,MATCH($A45,'Activity Hours'!$I$4:$T$4,0)))</f>
        <v>0</v>
      </c>
      <c r="H45" s="7" t="n">
        <f aca="false">SUM(C45:G45)</f>
        <v>5748</v>
      </c>
    </row>
    <row r="46" customFormat="false" ht="15" hidden="false" customHeight="false" outlineLevel="0" collapsed="false">
      <c r="A46" s="5" t="s">
        <v>23</v>
      </c>
      <c r="B46" s="5" t="s">
        <v>24</v>
      </c>
      <c r="C46" s="6" t="n">
        <f aca="false">SUMPRODUCT(('Activity Hours'!$F$5:$F$87=C$39)*INDEX('Activity Hours'!$I$5:$T$87,0,MATCH($A46,'Activity Hours'!$I$4:$T$4,0)))</f>
        <v>105</v>
      </c>
      <c r="D46" s="6" t="n">
        <f aca="false">SUMPRODUCT(('Activity Hours'!$F$5:$F$87=D$39)*INDEX('Activity Hours'!$I$5:$T$87,0,MATCH($A46,'Activity Hours'!$I$4:$T$4,0)))</f>
        <v>415</v>
      </c>
      <c r="E46" s="6" t="n">
        <f aca="false">SUMPRODUCT(('Activity Hours'!$F$5:$F$87=E$39)*INDEX('Activity Hours'!$I$5:$T$87,0,MATCH($A46,'Activity Hours'!$I$4:$T$4,0)))</f>
        <v>1644</v>
      </c>
      <c r="F46" s="6" t="n">
        <f aca="false">SUMPRODUCT(('Activity Hours'!$F$5:$F$87=F$39)*INDEX('Activity Hours'!$I$5:$T$87,0,MATCH($A46,'Activity Hours'!$I$4:$T$4,0)))</f>
        <v>771</v>
      </c>
      <c r="G46" s="6" t="n">
        <f aca="false">SUMPRODUCT(('Activity Hours'!$F$5:$F$87=G$39)*INDEX('Activity Hours'!$I$5:$T$87,0,MATCH($A46,'Activity Hours'!$I$4:$T$4,0)))</f>
        <v>0</v>
      </c>
      <c r="H46" s="7" t="n">
        <f aca="false">SUM(C46:G46)</f>
        <v>2935</v>
      </c>
    </row>
    <row r="47" customFormat="false" ht="15" hidden="false" customHeight="false" outlineLevel="0" collapsed="false">
      <c r="A47" s="5" t="s">
        <v>25</v>
      </c>
      <c r="B47" s="5" t="s">
        <v>26</v>
      </c>
      <c r="C47" s="6" t="n">
        <f aca="false">SUMPRODUCT(('Activity Hours'!$F$5:$F$87=C$39)*INDEX('Activity Hours'!$I$5:$T$87,0,MATCH($A47,'Activity Hours'!$I$4:$T$4,0)))</f>
        <v>0</v>
      </c>
      <c r="D47" s="6" t="n">
        <f aca="false">SUMPRODUCT(('Activity Hours'!$F$5:$F$87=D$39)*INDEX('Activity Hours'!$I$5:$T$87,0,MATCH($A47,'Activity Hours'!$I$4:$T$4,0)))</f>
        <v>0</v>
      </c>
      <c r="E47" s="6" t="n">
        <f aca="false">SUMPRODUCT(('Activity Hours'!$F$5:$F$87=E$39)*INDEX('Activity Hours'!$I$5:$T$87,0,MATCH($A47,'Activity Hours'!$I$4:$T$4,0)))</f>
        <v>723</v>
      </c>
      <c r="F47" s="6" t="n">
        <f aca="false">SUMPRODUCT(('Activity Hours'!$F$5:$F$87=F$39)*INDEX('Activity Hours'!$I$5:$T$87,0,MATCH($A47,'Activity Hours'!$I$4:$T$4,0)))</f>
        <v>31</v>
      </c>
      <c r="G47" s="6" t="n">
        <f aca="false">SUMPRODUCT(('Activity Hours'!$F$5:$F$87=G$39)*INDEX('Activity Hours'!$I$5:$T$87,0,MATCH($A47,'Activity Hours'!$I$4:$T$4,0)))</f>
        <v>0</v>
      </c>
      <c r="H47" s="7" t="n">
        <f aca="false">SUM(C47:G47)</f>
        <v>754</v>
      </c>
    </row>
    <row r="48" customFormat="false" ht="15" hidden="false" customHeight="false" outlineLevel="0" collapsed="false">
      <c r="A48" s="5" t="s">
        <v>27</v>
      </c>
      <c r="B48" s="5" t="s">
        <v>28</v>
      </c>
      <c r="C48" s="6" t="n">
        <f aca="false">SUMPRODUCT(('Activity Hours'!$F$5:$F$87=C$39)*INDEX('Activity Hours'!$I$5:$T$87,0,MATCH($A48,'Activity Hours'!$I$4:$T$4,0)))</f>
        <v>537</v>
      </c>
      <c r="D48" s="6" t="n">
        <f aca="false">SUMPRODUCT(('Activity Hours'!$F$5:$F$87=D$39)*INDEX('Activity Hours'!$I$5:$T$87,0,MATCH($A48,'Activity Hours'!$I$4:$T$4,0)))</f>
        <v>348</v>
      </c>
      <c r="E48" s="6" t="n">
        <f aca="false">SUMPRODUCT(('Activity Hours'!$F$5:$F$87=E$39)*INDEX('Activity Hours'!$I$5:$T$87,0,MATCH($A48,'Activity Hours'!$I$4:$T$4,0)))</f>
        <v>0</v>
      </c>
      <c r="F48" s="6" t="n">
        <f aca="false">SUMPRODUCT(('Activity Hours'!$F$5:$F$87=F$39)*INDEX('Activity Hours'!$I$5:$T$87,0,MATCH($A48,'Activity Hours'!$I$4:$T$4,0)))</f>
        <v>1146</v>
      </c>
      <c r="G48" s="6" t="n">
        <f aca="false">SUMPRODUCT(('Activity Hours'!$F$5:$F$87=G$39)*INDEX('Activity Hours'!$I$5:$T$87,0,MATCH($A48,'Activity Hours'!$I$4:$T$4,0)))</f>
        <v>0</v>
      </c>
      <c r="H48" s="7" t="n">
        <f aca="false">SUM(C48:G48)</f>
        <v>2031</v>
      </c>
    </row>
    <row r="49" customFormat="false" ht="15" hidden="false" customHeight="false" outlineLevel="0" collapsed="false">
      <c r="A49" s="5" t="s">
        <v>29</v>
      </c>
      <c r="B49" s="5" t="s">
        <v>30</v>
      </c>
      <c r="C49" s="6" t="n">
        <f aca="false">SUMPRODUCT(('Activity Hours'!$F$5:$F$87=C$39)*INDEX('Activity Hours'!$I$5:$T$87,0,MATCH($A49,'Activity Hours'!$I$4:$T$4,0)))</f>
        <v>69</v>
      </c>
      <c r="D49" s="6" t="n">
        <f aca="false">SUMPRODUCT(('Activity Hours'!$F$5:$F$87=D$39)*INDEX('Activity Hours'!$I$5:$T$87,0,MATCH($A49,'Activity Hours'!$I$4:$T$4,0)))</f>
        <v>161</v>
      </c>
      <c r="E49" s="6" t="n">
        <f aca="false">SUMPRODUCT(('Activity Hours'!$F$5:$F$87=E$39)*INDEX('Activity Hours'!$I$5:$T$87,0,MATCH($A49,'Activity Hours'!$I$4:$T$4,0)))</f>
        <v>338</v>
      </c>
      <c r="F49" s="6" t="n">
        <f aca="false">SUMPRODUCT(('Activity Hours'!$F$5:$F$87=F$39)*INDEX('Activity Hours'!$I$5:$T$87,0,MATCH($A49,'Activity Hours'!$I$4:$T$4,0)))</f>
        <v>1657</v>
      </c>
      <c r="G49" s="6" t="n">
        <f aca="false">SUMPRODUCT(('Activity Hours'!$F$5:$F$87=G$39)*INDEX('Activity Hours'!$I$5:$T$87,0,MATCH($A49,'Activity Hours'!$I$4:$T$4,0)))</f>
        <v>0</v>
      </c>
      <c r="H49" s="7" t="n">
        <f aca="false">SUM(C49:G49)</f>
        <v>2225</v>
      </c>
    </row>
    <row r="50" customFormat="false" ht="15" hidden="false" customHeight="false" outlineLevel="0" collapsed="false">
      <c r="A50" s="5" t="s">
        <v>31</v>
      </c>
      <c r="B50" s="5" t="s">
        <v>32</v>
      </c>
      <c r="C50" s="6" t="n">
        <f aca="false">SUMPRODUCT(('Activity Hours'!$F$5:$F$87=C$39)*INDEX('Activity Hours'!$I$5:$T$87,0,MATCH($A50,'Activity Hours'!$I$4:$T$4,0)))</f>
        <v>440</v>
      </c>
      <c r="D50" s="6" t="n">
        <f aca="false">SUMPRODUCT(('Activity Hours'!$F$5:$F$87=D$39)*INDEX('Activity Hours'!$I$5:$T$87,0,MATCH($A50,'Activity Hours'!$I$4:$T$4,0)))</f>
        <v>653</v>
      </c>
      <c r="E50" s="6" t="n">
        <f aca="false">SUMPRODUCT(('Activity Hours'!$F$5:$F$87=E$39)*INDEX('Activity Hours'!$I$5:$T$87,0,MATCH($A50,'Activity Hours'!$I$4:$T$4,0)))</f>
        <v>192</v>
      </c>
      <c r="F50" s="6" t="n">
        <f aca="false">SUMPRODUCT(('Activity Hours'!$F$5:$F$87=F$39)*INDEX('Activity Hours'!$I$5:$T$87,0,MATCH($A50,'Activity Hours'!$I$4:$T$4,0)))</f>
        <v>974</v>
      </c>
      <c r="G50" s="6" t="n">
        <f aca="false">SUMPRODUCT(('Activity Hours'!$F$5:$F$87=G$39)*INDEX('Activity Hours'!$I$5:$T$87,0,MATCH($A50,'Activity Hours'!$I$4:$T$4,0)))</f>
        <v>0</v>
      </c>
      <c r="H50" s="7" t="n">
        <f aca="false">SUM(C50:G50)</f>
        <v>2259</v>
      </c>
    </row>
    <row r="51" customFormat="false" ht="15" hidden="false" customHeight="false" outlineLevel="0" collapsed="false">
      <c r="A51" s="5" t="s">
        <v>33</v>
      </c>
      <c r="B51" s="5" t="s">
        <v>34</v>
      </c>
      <c r="C51" s="6" t="n">
        <f aca="false">SUMPRODUCT(('Activity Hours'!$F$5:$F$87=C$39)*INDEX('Activity Hours'!$I$5:$T$87,0,MATCH($A51,'Activity Hours'!$I$4:$T$4,0)))</f>
        <v>0</v>
      </c>
      <c r="D51" s="6" t="n">
        <f aca="false">SUMPRODUCT(('Activity Hours'!$F$5:$F$87=D$39)*INDEX('Activity Hours'!$I$5:$T$87,0,MATCH($A51,'Activity Hours'!$I$4:$T$4,0)))</f>
        <v>8</v>
      </c>
      <c r="E51" s="6" t="n">
        <f aca="false">SUMPRODUCT(('Activity Hours'!$F$5:$F$87=E$39)*INDEX('Activity Hours'!$I$5:$T$87,0,MATCH($A51,'Activity Hours'!$I$4:$T$4,0)))</f>
        <v>114</v>
      </c>
      <c r="F51" s="6" t="n">
        <f aca="false">SUMPRODUCT(('Activity Hours'!$F$5:$F$87=F$39)*INDEX('Activity Hours'!$I$5:$T$87,0,MATCH($A51,'Activity Hours'!$I$4:$T$4,0)))</f>
        <v>466</v>
      </c>
      <c r="G51" s="6" t="n">
        <f aca="false">SUMPRODUCT(('Activity Hours'!$F$5:$F$87=G$39)*INDEX('Activity Hours'!$I$5:$T$87,0,MATCH($A51,'Activity Hours'!$I$4:$T$4,0)))</f>
        <v>0</v>
      </c>
      <c r="H51" s="7" t="n">
        <f aca="false">SUM(C51:G51)</f>
        <v>588</v>
      </c>
    </row>
    <row r="52" customFormat="false" ht="15" hidden="false" customHeight="false" outlineLevel="0" collapsed="false">
      <c r="A52" s="9"/>
      <c r="B52" s="10" t="s">
        <v>35</v>
      </c>
      <c r="C52" s="11" t="n">
        <f aca="false">SUM(C40:C51)</f>
        <v>4477</v>
      </c>
      <c r="D52" s="11" t="n">
        <f aca="false">SUM(D40:D51)</f>
        <v>5952</v>
      </c>
      <c r="E52" s="11" t="n">
        <f aca="false">SUM(E40:E51)</f>
        <v>3412</v>
      </c>
      <c r="F52" s="11" t="n">
        <f aca="false">SUM(F40:F51)</f>
        <v>8503</v>
      </c>
      <c r="G52" s="11" t="n">
        <f aca="false">SUM(G40:G51)</f>
        <v>1656</v>
      </c>
      <c r="H52" s="11" t="n">
        <f aca="false">SUM(H40:H51)</f>
        <v>24000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26"/>
    <col collapsed="false" customWidth="true" hidden="false" outlineLevel="0" max="5" min="5" style="0" width="46"/>
    <col collapsed="false" customWidth="true" hidden="false" outlineLevel="0" max="6" min="6" style="0" width="14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4" t="s">
        <v>49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50</v>
      </c>
    </row>
    <row r="5" customFormat="false" ht="15" hidden="false" customHeight="false" outlineLevel="0" collapsed="false">
      <c r="A5" s="5" t="s">
        <v>37</v>
      </c>
      <c r="B5" s="13" t="n">
        <f aca="false">SUMIFS('Task Breakdown'!$U$5:$U$681,'Task Breakdown'!$C$5:$C$681,$A5,'Task Breakdown'!$D$5:$D$681,"Phase 1")</f>
        <v>1432</v>
      </c>
      <c r="C5" s="13" t="n">
        <f aca="false">SUMIFS('Task Breakdown'!$U$5:$U$681,'Task Breakdown'!$C$5:$C$681,$A5,'Task Breakdown'!$D$5:$D$681,"Phase 2")</f>
        <v>1792</v>
      </c>
      <c r="D5" s="13" t="n">
        <f aca="false">SUMIFS('Task Breakdown'!$U$5:$U$681,'Task Breakdown'!$C$5:$C$681,$A5,'Task Breakdown'!$D$5:$D$681,"Phase 3")</f>
        <v>2152</v>
      </c>
      <c r="E5" s="13" t="n">
        <f aca="false">SUMIFS('Task Breakdown'!$U$5:$U$681,'Task Breakdown'!$C$5:$C$681,$A5,'Task Breakdown'!$D$5:$D$681,"Phase 4")</f>
        <v>1641</v>
      </c>
      <c r="F5" s="7" t="n">
        <f aca="false">SUM(B5:E5)</f>
        <v>7017</v>
      </c>
      <c r="G5" s="14" t="n">
        <f aca="false">IF($F$9&gt;0,F5/$F$9,0)</f>
        <v>0.292375</v>
      </c>
    </row>
    <row r="6" customFormat="false" ht="15" hidden="false" customHeight="false" outlineLevel="0" collapsed="false">
      <c r="A6" s="5" t="s">
        <v>38</v>
      </c>
      <c r="B6" s="13" t="n">
        <f aca="false">SUMIFS('Task Breakdown'!$U$5:$U$681,'Task Breakdown'!$C$5:$C$681,$A6,'Task Breakdown'!$D$5:$D$681,"Phase 1")</f>
        <v>858</v>
      </c>
      <c r="C6" s="13" t="n">
        <f aca="false">SUMIFS('Task Breakdown'!$U$5:$U$681,'Task Breakdown'!$C$5:$C$681,$A6,'Task Breakdown'!$D$5:$D$681,"Phase 2")</f>
        <v>2128</v>
      </c>
      <c r="D6" s="13" t="n">
        <f aca="false">SUMIFS('Task Breakdown'!$U$5:$U$681,'Task Breakdown'!$C$5:$C$681,$A6,'Task Breakdown'!$D$5:$D$681,"Phase 3")</f>
        <v>1945</v>
      </c>
      <c r="E6" s="13" t="n">
        <f aca="false">SUMIFS('Task Breakdown'!$U$5:$U$681,'Task Breakdown'!$C$5:$C$681,$A6,'Task Breakdown'!$D$5:$D$681,"Phase 4")</f>
        <v>1131</v>
      </c>
      <c r="F6" s="7" t="n">
        <f aca="false">SUM(B6:E6)</f>
        <v>6062</v>
      </c>
      <c r="G6" s="14" t="n">
        <f aca="false">IF($F$9&gt;0,F6/$F$9,0)</f>
        <v>0.252583333333333</v>
      </c>
    </row>
    <row r="7" customFormat="false" ht="15" hidden="false" customHeight="false" outlineLevel="0" collapsed="false">
      <c r="A7" s="5" t="s">
        <v>39</v>
      </c>
      <c r="B7" s="13" t="n">
        <f aca="false">SUMIFS('Task Breakdown'!$U$5:$U$681,'Task Breakdown'!$C$5:$C$681,$A7,'Task Breakdown'!$D$5:$D$681,"Phase 1")</f>
        <v>609</v>
      </c>
      <c r="C7" s="13" t="n">
        <f aca="false">SUMIFS('Task Breakdown'!$U$5:$U$681,'Task Breakdown'!$C$5:$C$681,$A7,'Task Breakdown'!$D$5:$D$681,"Phase 2")</f>
        <v>2131</v>
      </c>
      <c r="D7" s="13" t="n">
        <f aca="false">SUMIFS('Task Breakdown'!$U$5:$U$681,'Task Breakdown'!$C$5:$C$681,$A7,'Task Breakdown'!$D$5:$D$681,"Phase 3")</f>
        <v>4270</v>
      </c>
      <c r="E7" s="13" t="n">
        <f aca="false">SUMIFS('Task Breakdown'!$U$5:$U$681,'Task Breakdown'!$C$5:$C$681,$A7,'Task Breakdown'!$D$5:$D$681,"Phase 4")</f>
        <v>2255</v>
      </c>
      <c r="F7" s="7" t="n">
        <f aca="false">SUM(B7:E7)</f>
        <v>9265</v>
      </c>
      <c r="G7" s="14" t="n">
        <f aca="false">IF($F$9&gt;0,F7/$F$9,0)</f>
        <v>0.386041666666667</v>
      </c>
    </row>
    <row r="8" customFormat="false" ht="15" hidden="false" customHeight="false" outlineLevel="0" collapsed="false">
      <c r="A8" s="5" t="s">
        <v>40</v>
      </c>
      <c r="B8" s="13" t="n">
        <f aca="false">SUMIFS('Task Breakdown'!$U$5:$U$681,'Task Breakdown'!$C$5:$C$681,$A8,'Task Breakdown'!$D$5:$D$681,"Phase 1")</f>
        <v>414</v>
      </c>
      <c r="C8" s="13" t="n">
        <f aca="false">SUMIFS('Task Breakdown'!$U$5:$U$681,'Task Breakdown'!$C$5:$C$681,$A8,'Task Breakdown'!$D$5:$D$681,"Phase 2")</f>
        <v>414</v>
      </c>
      <c r="D8" s="13" t="n">
        <f aca="false">SUMIFS('Task Breakdown'!$U$5:$U$681,'Task Breakdown'!$C$5:$C$681,$A8,'Task Breakdown'!$D$5:$D$681,"Phase 3")</f>
        <v>414</v>
      </c>
      <c r="E8" s="13" t="n">
        <f aca="false">SUMIFS('Task Breakdown'!$U$5:$U$681,'Task Breakdown'!$C$5:$C$681,$A8,'Task Breakdown'!$D$5:$D$681,"Phase 4")</f>
        <v>414</v>
      </c>
      <c r="F8" s="7" t="n">
        <f aca="false">SUM(B8:E8)</f>
        <v>1656</v>
      </c>
      <c r="G8" s="14" t="n">
        <f aca="false">IF($F$9&gt;0,F8/$F$9,0)</f>
        <v>0.069</v>
      </c>
    </row>
    <row r="9" customFormat="false" ht="15" hidden="false" customHeight="false" outlineLevel="0" collapsed="false">
      <c r="A9" s="10" t="s">
        <v>35</v>
      </c>
      <c r="B9" s="11" t="n">
        <f aca="false">SUM(B5:B8)</f>
        <v>3313</v>
      </c>
      <c r="C9" s="11" t="n">
        <f aca="false">SUM(C5:C8)</f>
        <v>6465</v>
      </c>
      <c r="D9" s="11" t="n">
        <f aca="false">SUM(D5:D8)</f>
        <v>8781</v>
      </c>
      <c r="E9" s="11" t="n">
        <f aca="false">SUM(E5:E8)</f>
        <v>5441</v>
      </c>
      <c r="F9" s="11" t="n">
        <f aca="false">SUM(F5:F8)</f>
        <v>24000</v>
      </c>
      <c r="G9" s="15" t="n">
        <f aca="false">SUM(G5:G8)</f>
        <v>1</v>
      </c>
    </row>
    <row r="11" customFormat="false" ht="15" hidden="false" customHeight="false" outlineLevel="0" collapsed="false">
      <c r="A11" s="16" t="s">
        <v>51</v>
      </c>
      <c r="B11" s="17" t="n">
        <v>24000</v>
      </c>
    </row>
    <row r="12" customFormat="false" ht="15" hidden="false" customHeight="false" outlineLevel="0" collapsed="false">
      <c r="A12" s="16" t="s">
        <v>52</v>
      </c>
      <c r="B12" s="18" t="n">
        <f aca="false">F9-B11</f>
        <v>0</v>
      </c>
      <c r="C12" s="16" t="str">
        <f aca="false">IF(B12=0,"On target","Off target: adjust Task Breakdown hours")</f>
        <v>On target</v>
      </c>
    </row>
    <row r="15" customFormat="false" ht="15" hidden="false" customHeight="false" outlineLevel="0" collapsed="false">
      <c r="A15" s="3" t="s">
        <v>53</v>
      </c>
    </row>
    <row r="16" customFormat="false" ht="15" hidden="false" customHeight="false" outlineLevel="0" collapsed="false">
      <c r="A16" s="19" t="s">
        <v>4</v>
      </c>
      <c r="B16" s="19" t="s">
        <v>54</v>
      </c>
      <c r="C16" s="19" t="s">
        <v>50</v>
      </c>
      <c r="D16" s="19" t="s">
        <v>55</v>
      </c>
      <c r="E16" s="19" t="s">
        <v>56</v>
      </c>
    </row>
    <row r="17" customFormat="false" ht="15" hidden="false" customHeight="false" outlineLevel="0" collapsed="false">
      <c r="A17" s="5" t="s">
        <v>57</v>
      </c>
      <c r="B17" s="13" t="n">
        <f aca="false">'Task Breakdown'!I682</f>
        <v>1734</v>
      </c>
      <c r="C17" s="20" t="n">
        <f aca="false">IF($F$9&gt;0,B17/$F$9,0)</f>
        <v>0.07225</v>
      </c>
      <c r="D17" s="5" t="s">
        <v>58</v>
      </c>
      <c r="E17" s="5" t="s">
        <v>59</v>
      </c>
    </row>
    <row r="18" customFormat="false" ht="15" hidden="false" customHeight="false" outlineLevel="0" collapsed="false">
      <c r="A18" s="5" t="s">
        <v>60</v>
      </c>
      <c r="B18" s="13" t="n">
        <f aca="false">'Task Breakdown'!J682</f>
        <v>692</v>
      </c>
      <c r="C18" s="20" t="n">
        <f aca="false">IF($F$9&gt;0,B18/$F$9,0)</f>
        <v>0.0288333333333333</v>
      </c>
      <c r="D18" s="5" t="s">
        <v>61</v>
      </c>
      <c r="E18" s="5" t="s">
        <v>62</v>
      </c>
    </row>
    <row r="19" customFormat="false" ht="15" hidden="false" customHeight="false" outlineLevel="0" collapsed="false">
      <c r="A19" s="5" t="s">
        <v>63</v>
      </c>
      <c r="B19" s="13" t="n">
        <f aca="false">'Task Breakdown'!K682</f>
        <v>2649</v>
      </c>
      <c r="C19" s="20" t="n">
        <f aca="false">IF($F$9&gt;0,B19/$F$9,0)</f>
        <v>0.110375</v>
      </c>
      <c r="D19" s="5" t="s">
        <v>64</v>
      </c>
      <c r="E19" s="5" t="s">
        <v>65</v>
      </c>
    </row>
    <row r="20" customFormat="false" ht="15" hidden="false" customHeight="false" outlineLevel="0" collapsed="false">
      <c r="A20" s="5" t="s">
        <v>66</v>
      </c>
      <c r="B20" s="13" t="n">
        <f aca="false">'Task Breakdown'!L682</f>
        <v>1027</v>
      </c>
      <c r="C20" s="20" t="n">
        <f aca="false">IF($F$9&gt;0,B20/$F$9,0)</f>
        <v>0.0427916666666667</v>
      </c>
      <c r="D20" s="5" t="s">
        <v>67</v>
      </c>
      <c r="E20" s="5" t="s">
        <v>68</v>
      </c>
    </row>
    <row r="21" customFormat="false" ht="15" hidden="false" customHeight="false" outlineLevel="0" collapsed="false">
      <c r="A21" s="5" t="s">
        <v>69</v>
      </c>
      <c r="B21" s="13" t="n">
        <f aca="false">'Task Breakdown'!M682</f>
        <v>1358</v>
      </c>
      <c r="C21" s="20" t="n">
        <f aca="false">IF($F$9&gt;0,B21/$F$9,0)</f>
        <v>0.0565833333333333</v>
      </c>
      <c r="D21" s="5" t="s">
        <v>70</v>
      </c>
      <c r="E21" s="5" t="s">
        <v>71</v>
      </c>
    </row>
    <row r="22" customFormat="false" ht="15" hidden="false" customHeight="false" outlineLevel="0" collapsed="false">
      <c r="A22" s="5" t="s">
        <v>72</v>
      </c>
      <c r="B22" s="13" t="n">
        <f aca="false">'Task Breakdown'!N682</f>
        <v>5748</v>
      </c>
      <c r="C22" s="20" t="n">
        <f aca="false">IF($F$9&gt;0,B22/$F$9,0)</f>
        <v>0.2395</v>
      </c>
      <c r="D22" s="5" t="s">
        <v>73</v>
      </c>
      <c r="E22" s="5" t="s">
        <v>74</v>
      </c>
    </row>
    <row r="23" customFormat="false" ht="15" hidden="false" customHeight="false" outlineLevel="0" collapsed="false">
      <c r="A23" s="5" t="s">
        <v>75</v>
      </c>
      <c r="B23" s="13" t="n">
        <f aca="false">'Task Breakdown'!O682</f>
        <v>2935</v>
      </c>
      <c r="C23" s="20" t="n">
        <f aca="false">IF($F$9&gt;0,B23/$F$9,0)</f>
        <v>0.122291666666667</v>
      </c>
      <c r="D23" s="5" t="s">
        <v>76</v>
      </c>
      <c r="E23" s="5" t="s">
        <v>77</v>
      </c>
    </row>
    <row r="24" customFormat="false" ht="15" hidden="false" customHeight="false" outlineLevel="0" collapsed="false">
      <c r="A24" s="5" t="s">
        <v>78</v>
      </c>
      <c r="B24" s="13" t="n">
        <f aca="false">'Task Breakdown'!P682</f>
        <v>754</v>
      </c>
      <c r="C24" s="20" t="n">
        <f aca="false">IF($F$9&gt;0,B24/$F$9,0)</f>
        <v>0.0314166666666667</v>
      </c>
      <c r="D24" s="5" t="s">
        <v>61</v>
      </c>
      <c r="E24" s="5" t="s">
        <v>79</v>
      </c>
    </row>
    <row r="25" customFormat="false" ht="15" hidden="false" customHeight="false" outlineLevel="0" collapsed="false">
      <c r="A25" s="5" t="s">
        <v>80</v>
      </c>
      <c r="B25" s="13" t="n">
        <f aca="false">'Task Breakdown'!Q682</f>
        <v>2031</v>
      </c>
      <c r="C25" s="20" t="n">
        <f aca="false">IF($F$9&gt;0,B25/$F$9,0)</f>
        <v>0.084625</v>
      </c>
      <c r="D25" s="5" t="s">
        <v>81</v>
      </c>
      <c r="E25" s="5" t="s">
        <v>82</v>
      </c>
    </row>
    <row r="26" customFormat="false" ht="15" hidden="false" customHeight="false" outlineLevel="0" collapsed="false">
      <c r="A26" s="5" t="s">
        <v>83</v>
      </c>
      <c r="B26" s="13" t="n">
        <f aca="false">'Task Breakdown'!R682</f>
        <v>2225</v>
      </c>
      <c r="C26" s="20" t="n">
        <f aca="false">IF($F$9&gt;0,B26/$F$9,0)</f>
        <v>0.0927083333333333</v>
      </c>
      <c r="D26" s="5" t="s">
        <v>64</v>
      </c>
      <c r="E26" s="5" t="s">
        <v>84</v>
      </c>
    </row>
    <row r="27" customFormat="false" ht="15" hidden="false" customHeight="false" outlineLevel="0" collapsed="false">
      <c r="A27" s="5" t="s">
        <v>85</v>
      </c>
      <c r="B27" s="13" t="n">
        <f aca="false">'Task Breakdown'!S682</f>
        <v>2259</v>
      </c>
      <c r="C27" s="20" t="n">
        <f aca="false">IF($F$9&gt;0,B27/$F$9,0)</f>
        <v>0.094125</v>
      </c>
      <c r="D27" s="5" t="s">
        <v>86</v>
      </c>
      <c r="E27" s="5" t="s">
        <v>87</v>
      </c>
    </row>
    <row r="28" customFormat="false" ht="15" hidden="false" customHeight="false" outlineLevel="0" collapsed="false">
      <c r="A28" s="5" t="s">
        <v>88</v>
      </c>
      <c r="B28" s="13" t="n">
        <f aca="false">'Task Breakdown'!T682</f>
        <v>588</v>
      </c>
      <c r="C28" s="20" t="n">
        <f aca="false">IF($F$9&gt;0,B28/$F$9,0)</f>
        <v>0.0245</v>
      </c>
      <c r="D28" s="5" t="s">
        <v>61</v>
      </c>
      <c r="E28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16" min="5" style="0" width="7"/>
    <col collapsed="false" customWidth="true" hidden="false" outlineLevel="0" max="17" min="17" style="0" width="11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11</v>
      </c>
      <c r="F4" s="4" t="s">
        <v>13</v>
      </c>
      <c r="G4" s="4" t="s">
        <v>15</v>
      </c>
      <c r="H4" s="4" t="s">
        <v>17</v>
      </c>
      <c r="I4" s="4" t="s">
        <v>19</v>
      </c>
      <c r="J4" s="4" t="s">
        <v>21</v>
      </c>
      <c r="K4" s="4" t="s">
        <v>23</v>
      </c>
      <c r="L4" s="4" t="s">
        <v>25</v>
      </c>
      <c r="M4" s="4" t="s">
        <v>27</v>
      </c>
      <c r="N4" s="4" t="s">
        <v>29</v>
      </c>
      <c r="O4" s="4" t="s">
        <v>31</v>
      </c>
      <c r="P4" s="4" t="s">
        <v>33</v>
      </c>
      <c r="Q4" s="4" t="s">
        <v>9</v>
      </c>
      <c r="R4" s="4" t="s">
        <v>96</v>
      </c>
    </row>
    <row r="5" customFormat="false" ht="15" hidden="false" customHeight="false" outlineLevel="0" collapsed="false">
      <c r="A5" s="21" t="s">
        <v>97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customFormat="false" ht="15" hidden="false" customHeight="false" outlineLevel="0" collapsed="false">
      <c r="A6" s="23" t="s">
        <v>98</v>
      </c>
      <c r="B6" s="23" t="s">
        <v>99</v>
      </c>
      <c r="C6" s="23" t="s">
        <v>42</v>
      </c>
      <c r="D6" s="23" t="s">
        <v>100</v>
      </c>
      <c r="E6" s="24" t="n">
        <f aca="false">SUM(E7:E18)</f>
        <v>0</v>
      </c>
      <c r="F6" s="24" t="n">
        <f aca="false">SUM(F7:F18)</f>
        <v>77</v>
      </c>
      <c r="G6" s="24" t="n">
        <f aca="false">SUM(G7:G18)</f>
        <v>197</v>
      </c>
      <c r="H6" s="24" t="n">
        <f aca="false">SUM(H7:H18)</f>
        <v>40</v>
      </c>
      <c r="I6" s="24" t="n">
        <f aca="false">SUM(I7:I18)</f>
        <v>0</v>
      </c>
      <c r="J6" s="24" t="n">
        <f aca="false">SUM(J7:J18)</f>
        <v>0</v>
      </c>
      <c r="K6" s="24" t="n">
        <f aca="false">SUM(K7:K18)</f>
        <v>0</v>
      </c>
      <c r="L6" s="24" t="n">
        <f aca="false">SUM(L7:L18)</f>
        <v>0</v>
      </c>
      <c r="M6" s="24" t="n">
        <f aca="false">SUM(M7:M18)</f>
        <v>0</v>
      </c>
      <c r="N6" s="24" t="n">
        <f aca="false">SUM(N7:N18)</f>
        <v>0</v>
      </c>
      <c r="O6" s="24" t="n">
        <f aca="false">SUM(O7:O18)</f>
        <v>20</v>
      </c>
      <c r="P6" s="24" t="n">
        <f aca="false">SUM(P7:P18)</f>
        <v>0</v>
      </c>
      <c r="Q6" s="24" t="n">
        <f aca="false">SUM(Q7:Q18)</f>
        <v>334</v>
      </c>
      <c r="R6" s="25" t="n">
        <f aca="false">IF($Q$183&gt;0,Q6/$Q$183,0)</f>
        <v>0.100814971325083</v>
      </c>
    </row>
    <row r="7" customFormat="false" ht="23.85" hidden="false" customHeight="false" outlineLevel="0" collapsed="false">
      <c r="A7" s="26" t="str">
        <f aca="false">'Task Breakdown'!A5</f>
        <v>PS-1.01.01</v>
      </c>
      <c r="B7" s="27" t="str">
        <f aca="false">'Task Breakdown'!G5</f>
        <v>Define management-group and subscription hierarchy (prod, non-prod, sandbox)</v>
      </c>
      <c r="C7" s="28"/>
      <c r="D7" s="28"/>
      <c r="E7" s="29" t="n">
        <f aca="false">'Task Breakdown'!I5</f>
        <v>0</v>
      </c>
      <c r="F7" s="29" t="n">
        <f aca="false">'Task Breakdown'!J5</f>
        <v>15</v>
      </c>
      <c r="G7" s="29" t="n">
        <f aca="false">'Task Breakdown'!K5</f>
        <v>0</v>
      </c>
      <c r="H7" s="29" t="n">
        <f aca="false">'Task Breakdown'!L5</f>
        <v>0</v>
      </c>
      <c r="I7" s="29" t="n">
        <f aca="false">'Task Breakdown'!M5</f>
        <v>0</v>
      </c>
      <c r="J7" s="29" t="n">
        <f aca="false">'Task Breakdown'!N5</f>
        <v>0</v>
      </c>
      <c r="K7" s="29" t="n">
        <f aca="false">'Task Breakdown'!O5</f>
        <v>0</v>
      </c>
      <c r="L7" s="29" t="n">
        <f aca="false">'Task Breakdown'!P5</f>
        <v>0</v>
      </c>
      <c r="M7" s="29" t="n">
        <f aca="false">'Task Breakdown'!Q5</f>
        <v>0</v>
      </c>
      <c r="N7" s="29" t="n">
        <f aca="false">'Task Breakdown'!R5</f>
        <v>0</v>
      </c>
      <c r="O7" s="29" t="n">
        <f aca="false">'Task Breakdown'!S5</f>
        <v>0</v>
      </c>
      <c r="P7" s="29" t="n">
        <f aca="false">'Task Breakdown'!T5</f>
        <v>0</v>
      </c>
      <c r="Q7" s="30" t="n">
        <f aca="false">SUM(E7:P7)</f>
        <v>15</v>
      </c>
      <c r="R7" s="31" t="n">
        <f aca="false">IF($Q$183&gt;0,Q7/$Q$183,0)</f>
        <v>0.00452761847268337</v>
      </c>
    </row>
    <row r="8" customFormat="false" ht="15" hidden="false" customHeight="false" outlineLevel="0" collapsed="false">
      <c r="A8" s="26" t="str">
        <f aca="false">'Task Breakdown'!A6</f>
        <v>PS-1.01.02</v>
      </c>
      <c r="B8" s="27" t="str">
        <f aca="false">'Task Breakdown'!G6</f>
        <v>Design hub-and-spoke network, IP address plan and DNS</v>
      </c>
      <c r="C8" s="28"/>
      <c r="D8" s="28"/>
      <c r="E8" s="29" t="n">
        <f aca="false">'Task Breakdown'!I6</f>
        <v>0</v>
      </c>
      <c r="F8" s="29" t="n">
        <f aca="false">'Task Breakdown'!J6</f>
        <v>20</v>
      </c>
      <c r="G8" s="29" t="n">
        <f aca="false">'Task Breakdown'!K6</f>
        <v>10</v>
      </c>
      <c r="H8" s="29" t="n">
        <f aca="false">'Task Breakdown'!L6</f>
        <v>0</v>
      </c>
      <c r="I8" s="29" t="n">
        <f aca="false">'Task Breakdown'!M6</f>
        <v>0</v>
      </c>
      <c r="J8" s="29" t="n">
        <f aca="false">'Task Breakdown'!N6</f>
        <v>0</v>
      </c>
      <c r="K8" s="29" t="n">
        <f aca="false">'Task Breakdown'!O6</f>
        <v>0</v>
      </c>
      <c r="L8" s="29" t="n">
        <f aca="false">'Task Breakdown'!P6</f>
        <v>0</v>
      </c>
      <c r="M8" s="29" t="n">
        <f aca="false">'Task Breakdown'!Q6</f>
        <v>0</v>
      </c>
      <c r="N8" s="29" t="n">
        <f aca="false">'Task Breakdown'!R6</f>
        <v>0</v>
      </c>
      <c r="O8" s="29" t="n">
        <f aca="false">'Task Breakdown'!S6</f>
        <v>0</v>
      </c>
      <c r="P8" s="29" t="n">
        <f aca="false">'Task Breakdown'!T6</f>
        <v>0</v>
      </c>
      <c r="Q8" s="30" t="n">
        <f aca="false">SUM(E8:P8)</f>
        <v>30</v>
      </c>
      <c r="R8" s="31" t="n">
        <f aca="false">IF($Q$183&gt;0,Q8/$Q$183,0)</f>
        <v>0.00905523694536674</v>
      </c>
    </row>
    <row r="9" customFormat="false" ht="15" hidden="false" customHeight="false" outlineLevel="0" collapsed="false">
      <c r="A9" s="26" t="str">
        <f aca="false">'Task Breakdown'!A7</f>
        <v>PS-1.01.03</v>
      </c>
      <c r="B9" s="27" t="str">
        <f aca="false">'Task Breakdown'!G7</f>
        <v>Deploy hub VNet, Azure Firewall and spoke VNets</v>
      </c>
      <c r="C9" s="28"/>
      <c r="D9" s="28"/>
      <c r="E9" s="29" t="n">
        <f aca="false">'Task Breakdown'!I7</f>
        <v>0</v>
      </c>
      <c r="F9" s="29" t="n">
        <f aca="false">'Task Breakdown'!J7</f>
        <v>0</v>
      </c>
      <c r="G9" s="29" t="n">
        <f aca="false">'Task Breakdown'!K7</f>
        <v>41</v>
      </c>
      <c r="H9" s="29" t="n">
        <f aca="false">'Task Breakdown'!L7</f>
        <v>0</v>
      </c>
      <c r="I9" s="29" t="n">
        <f aca="false">'Task Breakdown'!M7</f>
        <v>0</v>
      </c>
      <c r="J9" s="29" t="n">
        <f aca="false">'Task Breakdown'!N7</f>
        <v>0</v>
      </c>
      <c r="K9" s="29" t="n">
        <f aca="false">'Task Breakdown'!O7</f>
        <v>0</v>
      </c>
      <c r="L9" s="29" t="n">
        <f aca="false">'Task Breakdown'!P7</f>
        <v>0</v>
      </c>
      <c r="M9" s="29" t="n">
        <f aca="false">'Task Breakdown'!Q7</f>
        <v>0</v>
      </c>
      <c r="N9" s="29" t="n">
        <f aca="false">'Task Breakdown'!R7</f>
        <v>0</v>
      </c>
      <c r="O9" s="29" t="n">
        <f aca="false">'Task Breakdown'!S7</f>
        <v>0</v>
      </c>
      <c r="P9" s="29" t="n">
        <f aca="false">'Task Breakdown'!T7</f>
        <v>0</v>
      </c>
      <c r="Q9" s="30" t="n">
        <f aca="false">SUM(E9:P9)</f>
        <v>41</v>
      </c>
      <c r="R9" s="31" t="n">
        <f aca="false">IF($Q$183&gt;0,Q9/$Q$183,0)</f>
        <v>0.0123754904920012</v>
      </c>
    </row>
    <row r="10" customFormat="false" ht="15" hidden="false" customHeight="false" outlineLevel="0" collapsed="false">
      <c r="A10" s="26" t="str">
        <f aca="false">'Task Breakdown'!A8</f>
        <v>PS-1.01.04</v>
      </c>
      <c r="B10" s="27" t="str">
        <f aca="false">'Task Breakdown'!G8</f>
        <v>Set up ExpressRoute / VPN to Ball data centers and plants</v>
      </c>
      <c r="C10" s="28"/>
      <c r="D10" s="28"/>
      <c r="E10" s="29" t="n">
        <f aca="false">'Task Breakdown'!I8</f>
        <v>0</v>
      </c>
      <c r="F10" s="29" t="n">
        <f aca="false">'Task Breakdown'!J8</f>
        <v>10</v>
      </c>
      <c r="G10" s="29" t="n">
        <f aca="false">'Task Breakdown'!K8</f>
        <v>31</v>
      </c>
      <c r="H10" s="29" t="n">
        <f aca="false">'Task Breakdown'!L8</f>
        <v>5</v>
      </c>
      <c r="I10" s="29" t="n">
        <f aca="false">'Task Breakdown'!M8</f>
        <v>0</v>
      </c>
      <c r="J10" s="29" t="n">
        <f aca="false">'Task Breakdown'!N8</f>
        <v>0</v>
      </c>
      <c r="K10" s="29" t="n">
        <f aca="false">'Task Breakdown'!O8</f>
        <v>0</v>
      </c>
      <c r="L10" s="29" t="n">
        <f aca="false">'Task Breakdown'!P8</f>
        <v>0</v>
      </c>
      <c r="M10" s="29" t="n">
        <f aca="false">'Task Breakdown'!Q8</f>
        <v>0</v>
      </c>
      <c r="N10" s="29" t="n">
        <f aca="false">'Task Breakdown'!R8</f>
        <v>0</v>
      </c>
      <c r="O10" s="29" t="n">
        <f aca="false">'Task Breakdown'!S8</f>
        <v>0</v>
      </c>
      <c r="P10" s="29" t="n">
        <f aca="false">'Task Breakdown'!T8</f>
        <v>0</v>
      </c>
      <c r="Q10" s="30" t="n">
        <f aca="false">SUM(E10:P10)</f>
        <v>46</v>
      </c>
      <c r="R10" s="31" t="n">
        <f aca="false">IF($Q$183&gt;0,Q10/$Q$183,0)</f>
        <v>0.0138846966495623</v>
      </c>
    </row>
    <row r="11" customFormat="false" ht="15" hidden="false" customHeight="false" outlineLevel="0" collapsed="false">
      <c r="A11" s="26" t="str">
        <f aca="false">'Task Breakdown'!A9</f>
        <v>PS-1.01.05</v>
      </c>
      <c r="B11" s="27" t="str">
        <f aca="false">'Task Breakdown'!G9</f>
        <v>Configure private endpoints and private DNS zones for PaaS services</v>
      </c>
      <c r="C11" s="28"/>
      <c r="D11" s="28"/>
      <c r="E11" s="29" t="n">
        <f aca="false">'Task Breakdown'!I9</f>
        <v>0</v>
      </c>
      <c r="F11" s="29" t="n">
        <f aca="false">'Task Breakdown'!J9</f>
        <v>0</v>
      </c>
      <c r="G11" s="29" t="n">
        <f aca="false">'Task Breakdown'!K9</f>
        <v>41</v>
      </c>
      <c r="H11" s="29" t="n">
        <f aca="false">'Task Breakdown'!L9</f>
        <v>10</v>
      </c>
      <c r="I11" s="29" t="n">
        <f aca="false">'Task Breakdown'!M9</f>
        <v>0</v>
      </c>
      <c r="J11" s="29" t="n">
        <f aca="false">'Task Breakdown'!N9</f>
        <v>0</v>
      </c>
      <c r="K11" s="29" t="n">
        <f aca="false">'Task Breakdown'!O9</f>
        <v>0</v>
      </c>
      <c r="L11" s="29" t="n">
        <f aca="false">'Task Breakdown'!P9</f>
        <v>0</v>
      </c>
      <c r="M11" s="29" t="n">
        <f aca="false">'Task Breakdown'!Q9</f>
        <v>0</v>
      </c>
      <c r="N11" s="29" t="n">
        <f aca="false">'Task Breakdown'!R9</f>
        <v>0</v>
      </c>
      <c r="O11" s="29" t="n">
        <f aca="false">'Task Breakdown'!S9</f>
        <v>0</v>
      </c>
      <c r="P11" s="29" t="n">
        <f aca="false">'Task Breakdown'!T9</f>
        <v>0</v>
      </c>
      <c r="Q11" s="30" t="n">
        <f aca="false">SUM(E11:P11)</f>
        <v>51</v>
      </c>
      <c r="R11" s="31" t="n">
        <f aca="false">IF($Q$183&gt;0,Q11/$Q$183,0)</f>
        <v>0.0153939028071235</v>
      </c>
    </row>
    <row r="12" customFormat="false" ht="15" hidden="false" customHeight="false" outlineLevel="0" collapsed="false">
      <c r="A12" s="26" t="str">
        <f aca="false">'Task Breakdown'!A10</f>
        <v>PS-1.01.06</v>
      </c>
      <c r="B12" s="27" t="str">
        <f aca="false">'Task Breakdown'!G10</f>
        <v>Apply Azure Policy baseline (allowed regions, tagging, no public IPs)</v>
      </c>
      <c r="C12" s="28"/>
      <c r="D12" s="28"/>
      <c r="E12" s="29" t="n">
        <f aca="false">'Task Breakdown'!I10</f>
        <v>0</v>
      </c>
      <c r="F12" s="29" t="n">
        <f aca="false">'Task Breakdown'!J10</f>
        <v>5</v>
      </c>
      <c r="G12" s="29" t="n">
        <f aca="false">'Task Breakdown'!K10</f>
        <v>20</v>
      </c>
      <c r="H12" s="29" t="n">
        <f aca="false">'Task Breakdown'!L10</f>
        <v>15</v>
      </c>
      <c r="I12" s="29" t="n">
        <f aca="false">'Task Breakdown'!M10</f>
        <v>0</v>
      </c>
      <c r="J12" s="29" t="n">
        <f aca="false">'Task Breakdown'!N10</f>
        <v>0</v>
      </c>
      <c r="K12" s="29" t="n">
        <f aca="false">'Task Breakdown'!O10</f>
        <v>0</v>
      </c>
      <c r="L12" s="29" t="n">
        <f aca="false">'Task Breakdown'!P10</f>
        <v>0</v>
      </c>
      <c r="M12" s="29" t="n">
        <f aca="false">'Task Breakdown'!Q10</f>
        <v>0</v>
      </c>
      <c r="N12" s="29" t="n">
        <f aca="false">'Task Breakdown'!R10</f>
        <v>0</v>
      </c>
      <c r="O12" s="29" t="n">
        <f aca="false">'Task Breakdown'!S10</f>
        <v>0</v>
      </c>
      <c r="P12" s="29" t="n">
        <f aca="false">'Task Breakdown'!T10</f>
        <v>0</v>
      </c>
      <c r="Q12" s="30" t="n">
        <f aca="false">SUM(E12:P12)</f>
        <v>40</v>
      </c>
      <c r="R12" s="31" t="n">
        <f aca="false">IF($Q$183&gt;0,Q12/$Q$183,0)</f>
        <v>0.012073649260489</v>
      </c>
    </row>
    <row r="13" customFormat="false" ht="15" hidden="false" customHeight="false" outlineLevel="0" collapsed="false">
      <c r="A13" s="26" t="str">
        <f aca="false">'Task Breakdown'!A11</f>
        <v>PS-1.01.07</v>
      </c>
      <c r="B13" s="27" t="str">
        <f aca="false">'Task Breakdown'!G11</f>
        <v>Enable Defender for Cloud and diagnostic settings</v>
      </c>
      <c r="C13" s="28"/>
      <c r="D13" s="28"/>
      <c r="E13" s="29" t="n">
        <f aca="false">'Task Breakdown'!I11</f>
        <v>0</v>
      </c>
      <c r="F13" s="29" t="n">
        <f aca="false">'Task Breakdown'!J11</f>
        <v>0</v>
      </c>
      <c r="G13" s="29" t="n">
        <f aca="false">'Task Breakdown'!K11</f>
        <v>10</v>
      </c>
      <c r="H13" s="29" t="n">
        <f aca="false">'Task Breakdown'!L11</f>
        <v>10</v>
      </c>
      <c r="I13" s="29" t="n">
        <f aca="false">'Task Breakdown'!M11</f>
        <v>0</v>
      </c>
      <c r="J13" s="29" t="n">
        <f aca="false">'Task Breakdown'!N11</f>
        <v>0</v>
      </c>
      <c r="K13" s="29" t="n">
        <f aca="false">'Task Breakdown'!O11</f>
        <v>0</v>
      </c>
      <c r="L13" s="29" t="n">
        <f aca="false">'Task Breakdown'!P11</f>
        <v>0</v>
      </c>
      <c r="M13" s="29" t="n">
        <f aca="false">'Task Breakdown'!Q11</f>
        <v>0</v>
      </c>
      <c r="N13" s="29" t="n">
        <f aca="false">'Task Breakdown'!R11</f>
        <v>0</v>
      </c>
      <c r="O13" s="29" t="n">
        <f aca="false">'Task Breakdown'!S11</f>
        <v>0</v>
      </c>
      <c r="P13" s="29" t="n">
        <f aca="false">'Task Breakdown'!T11</f>
        <v>0</v>
      </c>
      <c r="Q13" s="30" t="n">
        <f aca="false">SUM(E13:P13)</f>
        <v>20</v>
      </c>
      <c r="R13" s="31" t="n">
        <f aca="false">IF($Q$183&gt;0,Q13/$Q$183,0)</f>
        <v>0.00603682463024449</v>
      </c>
    </row>
    <row r="14" customFormat="false" ht="15" hidden="false" customHeight="false" outlineLevel="0" collapsed="false">
      <c r="A14" s="26" t="str">
        <f aca="false">'Task Breakdown'!A12</f>
        <v>PS-1.01.08</v>
      </c>
      <c r="B14" s="27" t="str">
        <f aca="false">'Task Breakdown'!G12</f>
        <v>Validate connectivity and policy compliance</v>
      </c>
      <c r="C14" s="28"/>
      <c r="D14" s="28"/>
      <c r="E14" s="29" t="n">
        <f aca="false">'Task Breakdown'!I12</f>
        <v>0</v>
      </c>
      <c r="F14" s="29" t="n">
        <f aca="false">'Task Breakdown'!J12</f>
        <v>10</v>
      </c>
      <c r="G14" s="29" t="n">
        <f aca="false">'Task Breakdown'!K12</f>
        <v>0</v>
      </c>
      <c r="H14" s="29" t="n">
        <f aca="false">'Task Breakdown'!L12</f>
        <v>0</v>
      </c>
      <c r="I14" s="29" t="n">
        <f aca="false">'Task Breakdown'!M12</f>
        <v>0</v>
      </c>
      <c r="J14" s="29" t="n">
        <f aca="false">'Task Breakdown'!N12</f>
        <v>0</v>
      </c>
      <c r="K14" s="29" t="n">
        <f aca="false">'Task Breakdown'!O12</f>
        <v>0</v>
      </c>
      <c r="L14" s="29" t="n">
        <f aca="false">'Task Breakdown'!P12</f>
        <v>0</v>
      </c>
      <c r="M14" s="29" t="n">
        <f aca="false">'Task Breakdown'!Q12</f>
        <v>0</v>
      </c>
      <c r="N14" s="29" t="n">
        <f aca="false">'Task Breakdown'!R12</f>
        <v>0</v>
      </c>
      <c r="O14" s="29" t="n">
        <f aca="false">'Task Breakdown'!S12</f>
        <v>20</v>
      </c>
      <c r="P14" s="29" t="n">
        <f aca="false">'Task Breakdown'!T12</f>
        <v>0</v>
      </c>
      <c r="Q14" s="30" t="n">
        <f aca="false">SUM(E14:P14)</f>
        <v>30</v>
      </c>
      <c r="R14" s="31" t="n">
        <f aca="false">IF($Q$183&gt;0,Q14/$Q$183,0)</f>
        <v>0.00905523694536674</v>
      </c>
    </row>
    <row r="15" customFormat="false" ht="15" hidden="false" customHeight="false" outlineLevel="0" collapsed="false">
      <c r="A15" s="26" t="str">
        <f aca="false">'Task Breakdown'!A13</f>
        <v>PS-1.01.09</v>
      </c>
      <c r="B15" s="27" t="str">
        <f aca="false">'Task Breakdown'!G13</f>
        <v>Detailed design and design review</v>
      </c>
      <c r="C15" s="28"/>
      <c r="D15" s="28"/>
      <c r="E15" s="29" t="n">
        <f aca="false">'Task Breakdown'!I13</f>
        <v>0</v>
      </c>
      <c r="F15" s="29" t="n">
        <f aca="false">'Task Breakdown'!J13</f>
        <v>17</v>
      </c>
      <c r="G15" s="29" t="n">
        <f aca="false">'Task Breakdown'!K13</f>
        <v>0</v>
      </c>
      <c r="H15" s="29" t="n">
        <f aca="false">'Task Breakdown'!L13</f>
        <v>0</v>
      </c>
      <c r="I15" s="29" t="n">
        <f aca="false">'Task Breakdown'!M13</f>
        <v>0</v>
      </c>
      <c r="J15" s="29" t="n">
        <f aca="false">'Task Breakdown'!N13</f>
        <v>0</v>
      </c>
      <c r="K15" s="29" t="n">
        <f aca="false">'Task Breakdown'!O13</f>
        <v>0</v>
      </c>
      <c r="L15" s="29" t="n">
        <f aca="false">'Task Breakdown'!P13</f>
        <v>0</v>
      </c>
      <c r="M15" s="29" t="n">
        <f aca="false">'Task Breakdown'!Q13</f>
        <v>0</v>
      </c>
      <c r="N15" s="29" t="n">
        <f aca="false">'Task Breakdown'!R13</f>
        <v>0</v>
      </c>
      <c r="O15" s="29" t="n">
        <f aca="false">'Task Breakdown'!S13</f>
        <v>0</v>
      </c>
      <c r="P15" s="29" t="n">
        <f aca="false">'Task Breakdown'!T13</f>
        <v>0</v>
      </c>
      <c r="Q15" s="30" t="n">
        <f aca="false">SUM(E15:P15)</f>
        <v>17</v>
      </c>
      <c r="R15" s="31" t="n">
        <f aca="false">IF($Q$183&gt;0,Q15/$Q$183,0)</f>
        <v>0.00513130093570782</v>
      </c>
    </row>
    <row r="16" customFormat="false" ht="15" hidden="false" customHeight="false" outlineLevel="0" collapsed="false">
      <c r="A16" s="26" t="str">
        <f aca="false">'Task Breakdown'!A14</f>
        <v>PS-1.01.10</v>
      </c>
      <c r="B16" s="27" t="str">
        <f aca="false">'Task Breakdown'!G14</f>
        <v>Promote through dev / test / prod and release</v>
      </c>
      <c r="C16" s="28"/>
      <c r="D16" s="28"/>
      <c r="E16" s="29" t="n">
        <f aca="false">'Task Breakdown'!I14</f>
        <v>0</v>
      </c>
      <c r="F16" s="29" t="n">
        <f aca="false">'Task Breakdown'!J14</f>
        <v>0</v>
      </c>
      <c r="G16" s="29" t="n">
        <f aca="false">'Task Breakdown'!K14</f>
        <v>11</v>
      </c>
      <c r="H16" s="29" t="n">
        <f aca="false">'Task Breakdown'!L14</f>
        <v>0</v>
      </c>
      <c r="I16" s="29" t="n">
        <f aca="false">'Task Breakdown'!M14</f>
        <v>0</v>
      </c>
      <c r="J16" s="29" t="n">
        <f aca="false">'Task Breakdown'!N14</f>
        <v>0</v>
      </c>
      <c r="K16" s="29" t="n">
        <f aca="false">'Task Breakdown'!O14</f>
        <v>0</v>
      </c>
      <c r="L16" s="29" t="n">
        <f aca="false">'Task Breakdown'!P14</f>
        <v>0</v>
      </c>
      <c r="M16" s="29" t="n">
        <f aca="false">'Task Breakdown'!Q14</f>
        <v>0</v>
      </c>
      <c r="N16" s="29" t="n">
        <f aca="false">'Task Breakdown'!R14</f>
        <v>0</v>
      </c>
      <c r="O16" s="29" t="n">
        <f aca="false">'Task Breakdown'!S14</f>
        <v>0</v>
      </c>
      <c r="P16" s="29" t="n">
        <f aca="false">'Task Breakdown'!T14</f>
        <v>0</v>
      </c>
      <c r="Q16" s="30" t="n">
        <f aca="false">SUM(E16:P16)</f>
        <v>11</v>
      </c>
      <c r="R16" s="31" t="n">
        <f aca="false">IF($Q$183&gt;0,Q16/$Q$183,0)</f>
        <v>0.00332025354663447</v>
      </c>
    </row>
    <row r="17" customFormat="false" ht="15" hidden="false" customHeight="false" outlineLevel="0" collapsed="false">
      <c r="A17" s="26" t="str">
        <f aca="false">'Task Breakdown'!A15</f>
        <v>PS-1.01.11</v>
      </c>
      <c r="B17" s="27" t="str">
        <f aca="false">'Task Breakdown'!G15</f>
        <v>Documentation, runbook and knowledge transfer</v>
      </c>
      <c r="C17" s="28"/>
      <c r="D17" s="28"/>
      <c r="E17" s="29" t="n">
        <f aca="false">'Task Breakdown'!I15</f>
        <v>0</v>
      </c>
      <c r="F17" s="29" t="n">
        <f aca="false">'Task Breakdown'!J15</f>
        <v>0</v>
      </c>
      <c r="G17" s="29" t="n">
        <f aca="false">'Task Breakdown'!K15</f>
        <v>11</v>
      </c>
      <c r="H17" s="29" t="n">
        <f aca="false">'Task Breakdown'!L15</f>
        <v>0</v>
      </c>
      <c r="I17" s="29" t="n">
        <f aca="false">'Task Breakdown'!M15</f>
        <v>0</v>
      </c>
      <c r="J17" s="29" t="n">
        <f aca="false">'Task Breakdown'!N15</f>
        <v>0</v>
      </c>
      <c r="K17" s="29" t="n">
        <f aca="false">'Task Breakdown'!O15</f>
        <v>0</v>
      </c>
      <c r="L17" s="29" t="n">
        <f aca="false">'Task Breakdown'!P15</f>
        <v>0</v>
      </c>
      <c r="M17" s="29" t="n">
        <f aca="false">'Task Breakdown'!Q15</f>
        <v>0</v>
      </c>
      <c r="N17" s="29" t="n">
        <f aca="false">'Task Breakdown'!R15</f>
        <v>0</v>
      </c>
      <c r="O17" s="29" t="n">
        <f aca="false">'Task Breakdown'!S15</f>
        <v>0</v>
      </c>
      <c r="P17" s="29" t="n">
        <f aca="false">'Task Breakdown'!T15</f>
        <v>0</v>
      </c>
      <c r="Q17" s="30" t="n">
        <f aca="false">SUM(E17:P17)</f>
        <v>11</v>
      </c>
      <c r="R17" s="31" t="n">
        <f aca="false">IF($Q$183&gt;0,Q17/$Q$183,0)</f>
        <v>0.00332025354663447</v>
      </c>
    </row>
    <row r="18" customFormat="false" ht="15" hidden="false" customHeight="false" outlineLevel="0" collapsed="false">
      <c r="A18" s="26" t="str">
        <f aca="false">'Task Breakdown'!A16</f>
        <v>PS-1.01.12</v>
      </c>
      <c r="B18" s="27" t="str">
        <f aca="false">'Task Breakdown'!G16</f>
        <v>Defect fixing and rework after testing</v>
      </c>
      <c r="C18" s="28"/>
      <c r="D18" s="28"/>
      <c r="E18" s="29" t="n">
        <f aca="false">'Task Breakdown'!I16</f>
        <v>0</v>
      </c>
      <c r="F18" s="29" t="n">
        <f aca="false">'Task Breakdown'!J16</f>
        <v>0</v>
      </c>
      <c r="G18" s="29" t="n">
        <f aca="false">'Task Breakdown'!K16</f>
        <v>22</v>
      </c>
      <c r="H18" s="29" t="n">
        <f aca="false">'Task Breakdown'!L16</f>
        <v>0</v>
      </c>
      <c r="I18" s="29" t="n">
        <f aca="false">'Task Breakdown'!M16</f>
        <v>0</v>
      </c>
      <c r="J18" s="29" t="n">
        <f aca="false">'Task Breakdown'!N16</f>
        <v>0</v>
      </c>
      <c r="K18" s="29" t="n">
        <f aca="false">'Task Breakdown'!O16</f>
        <v>0</v>
      </c>
      <c r="L18" s="29" t="n">
        <f aca="false">'Task Breakdown'!P16</f>
        <v>0</v>
      </c>
      <c r="M18" s="29" t="n">
        <f aca="false">'Task Breakdown'!Q16</f>
        <v>0</v>
      </c>
      <c r="N18" s="29" t="n">
        <f aca="false">'Task Breakdown'!R16</f>
        <v>0</v>
      </c>
      <c r="O18" s="29" t="n">
        <f aca="false">'Task Breakdown'!S16</f>
        <v>0</v>
      </c>
      <c r="P18" s="29" t="n">
        <f aca="false">'Task Breakdown'!T16</f>
        <v>0</v>
      </c>
      <c r="Q18" s="30" t="n">
        <f aca="false">SUM(E18:P18)</f>
        <v>22</v>
      </c>
      <c r="R18" s="31" t="n">
        <f aca="false">IF($Q$183&gt;0,Q18/$Q$183,0)</f>
        <v>0.00664050709326894</v>
      </c>
    </row>
    <row r="19" customFormat="false" ht="15" hidden="false" customHeight="false" outlineLevel="0" collapsed="false">
      <c r="A19" s="23" t="s">
        <v>101</v>
      </c>
      <c r="B19" s="23" t="s">
        <v>102</v>
      </c>
      <c r="C19" s="23" t="s">
        <v>42</v>
      </c>
      <c r="D19" s="23" t="s">
        <v>103</v>
      </c>
      <c r="E19" s="24" t="n">
        <f aca="false">SUM(E20:E27)</f>
        <v>0</v>
      </c>
      <c r="F19" s="24" t="n">
        <f aca="false">SUM(F20:F27)</f>
        <v>24</v>
      </c>
      <c r="G19" s="24" t="n">
        <f aca="false">SUM(G20:G27)</f>
        <v>16</v>
      </c>
      <c r="H19" s="24" t="n">
        <f aca="false">SUM(H20:H27)</f>
        <v>89</v>
      </c>
      <c r="I19" s="24" t="n">
        <f aca="false">SUM(I20:I27)</f>
        <v>0</v>
      </c>
      <c r="J19" s="24" t="n">
        <f aca="false">SUM(J20:J27)</f>
        <v>0</v>
      </c>
      <c r="K19" s="24" t="n">
        <f aca="false">SUM(K20:K27)</f>
        <v>0</v>
      </c>
      <c r="L19" s="24" t="n">
        <f aca="false">SUM(L20:L27)</f>
        <v>0</v>
      </c>
      <c r="M19" s="24" t="n">
        <f aca="false">SUM(M20:M27)</f>
        <v>0</v>
      </c>
      <c r="N19" s="24" t="n">
        <f aca="false">SUM(N20:N27)</f>
        <v>0</v>
      </c>
      <c r="O19" s="24" t="n">
        <f aca="false">SUM(O20:O27)</f>
        <v>16</v>
      </c>
      <c r="P19" s="24" t="n">
        <f aca="false">SUM(P20:P27)</f>
        <v>0</v>
      </c>
      <c r="Q19" s="24" t="n">
        <f aca="false">SUM(Q20:Q27)</f>
        <v>145</v>
      </c>
      <c r="R19" s="25" t="n">
        <f aca="false">IF($Q$183&gt;0,Q19/$Q$183,0)</f>
        <v>0.0437669785692726</v>
      </c>
    </row>
    <row r="20" customFormat="false" ht="15" hidden="false" customHeight="false" outlineLevel="0" collapsed="false">
      <c r="A20" s="26" t="str">
        <f aca="false">'Task Breakdown'!A17</f>
        <v>PS-1.02.01</v>
      </c>
      <c r="B20" s="27" t="str">
        <f aca="false">'Task Breakdown'!G17</f>
        <v>Register enterprise apps and app registrations for platform services</v>
      </c>
      <c r="C20" s="28"/>
      <c r="D20" s="28"/>
      <c r="E20" s="29" t="n">
        <f aca="false">'Task Breakdown'!I17</f>
        <v>0</v>
      </c>
      <c r="F20" s="29" t="n">
        <f aca="false">'Task Breakdown'!J17</f>
        <v>0</v>
      </c>
      <c r="G20" s="29" t="n">
        <f aca="false">'Task Breakdown'!K17</f>
        <v>8</v>
      </c>
      <c r="H20" s="29" t="n">
        <f aca="false">'Task Breakdown'!L17</f>
        <v>12</v>
      </c>
      <c r="I20" s="29" t="n">
        <f aca="false">'Task Breakdown'!M17</f>
        <v>0</v>
      </c>
      <c r="J20" s="29" t="n">
        <f aca="false">'Task Breakdown'!N17</f>
        <v>0</v>
      </c>
      <c r="K20" s="29" t="n">
        <f aca="false">'Task Breakdown'!O17</f>
        <v>0</v>
      </c>
      <c r="L20" s="29" t="n">
        <f aca="false">'Task Breakdown'!P17</f>
        <v>0</v>
      </c>
      <c r="M20" s="29" t="n">
        <f aca="false">'Task Breakdown'!Q17</f>
        <v>0</v>
      </c>
      <c r="N20" s="29" t="n">
        <f aca="false">'Task Breakdown'!R17</f>
        <v>0</v>
      </c>
      <c r="O20" s="29" t="n">
        <f aca="false">'Task Breakdown'!S17</f>
        <v>0</v>
      </c>
      <c r="P20" s="29" t="n">
        <f aca="false">'Task Breakdown'!T17</f>
        <v>0</v>
      </c>
      <c r="Q20" s="30" t="n">
        <f aca="false">SUM(E20:P20)</f>
        <v>20</v>
      </c>
      <c r="R20" s="31" t="n">
        <f aca="false">IF($Q$183&gt;0,Q20/$Q$183,0)</f>
        <v>0.00603682463024449</v>
      </c>
    </row>
    <row r="21" customFormat="false" ht="15" hidden="false" customHeight="false" outlineLevel="0" collapsed="false">
      <c r="A21" s="26" t="str">
        <f aca="false">'Task Breakdown'!A18</f>
        <v>PS-1.02.02</v>
      </c>
      <c r="B21" s="27" t="str">
        <f aca="false">'Task Breakdown'!G18</f>
        <v>Configure SSO (OIDC / SAML) for web, mobile and Teams clients</v>
      </c>
      <c r="C21" s="28"/>
      <c r="D21" s="28"/>
      <c r="E21" s="29" t="n">
        <f aca="false">'Task Breakdown'!I18</f>
        <v>0</v>
      </c>
      <c r="F21" s="29" t="n">
        <f aca="false">'Task Breakdown'!J18</f>
        <v>0</v>
      </c>
      <c r="G21" s="29" t="n">
        <f aca="false">'Task Breakdown'!K18</f>
        <v>8</v>
      </c>
      <c r="H21" s="29" t="n">
        <f aca="false">'Task Breakdown'!L18</f>
        <v>20</v>
      </c>
      <c r="I21" s="29" t="n">
        <f aca="false">'Task Breakdown'!M18</f>
        <v>0</v>
      </c>
      <c r="J21" s="29" t="n">
        <f aca="false">'Task Breakdown'!N18</f>
        <v>0</v>
      </c>
      <c r="K21" s="29" t="n">
        <f aca="false">'Task Breakdown'!O18</f>
        <v>0</v>
      </c>
      <c r="L21" s="29" t="n">
        <f aca="false">'Task Breakdown'!P18</f>
        <v>0</v>
      </c>
      <c r="M21" s="29" t="n">
        <f aca="false">'Task Breakdown'!Q18</f>
        <v>0</v>
      </c>
      <c r="N21" s="29" t="n">
        <f aca="false">'Task Breakdown'!R18</f>
        <v>0</v>
      </c>
      <c r="O21" s="29" t="n">
        <f aca="false">'Task Breakdown'!S18</f>
        <v>0</v>
      </c>
      <c r="P21" s="29" t="n">
        <f aca="false">'Task Breakdown'!T18</f>
        <v>0</v>
      </c>
      <c r="Q21" s="30" t="n">
        <f aca="false">SUM(E21:P21)</f>
        <v>28</v>
      </c>
      <c r="R21" s="31" t="n">
        <f aca="false">IF($Q$183&gt;0,Q21/$Q$183,0)</f>
        <v>0.00845155448234229</v>
      </c>
    </row>
    <row r="22" customFormat="false" ht="15" hidden="false" customHeight="false" outlineLevel="0" collapsed="false">
      <c r="A22" s="26" t="str">
        <f aca="false">'Task Breakdown'!A19</f>
        <v>PS-1.02.03</v>
      </c>
      <c r="B22" s="27" t="str">
        <f aca="false">'Task Breakdown'!G19</f>
        <v>Enforce MFA and create conditional access policies (device, location, risk)</v>
      </c>
      <c r="C22" s="28"/>
      <c r="D22" s="28"/>
      <c r="E22" s="29" t="n">
        <f aca="false">'Task Breakdown'!I19</f>
        <v>0</v>
      </c>
      <c r="F22" s="29" t="n">
        <f aca="false">'Task Breakdown'!J19</f>
        <v>8</v>
      </c>
      <c r="G22" s="29" t="n">
        <f aca="false">'Task Breakdown'!K19</f>
        <v>0</v>
      </c>
      <c r="H22" s="29" t="n">
        <f aca="false">'Task Breakdown'!L19</f>
        <v>20</v>
      </c>
      <c r="I22" s="29" t="n">
        <f aca="false">'Task Breakdown'!M19</f>
        <v>0</v>
      </c>
      <c r="J22" s="29" t="n">
        <f aca="false">'Task Breakdown'!N19</f>
        <v>0</v>
      </c>
      <c r="K22" s="29" t="n">
        <f aca="false">'Task Breakdown'!O19</f>
        <v>0</v>
      </c>
      <c r="L22" s="29" t="n">
        <f aca="false">'Task Breakdown'!P19</f>
        <v>0</v>
      </c>
      <c r="M22" s="29" t="n">
        <f aca="false">'Task Breakdown'!Q19</f>
        <v>0</v>
      </c>
      <c r="N22" s="29" t="n">
        <f aca="false">'Task Breakdown'!R19</f>
        <v>0</v>
      </c>
      <c r="O22" s="29" t="n">
        <f aca="false">'Task Breakdown'!S19</f>
        <v>0</v>
      </c>
      <c r="P22" s="29" t="n">
        <f aca="false">'Task Breakdown'!T19</f>
        <v>0</v>
      </c>
      <c r="Q22" s="30" t="n">
        <f aca="false">SUM(E22:P22)</f>
        <v>28</v>
      </c>
      <c r="R22" s="31" t="n">
        <f aca="false">IF($Q$183&gt;0,Q22/$Q$183,0)</f>
        <v>0.00845155448234229</v>
      </c>
    </row>
    <row r="23" customFormat="false" ht="15" hidden="false" customHeight="false" outlineLevel="0" collapsed="false">
      <c r="A23" s="26" t="str">
        <f aca="false">'Task Breakdown'!A20</f>
        <v>PS-1.02.04</v>
      </c>
      <c r="B23" s="27" t="str">
        <f aca="false">'Task Breakdown'!G20</f>
        <v>Set up PIM for privileged roles with approval and time limits</v>
      </c>
      <c r="C23" s="28"/>
      <c r="D23" s="28"/>
      <c r="E23" s="29" t="n">
        <f aca="false">'Task Breakdown'!I20</f>
        <v>0</v>
      </c>
      <c r="F23" s="29" t="n">
        <f aca="false">'Task Breakdown'!J20</f>
        <v>0</v>
      </c>
      <c r="G23" s="29" t="n">
        <f aca="false">'Task Breakdown'!K20</f>
        <v>0</v>
      </c>
      <c r="H23" s="29" t="n">
        <f aca="false">'Task Breakdown'!L20</f>
        <v>16</v>
      </c>
      <c r="I23" s="29" t="n">
        <f aca="false">'Task Breakdown'!M20</f>
        <v>0</v>
      </c>
      <c r="J23" s="29" t="n">
        <f aca="false">'Task Breakdown'!N20</f>
        <v>0</v>
      </c>
      <c r="K23" s="29" t="n">
        <f aca="false">'Task Breakdown'!O20</f>
        <v>0</v>
      </c>
      <c r="L23" s="29" t="n">
        <f aca="false">'Task Breakdown'!P20</f>
        <v>0</v>
      </c>
      <c r="M23" s="29" t="n">
        <f aca="false">'Task Breakdown'!Q20</f>
        <v>0</v>
      </c>
      <c r="N23" s="29" t="n">
        <f aca="false">'Task Breakdown'!R20</f>
        <v>0</v>
      </c>
      <c r="O23" s="29" t="n">
        <f aca="false">'Task Breakdown'!S20</f>
        <v>0</v>
      </c>
      <c r="P23" s="29" t="n">
        <f aca="false">'Task Breakdown'!T20</f>
        <v>0</v>
      </c>
      <c r="Q23" s="30" t="n">
        <f aca="false">SUM(E23:P23)</f>
        <v>16</v>
      </c>
      <c r="R23" s="31" t="n">
        <f aca="false">IF($Q$183&gt;0,Q23/$Q$183,0)</f>
        <v>0.00482945970419559</v>
      </c>
    </row>
    <row r="24" customFormat="false" ht="15" hidden="false" customHeight="false" outlineLevel="0" collapsed="false">
      <c r="A24" s="26" t="str">
        <f aca="false">'Task Breakdown'!A21</f>
        <v>PS-1.02.05</v>
      </c>
      <c r="B24" s="27" t="str">
        <f aca="false">'Task Breakdown'!G21</f>
        <v>Create managed identities for services and agents</v>
      </c>
      <c r="C24" s="28"/>
      <c r="D24" s="28"/>
      <c r="E24" s="29" t="n">
        <f aca="false">'Task Breakdown'!I21</f>
        <v>0</v>
      </c>
      <c r="F24" s="29" t="n">
        <f aca="false">'Task Breakdown'!J21</f>
        <v>8</v>
      </c>
      <c r="G24" s="29" t="n">
        <f aca="false">'Task Breakdown'!K21</f>
        <v>0</v>
      </c>
      <c r="H24" s="29" t="n">
        <f aca="false">'Task Breakdown'!L21</f>
        <v>12</v>
      </c>
      <c r="I24" s="29" t="n">
        <f aca="false">'Task Breakdown'!M21</f>
        <v>0</v>
      </c>
      <c r="J24" s="29" t="n">
        <f aca="false">'Task Breakdown'!N21</f>
        <v>0</v>
      </c>
      <c r="K24" s="29" t="n">
        <f aca="false">'Task Breakdown'!O21</f>
        <v>0</v>
      </c>
      <c r="L24" s="29" t="n">
        <f aca="false">'Task Breakdown'!P21</f>
        <v>0</v>
      </c>
      <c r="M24" s="29" t="n">
        <f aca="false">'Task Breakdown'!Q21</f>
        <v>0</v>
      </c>
      <c r="N24" s="29" t="n">
        <f aca="false">'Task Breakdown'!R21</f>
        <v>0</v>
      </c>
      <c r="O24" s="29" t="n">
        <f aca="false">'Task Breakdown'!S21</f>
        <v>0</v>
      </c>
      <c r="P24" s="29" t="n">
        <f aca="false">'Task Breakdown'!T21</f>
        <v>0</v>
      </c>
      <c r="Q24" s="30" t="n">
        <f aca="false">SUM(E24:P24)</f>
        <v>20</v>
      </c>
      <c r="R24" s="31" t="n">
        <f aca="false">IF($Q$183&gt;0,Q24/$Q$183,0)</f>
        <v>0.00603682463024449</v>
      </c>
    </row>
    <row r="25" customFormat="false" ht="15" hidden="false" customHeight="false" outlineLevel="0" collapsed="false">
      <c r="A25" s="26" t="str">
        <f aca="false">'Task Breakdown'!A22</f>
        <v>PS-1.02.06</v>
      </c>
      <c r="B25" s="27" t="str">
        <f aca="false">'Task Breakdown'!G22</f>
        <v>Test sign-in flows and break-glass accounts</v>
      </c>
      <c r="C25" s="28"/>
      <c r="D25" s="28"/>
      <c r="E25" s="29" t="n">
        <f aca="false">'Task Breakdown'!I22</f>
        <v>0</v>
      </c>
      <c r="F25" s="29" t="n">
        <f aca="false">'Task Breakdown'!J22</f>
        <v>0</v>
      </c>
      <c r="G25" s="29" t="n">
        <f aca="false">'Task Breakdown'!K22</f>
        <v>0</v>
      </c>
      <c r="H25" s="29" t="n">
        <f aca="false">'Task Breakdown'!L22</f>
        <v>4</v>
      </c>
      <c r="I25" s="29" t="n">
        <f aca="false">'Task Breakdown'!M22</f>
        <v>0</v>
      </c>
      <c r="J25" s="29" t="n">
        <f aca="false">'Task Breakdown'!N22</f>
        <v>0</v>
      </c>
      <c r="K25" s="29" t="n">
        <f aca="false">'Task Breakdown'!O22</f>
        <v>0</v>
      </c>
      <c r="L25" s="29" t="n">
        <f aca="false">'Task Breakdown'!P22</f>
        <v>0</v>
      </c>
      <c r="M25" s="29" t="n">
        <f aca="false">'Task Breakdown'!Q22</f>
        <v>0</v>
      </c>
      <c r="N25" s="29" t="n">
        <f aca="false">'Task Breakdown'!R22</f>
        <v>0</v>
      </c>
      <c r="O25" s="29" t="n">
        <f aca="false">'Task Breakdown'!S22</f>
        <v>16</v>
      </c>
      <c r="P25" s="29" t="n">
        <f aca="false">'Task Breakdown'!T22</f>
        <v>0</v>
      </c>
      <c r="Q25" s="30" t="n">
        <f aca="false">SUM(E25:P25)</f>
        <v>20</v>
      </c>
      <c r="R25" s="31" t="n">
        <f aca="false">IF($Q$183&gt;0,Q25/$Q$183,0)</f>
        <v>0.00603682463024449</v>
      </c>
    </row>
    <row r="26" customFormat="false" ht="15" hidden="false" customHeight="false" outlineLevel="0" collapsed="false">
      <c r="A26" s="26" t="str">
        <f aca="false">'Task Breakdown'!A23</f>
        <v>PS-1.02.07</v>
      </c>
      <c r="B26" s="27" t="str">
        <f aca="false">'Task Breakdown'!G23</f>
        <v>Detailed design and design review</v>
      </c>
      <c r="C26" s="28"/>
      <c r="D26" s="28"/>
      <c r="E26" s="29" t="n">
        <f aca="false">'Task Breakdown'!I23</f>
        <v>0</v>
      </c>
      <c r="F26" s="29" t="n">
        <f aca="false">'Task Breakdown'!J23</f>
        <v>8</v>
      </c>
      <c r="G26" s="29" t="n">
        <f aca="false">'Task Breakdown'!K23</f>
        <v>0</v>
      </c>
      <c r="H26" s="29" t="n">
        <f aca="false">'Task Breakdown'!L23</f>
        <v>0</v>
      </c>
      <c r="I26" s="29" t="n">
        <f aca="false">'Task Breakdown'!M23</f>
        <v>0</v>
      </c>
      <c r="J26" s="29" t="n">
        <f aca="false">'Task Breakdown'!N23</f>
        <v>0</v>
      </c>
      <c r="K26" s="29" t="n">
        <f aca="false">'Task Breakdown'!O23</f>
        <v>0</v>
      </c>
      <c r="L26" s="29" t="n">
        <f aca="false">'Task Breakdown'!P23</f>
        <v>0</v>
      </c>
      <c r="M26" s="29" t="n">
        <f aca="false">'Task Breakdown'!Q23</f>
        <v>0</v>
      </c>
      <c r="N26" s="29" t="n">
        <f aca="false">'Task Breakdown'!R23</f>
        <v>0</v>
      </c>
      <c r="O26" s="29" t="n">
        <f aca="false">'Task Breakdown'!S23</f>
        <v>0</v>
      </c>
      <c r="P26" s="29" t="n">
        <f aca="false">'Task Breakdown'!T23</f>
        <v>0</v>
      </c>
      <c r="Q26" s="30" t="n">
        <f aca="false">SUM(E26:P26)</f>
        <v>8</v>
      </c>
      <c r="R26" s="31" t="n">
        <f aca="false">IF($Q$183&gt;0,Q26/$Q$183,0)</f>
        <v>0.0024147298520978</v>
      </c>
    </row>
    <row r="27" customFormat="false" ht="15" hidden="false" customHeight="false" outlineLevel="0" collapsed="false">
      <c r="A27" s="26" t="str">
        <f aca="false">'Task Breakdown'!A24</f>
        <v>PS-1.02.08</v>
      </c>
      <c r="B27" s="27" t="str">
        <f aca="false">'Task Breakdown'!G24</f>
        <v>Documentation, runbook and knowledge transfer</v>
      </c>
      <c r="C27" s="28"/>
      <c r="D27" s="28"/>
      <c r="E27" s="29" t="n">
        <f aca="false">'Task Breakdown'!I24</f>
        <v>0</v>
      </c>
      <c r="F27" s="29" t="n">
        <f aca="false">'Task Breakdown'!J24</f>
        <v>0</v>
      </c>
      <c r="G27" s="29" t="n">
        <f aca="false">'Task Breakdown'!K24</f>
        <v>0</v>
      </c>
      <c r="H27" s="29" t="n">
        <f aca="false">'Task Breakdown'!L24</f>
        <v>5</v>
      </c>
      <c r="I27" s="29" t="n">
        <f aca="false">'Task Breakdown'!M24</f>
        <v>0</v>
      </c>
      <c r="J27" s="29" t="n">
        <f aca="false">'Task Breakdown'!N24</f>
        <v>0</v>
      </c>
      <c r="K27" s="29" t="n">
        <f aca="false">'Task Breakdown'!O24</f>
        <v>0</v>
      </c>
      <c r="L27" s="29" t="n">
        <f aca="false">'Task Breakdown'!P24</f>
        <v>0</v>
      </c>
      <c r="M27" s="29" t="n">
        <f aca="false">'Task Breakdown'!Q24</f>
        <v>0</v>
      </c>
      <c r="N27" s="29" t="n">
        <f aca="false">'Task Breakdown'!R24</f>
        <v>0</v>
      </c>
      <c r="O27" s="29" t="n">
        <f aca="false">'Task Breakdown'!S24</f>
        <v>0</v>
      </c>
      <c r="P27" s="29" t="n">
        <f aca="false">'Task Breakdown'!T24</f>
        <v>0</v>
      </c>
      <c r="Q27" s="30" t="n">
        <f aca="false">SUM(E27:P27)</f>
        <v>5</v>
      </c>
      <c r="R27" s="31" t="n">
        <f aca="false">IF($Q$183&gt;0,Q27/$Q$183,0)</f>
        <v>0.00150920615756112</v>
      </c>
    </row>
    <row r="28" customFormat="false" ht="15" hidden="false" customHeight="false" outlineLevel="0" collapsed="false">
      <c r="A28" s="23" t="s">
        <v>104</v>
      </c>
      <c r="B28" s="23" t="s">
        <v>105</v>
      </c>
      <c r="C28" s="23" t="s">
        <v>42</v>
      </c>
      <c r="D28" s="23" t="s">
        <v>106</v>
      </c>
      <c r="E28" s="24" t="n">
        <f aca="false">SUM(E29:E35)</f>
        <v>0</v>
      </c>
      <c r="F28" s="24" t="n">
        <f aca="false">SUM(F29:F35)</f>
        <v>27</v>
      </c>
      <c r="G28" s="24" t="n">
        <f aca="false">SUM(G29:G35)</f>
        <v>0</v>
      </c>
      <c r="H28" s="24" t="n">
        <f aca="false">SUM(H29:H35)</f>
        <v>86</v>
      </c>
      <c r="I28" s="24" t="n">
        <f aca="false">SUM(I29:I35)</f>
        <v>0</v>
      </c>
      <c r="J28" s="24" t="n">
        <f aca="false">SUM(J29:J35)</f>
        <v>0</v>
      </c>
      <c r="K28" s="24" t="n">
        <f aca="false">SUM(K29:K35)</f>
        <v>0</v>
      </c>
      <c r="L28" s="24" t="n">
        <f aca="false">SUM(L29:L35)</f>
        <v>0</v>
      </c>
      <c r="M28" s="24" t="n">
        <f aca="false">SUM(M29:M35)</f>
        <v>0</v>
      </c>
      <c r="N28" s="24" t="n">
        <f aca="false">SUM(N29:N35)</f>
        <v>20</v>
      </c>
      <c r="O28" s="24" t="n">
        <f aca="false">SUM(O29:O35)</f>
        <v>0</v>
      </c>
      <c r="P28" s="24" t="n">
        <f aca="false">SUM(P29:P35)</f>
        <v>0</v>
      </c>
      <c r="Q28" s="24" t="n">
        <f aca="false">SUM(Q29:Q35)</f>
        <v>133</v>
      </c>
      <c r="R28" s="25" t="n">
        <f aca="false">IF($Q$183&gt;0,Q28/$Q$183,0)</f>
        <v>0.0401448837911259</v>
      </c>
    </row>
    <row r="29" customFormat="false" ht="23.85" hidden="false" customHeight="false" outlineLevel="0" collapsed="false">
      <c r="A29" s="26" t="str">
        <f aca="false">'Task Breakdown'!A25</f>
        <v>PS-1.03.01</v>
      </c>
      <c r="B29" s="27" t="str">
        <f aca="false">'Task Breakdown'!G25</f>
        <v>Gather personas and access needs (plant ops, engineers, analysts, admins)</v>
      </c>
      <c r="C29" s="28"/>
      <c r="D29" s="28"/>
      <c r="E29" s="29" t="n">
        <f aca="false">'Task Breakdown'!I25</f>
        <v>0</v>
      </c>
      <c r="F29" s="29" t="n">
        <f aca="false">'Task Breakdown'!J25</f>
        <v>0</v>
      </c>
      <c r="G29" s="29" t="n">
        <f aca="false">'Task Breakdown'!K25</f>
        <v>0</v>
      </c>
      <c r="H29" s="29" t="n">
        <f aca="false">'Task Breakdown'!L25</f>
        <v>10</v>
      </c>
      <c r="I29" s="29" t="n">
        <f aca="false">'Task Breakdown'!M25</f>
        <v>0</v>
      </c>
      <c r="J29" s="29" t="n">
        <f aca="false">'Task Breakdown'!N25</f>
        <v>0</v>
      </c>
      <c r="K29" s="29" t="n">
        <f aca="false">'Task Breakdown'!O25</f>
        <v>0</v>
      </c>
      <c r="L29" s="29" t="n">
        <f aca="false">'Task Breakdown'!P25</f>
        <v>0</v>
      </c>
      <c r="M29" s="29" t="n">
        <f aca="false">'Task Breakdown'!Q25</f>
        <v>0</v>
      </c>
      <c r="N29" s="29" t="n">
        <f aca="false">'Task Breakdown'!R25</f>
        <v>20</v>
      </c>
      <c r="O29" s="29" t="n">
        <f aca="false">'Task Breakdown'!S25</f>
        <v>0</v>
      </c>
      <c r="P29" s="29" t="n">
        <f aca="false">'Task Breakdown'!T25</f>
        <v>0</v>
      </c>
      <c r="Q29" s="30" t="n">
        <f aca="false">SUM(E29:P29)</f>
        <v>30</v>
      </c>
      <c r="R29" s="31" t="n">
        <f aca="false">IF($Q$183&gt;0,Q29/$Q$183,0)</f>
        <v>0.00905523694536674</v>
      </c>
    </row>
    <row r="30" customFormat="false" ht="23.85" hidden="false" customHeight="false" outlineLevel="0" collapsed="false">
      <c r="A30" s="26" t="str">
        <f aca="false">'Task Breakdown'!A26</f>
        <v>PS-1.03.02</v>
      </c>
      <c r="B30" s="27" t="str">
        <f aca="false">'Task Breakdown'!G26</f>
        <v>Design role model and permission matrix (RBAC + ABAC attributes: plant, region, function)</v>
      </c>
      <c r="C30" s="28"/>
      <c r="D30" s="28"/>
      <c r="E30" s="29" t="n">
        <f aca="false">'Task Breakdown'!I26</f>
        <v>0</v>
      </c>
      <c r="F30" s="29" t="n">
        <f aca="false">'Task Breakdown'!J26</f>
        <v>15</v>
      </c>
      <c r="G30" s="29" t="n">
        <f aca="false">'Task Breakdown'!K26</f>
        <v>0</v>
      </c>
      <c r="H30" s="29" t="n">
        <f aca="false">'Task Breakdown'!L26</f>
        <v>26</v>
      </c>
      <c r="I30" s="29" t="n">
        <f aca="false">'Task Breakdown'!M26</f>
        <v>0</v>
      </c>
      <c r="J30" s="29" t="n">
        <f aca="false">'Task Breakdown'!N26</f>
        <v>0</v>
      </c>
      <c r="K30" s="29" t="n">
        <f aca="false">'Task Breakdown'!O26</f>
        <v>0</v>
      </c>
      <c r="L30" s="29" t="n">
        <f aca="false">'Task Breakdown'!P26</f>
        <v>0</v>
      </c>
      <c r="M30" s="29" t="n">
        <f aca="false">'Task Breakdown'!Q26</f>
        <v>0</v>
      </c>
      <c r="N30" s="29" t="n">
        <f aca="false">'Task Breakdown'!R26</f>
        <v>0</v>
      </c>
      <c r="O30" s="29" t="n">
        <f aca="false">'Task Breakdown'!S26</f>
        <v>0</v>
      </c>
      <c r="P30" s="29" t="n">
        <f aca="false">'Task Breakdown'!T26</f>
        <v>0</v>
      </c>
      <c r="Q30" s="30" t="n">
        <f aca="false">SUM(E30:P30)</f>
        <v>41</v>
      </c>
      <c r="R30" s="31" t="n">
        <f aca="false">IF($Q$183&gt;0,Q30/$Q$183,0)</f>
        <v>0.0123754904920012</v>
      </c>
    </row>
    <row r="31" customFormat="false" ht="15" hidden="false" customHeight="false" outlineLevel="0" collapsed="false">
      <c r="A31" s="26" t="str">
        <f aca="false">'Task Breakdown'!A27</f>
        <v>PS-1.03.03</v>
      </c>
      <c r="B31" s="27" t="str">
        <f aca="false">'Task Breakdown'!G27</f>
        <v>Create Entra security groups and custom Azure roles</v>
      </c>
      <c r="C31" s="28"/>
      <c r="D31" s="28"/>
      <c r="E31" s="29" t="n">
        <f aca="false">'Task Breakdown'!I27</f>
        <v>0</v>
      </c>
      <c r="F31" s="29" t="n">
        <f aca="false">'Task Breakdown'!J27</f>
        <v>0</v>
      </c>
      <c r="G31" s="29" t="n">
        <f aca="false">'Task Breakdown'!K27</f>
        <v>0</v>
      </c>
      <c r="H31" s="29" t="n">
        <f aca="false">'Task Breakdown'!L27</f>
        <v>20</v>
      </c>
      <c r="I31" s="29" t="n">
        <f aca="false">'Task Breakdown'!M27</f>
        <v>0</v>
      </c>
      <c r="J31" s="29" t="n">
        <f aca="false">'Task Breakdown'!N27</f>
        <v>0</v>
      </c>
      <c r="K31" s="29" t="n">
        <f aca="false">'Task Breakdown'!O27</f>
        <v>0</v>
      </c>
      <c r="L31" s="29" t="n">
        <f aca="false">'Task Breakdown'!P27</f>
        <v>0</v>
      </c>
      <c r="M31" s="29" t="n">
        <f aca="false">'Task Breakdown'!Q27</f>
        <v>0</v>
      </c>
      <c r="N31" s="29" t="n">
        <f aca="false">'Task Breakdown'!R27</f>
        <v>0</v>
      </c>
      <c r="O31" s="29" t="n">
        <f aca="false">'Task Breakdown'!S27</f>
        <v>0</v>
      </c>
      <c r="P31" s="29" t="n">
        <f aca="false">'Task Breakdown'!T27</f>
        <v>0</v>
      </c>
      <c r="Q31" s="30" t="n">
        <f aca="false">SUM(E31:P31)</f>
        <v>20</v>
      </c>
      <c r="R31" s="31" t="n">
        <f aca="false">IF($Q$183&gt;0,Q31/$Q$183,0)</f>
        <v>0.00603682463024449</v>
      </c>
    </row>
    <row r="32" customFormat="false" ht="15" hidden="false" customHeight="false" outlineLevel="0" collapsed="false">
      <c r="A32" s="26" t="str">
        <f aca="false">'Task Breakdown'!A28</f>
        <v>PS-1.03.04</v>
      </c>
      <c r="B32" s="27" t="str">
        <f aca="false">'Task Breakdown'!G28</f>
        <v>Map agent and tool permissions to roles</v>
      </c>
      <c r="C32" s="28"/>
      <c r="D32" s="28"/>
      <c r="E32" s="29" t="n">
        <f aca="false">'Task Breakdown'!I28</f>
        <v>0</v>
      </c>
      <c r="F32" s="29" t="n">
        <f aca="false">'Task Breakdown'!J28</f>
        <v>5</v>
      </c>
      <c r="G32" s="29" t="n">
        <f aca="false">'Task Breakdown'!K28</f>
        <v>0</v>
      </c>
      <c r="H32" s="29" t="n">
        <f aca="false">'Task Breakdown'!L28</f>
        <v>15</v>
      </c>
      <c r="I32" s="29" t="n">
        <f aca="false">'Task Breakdown'!M28</f>
        <v>0</v>
      </c>
      <c r="J32" s="29" t="n">
        <f aca="false">'Task Breakdown'!N28</f>
        <v>0</v>
      </c>
      <c r="K32" s="29" t="n">
        <f aca="false">'Task Breakdown'!O28</f>
        <v>0</v>
      </c>
      <c r="L32" s="29" t="n">
        <f aca="false">'Task Breakdown'!P28</f>
        <v>0</v>
      </c>
      <c r="M32" s="29" t="n">
        <f aca="false">'Task Breakdown'!Q28</f>
        <v>0</v>
      </c>
      <c r="N32" s="29" t="n">
        <f aca="false">'Task Breakdown'!R28</f>
        <v>0</v>
      </c>
      <c r="O32" s="29" t="n">
        <f aca="false">'Task Breakdown'!S28</f>
        <v>0</v>
      </c>
      <c r="P32" s="29" t="n">
        <f aca="false">'Task Breakdown'!T28</f>
        <v>0</v>
      </c>
      <c r="Q32" s="30" t="n">
        <f aca="false">SUM(E32:P32)</f>
        <v>20</v>
      </c>
      <c r="R32" s="31" t="n">
        <f aca="false">IF($Q$183&gt;0,Q32/$Q$183,0)</f>
        <v>0.00603682463024449</v>
      </c>
    </row>
    <row r="33" customFormat="false" ht="15" hidden="false" customHeight="false" outlineLevel="0" collapsed="false">
      <c r="A33" s="26" t="str">
        <f aca="false">'Task Breakdown'!A29</f>
        <v>PS-1.03.05</v>
      </c>
      <c r="B33" s="27" t="str">
        <f aca="false">'Task Breakdown'!G29</f>
        <v>Document access request and periodic access review process</v>
      </c>
      <c r="C33" s="28"/>
      <c r="D33" s="28"/>
      <c r="E33" s="29" t="n">
        <f aca="false">'Task Breakdown'!I29</f>
        <v>0</v>
      </c>
      <c r="F33" s="29" t="n">
        <f aca="false">'Task Breakdown'!J29</f>
        <v>0</v>
      </c>
      <c r="G33" s="29" t="n">
        <f aca="false">'Task Breakdown'!K29</f>
        <v>0</v>
      </c>
      <c r="H33" s="29" t="n">
        <f aca="false">'Task Breakdown'!L29</f>
        <v>10</v>
      </c>
      <c r="I33" s="29" t="n">
        <f aca="false">'Task Breakdown'!M29</f>
        <v>0</v>
      </c>
      <c r="J33" s="29" t="n">
        <f aca="false">'Task Breakdown'!N29</f>
        <v>0</v>
      </c>
      <c r="K33" s="29" t="n">
        <f aca="false">'Task Breakdown'!O29</f>
        <v>0</v>
      </c>
      <c r="L33" s="29" t="n">
        <f aca="false">'Task Breakdown'!P29</f>
        <v>0</v>
      </c>
      <c r="M33" s="29" t="n">
        <f aca="false">'Task Breakdown'!Q29</f>
        <v>0</v>
      </c>
      <c r="N33" s="29" t="n">
        <f aca="false">'Task Breakdown'!R29</f>
        <v>0</v>
      </c>
      <c r="O33" s="29" t="n">
        <f aca="false">'Task Breakdown'!S29</f>
        <v>0</v>
      </c>
      <c r="P33" s="29" t="n">
        <f aca="false">'Task Breakdown'!T29</f>
        <v>0</v>
      </c>
      <c r="Q33" s="30" t="n">
        <f aca="false">SUM(E33:P33)</f>
        <v>10</v>
      </c>
      <c r="R33" s="31" t="n">
        <f aca="false">IF($Q$183&gt;0,Q33/$Q$183,0)</f>
        <v>0.00301841231512225</v>
      </c>
    </row>
    <row r="34" customFormat="false" ht="15" hidden="false" customHeight="false" outlineLevel="0" collapsed="false">
      <c r="A34" s="26" t="str">
        <f aca="false">'Task Breakdown'!A30</f>
        <v>PS-1.03.06</v>
      </c>
      <c r="B34" s="27" t="str">
        <f aca="false">'Task Breakdown'!G30</f>
        <v>Detailed design and design review</v>
      </c>
      <c r="C34" s="28"/>
      <c r="D34" s="28"/>
      <c r="E34" s="29" t="n">
        <f aca="false">'Task Breakdown'!I30</f>
        <v>0</v>
      </c>
      <c r="F34" s="29" t="n">
        <f aca="false">'Task Breakdown'!J30</f>
        <v>7</v>
      </c>
      <c r="G34" s="29" t="n">
        <f aca="false">'Task Breakdown'!K30</f>
        <v>0</v>
      </c>
      <c r="H34" s="29" t="n">
        <f aca="false">'Task Breakdown'!L30</f>
        <v>0</v>
      </c>
      <c r="I34" s="29" t="n">
        <f aca="false">'Task Breakdown'!M30</f>
        <v>0</v>
      </c>
      <c r="J34" s="29" t="n">
        <f aca="false">'Task Breakdown'!N30</f>
        <v>0</v>
      </c>
      <c r="K34" s="29" t="n">
        <f aca="false">'Task Breakdown'!O30</f>
        <v>0</v>
      </c>
      <c r="L34" s="29" t="n">
        <f aca="false">'Task Breakdown'!P30</f>
        <v>0</v>
      </c>
      <c r="M34" s="29" t="n">
        <f aca="false">'Task Breakdown'!Q30</f>
        <v>0</v>
      </c>
      <c r="N34" s="29" t="n">
        <f aca="false">'Task Breakdown'!R30</f>
        <v>0</v>
      </c>
      <c r="O34" s="29" t="n">
        <f aca="false">'Task Breakdown'!S30</f>
        <v>0</v>
      </c>
      <c r="P34" s="29" t="n">
        <f aca="false">'Task Breakdown'!T30</f>
        <v>0</v>
      </c>
      <c r="Q34" s="30" t="n">
        <f aca="false">SUM(E34:P34)</f>
        <v>7</v>
      </c>
      <c r="R34" s="31" t="n">
        <f aca="false">IF($Q$183&gt;0,Q34/$Q$183,0)</f>
        <v>0.00211288862058557</v>
      </c>
    </row>
    <row r="35" customFormat="false" ht="15" hidden="false" customHeight="false" outlineLevel="0" collapsed="false">
      <c r="A35" s="26" t="str">
        <f aca="false">'Task Breakdown'!A31</f>
        <v>PS-1.03.07</v>
      </c>
      <c r="B35" s="27" t="str">
        <f aca="false">'Task Breakdown'!G31</f>
        <v>Documentation, runbook and knowledge transfer</v>
      </c>
      <c r="C35" s="28"/>
      <c r="D35" s="28"/>
      <c r="E35" s="29" t="n">
        <f aca="false">'Task Breakdown'!I31</f>
        <v>0</v>
      </c>
      <c r="F35" s="29" t="n">
        <f aca="false">'Task Breakdown'!J31</f>
        <v>0</v>
      </c>
      <c r="G35" s="29" t="n">
        <f aca="false">'Task Breakdown'!K31</f>
        <v>0</v>
      </c>
      <c r="H35" s="29" t="n">
        <f aca="false">'Task Breakdown'!L31</f>
        <v>5</v>
      </c>
      <c r="I35" s="29" t="n">
        <f aca="false">'Task Breakdown'!M31</f>
        <v>0</v>
      </c>
      <c r="J35" s="29" t="n">
        <f aca="false">'Task Breakdown'!N31</f>
        <v>0</v>
      </c>
      <c r="K35" s="29" t="n">
        <f aca="false">'Task Breakdown'!O31</f>
        <v>0</v>
      </c>
      <c r="L35" s="29" t="n">
        <f aca="false">'Task Breakdown'!P31</f>
        <v>0</v>
      </c>
      <c r="M35" s="29" t="n">
        <f aca="false">'Task Breakdown'!Q31</f>
        <v>0</v>
      </c>
      <c r="N35" s="29" t="n">
        <f aca="false">'Task Breakdown'!R31</f>
        <v>0</v>
      </c>
      <c r="O35" s="29" t="n">
        <f aca="false">'Task Breakdown'!S31</f>
        <v>0</v>
      </c>
      <c r="P35" s="29" t="n">
        <f aca="false">'Task Breakdown'!T31</f>
        <v>0</v>
      </c>
      <c r="Q35" s="30" t="n">
        <f aca="false">SUM(E35:P35)</f>
        <v>5</v>
      </c>
      <c r="R35" s="31" t="n">
        <f aca="false">IF($Q$183&gt;0,Q35/$Q$183,0)</f>
        <v>0.00150920615756112</v>
      </c>
    </row>
    <row r="36" customFormat="false" ht="23.85" hidden="false" customHeight="false" outlineLevel="0" collapsed="false">
      <c r="A36" s="23" t="s">
        <v>107</v>
      </c>
      <c r="B36" s="23" t="s">
        <v>108</v>
      </c>
      <c r="C36" s="23" t="s">
        <v>42</v>
      </c>
      <c r="D36" s="23" t="s">
        <v>109</v>
      </c>
      <c r="E36" s="24" t="n">
        <f aca="false">SUM(E37:E43)</f>
        <v>0</v>
      </c>
      <c r="F36" s="24" t="n">
        <f aca="false">SUM(F37:F43)</f>
        <v>5</v>
      </c>
      <c r="G36" s="24" t="n">
        <f aca="false">SUM(G37:G43)</f>
        <v>32</v>
      </c>
      <c r="H36" s="24" t="n">
        <f aca="false">SUM(H37:H43)</f>
        <v>51</v>
      </c>
      <c r="I36" s="24" t="n">
        <f aca="false">SUM(I37:I43)</f>
        <v>0</v>
      </c>
      <c r="J36" s="24" t="n">
        <f aca="false">SUM(J37:J43)</f>
        <v>0</v>
      </c>
      <c r="K36" s="24" t="n">
        <f aca="false">SUM(K37:K43)</f>
        <v>0</v>
      </c>
      <c r="L36" s="24" t="n">
        <f aca="false">SUM(L37:L43)</f>
        <v>0</v>
      </c>
      <c r="M36" s="24" t="n">
        <f aca="false">SUM(M37:M43)</f>
        <v>0</v>
      </c>
      <c r="N36" s="24" t="n">
        <f aca="false">SUM(N37:N43)</f>
        <v>0</v>
      </c>
      <c r="O36" s="24" t="n">
        <f aca="false">SUM(O37:O43)</f>
        <v>0</v>
      </c>
      <c r="P36" s="24" t="n">
        <f aca="false">SUM(P37:P43)</f>
        <v>0</v>
      </c>
      <c r="Q36" s="24" t="n">
        <f aca="false">SUM(Q37:Q43)</f>
        <v>88</v>
      </c>
      <c r="R36" s="25" t="n">
        <f aca="false">IF($Q$183&gt;0,Q36/$Q$183,0)</f>
        <v>0.0265620283730758</v>
      </c>
    </row>
    <row r="37" customFormat="false" ht="15" hidden="false" customHeight="false" outlineLevel="0" collapsed="false">
      <c r="A37" s="26" t="str">
        <f aca="false">'Task Breakdown'!A32</f>
        <v>PS-1.04.01</v>
      </c>
      <c r="B37" s="27" t="str">
        <f aca="false">'Task Breakdown'!G32</f>
        <v>Deploy Key Vaults per environment with private endpoints</v>
      </c>
      <c r="C37" s="28"/>
      <c r="D37" s="28"/>
      <c r="E37" s="29" t="n">
        <f aca="false">'Task Breakdown'!I32</f>
        <v>0</v>
      </c>
      <c r="F37" s="29" t="n">
        <f aca="false">'Task Breakdown'!J32</f>
        <v>0</v>
      </c>
      <c r="G37" s="29" t="n">
        <f aca="false">'Task Breakdown'!K32</f>
        <v>12</v>
      </c>
      <c r="H37" s="29" t="n">
        <f aca="false">'Task Breakdown'!L32</f>
        <v>4</v>
      </c>
      <c r="I37" s="29" t="n">
        <f aca="false">'Task Breakdown'!M32</f>
        <v>0</v>
      </c>
      <c r="J37" s="29" t="n">
        <f aca="false">'Task Breakdown'!N32</f>
        <v>0</v>
      </c>
      <c r="K37" s="29" t="n">
        <f aca="false">'Task Breakdown'!O32</f>
        <v>0</v>
      </c>
      <c r="L37" s="29" t="n">
        <f aca="false">'Task Breakdown'!P32</f>
        <v>0</v>
      </c>
      <c r="M37" s="29" t="n">
        <f aca="false">'Task Breakdown'!Q32</f>
        <v>0</v>
      </c>
      <c r="N37" s="29" t="n">
        <f aca="false">'Task Breakdown'!R32</f>
        <v>0</v>
      </c>
      <c r="O37" s="29" t="n">
        <f aca="false">'Task Breakdown'!S32</f>
        <v>0</v>
      </c>
      <c r="P37" s="29" t="n">
        <f aca="false">'Task Breakdown'!T32</f>
        <v>0</v>
      </c>
      <c r="Q37" s="30" t="n">
        <f aca="false">SUM(E37:P37)</f>
        <v>16</v>
      </c>
      <c r="R37" s="31" t="n">
        <f aca="false">IF($Q$183&gt;0,Q37/$Q$183,0)</f>
        <v>0.00482945970419559</v>
      </c>
    </row>
    <row r="38" customFormat="false" ht="15" hidden="false" customHeight="false" outlineLevel="0" collapsed="false">
      <c r="A38" s="26" t="str">
        <f aca="false">'Task Breakdown'!A33</f>
        <v>PS-1.04.02</v>
      </c>
      <c r="B38" s="27" t="str">
        <f aca="false">'Task Breakdown'!G33</f>
        <v>Define secret, key and certificate naming and rotation policy</v>
      </c>
      <c r="C38" s="28"/>
      <c r="D38" s="28"/>
      <c r="E38" s="29" t="n">
        <f aca="false">'Task Breakdown'!I33</f>
        <v>0</v>
      </c>
      <c r="F38" s="29" t="n">
        <f aca="false">'Task Breakdown'!J33</f>
        <v>0</v>
      </c>
      <c r="G38" s="29" t="n">
        <f aca="false">'Task Breakdown'!K33</f>
        <v>0</v>
      </c>
      <c r="H38" s="29" t="n">
        <f aca="false">'Task Breakdown'!L33</f>
        <v>12</v>
      </c>
      <c r="I38" s="29" t="n">
        <f aca="false">'Task Breakdown'!M33</f>
        <v>0</v>
      </c>
      <c r="J38" s="29" t="n">
        <f aca="false">'Task Breakdown'!N33</f>
        <v>0</v>
      </c>
      <c r="K38" s="29" t="n">
        <f aca="false">'Task Breakdown'!O33</f>
        <v>0</v>
      </c>
      <c r="L38" s="29" t="n">
        <f aca="false">'Task Breakdown'!P33</f>
        <v>0</v>
      </c>
      <c r="M38" s="29" t="n">
        <f aca="false">'Task Breakdown'!Q33</f>
        <v>0</v>
      </c>
      <c r="N38" s="29" t="n">
        <f aca="false">'Task Breakdown'!R33</f>
        <v>0</v>
      </c>
      <c r="O38" s="29" t="n">
        <f aca="false">'Task Breakdown'!S33</f>
        <v>0</v>
      </c>
      <c r="P38" s="29" t="n">
        <f aca="false">'Task Breakdown'!T33</f>
        <v>0</v>
      </c>
      <c r="Q38" s="30" t="n">
        <f aca="false">SUM(E38:P38)</f>
        <v>12</v>
      </c>
      <c r="R38" s="31" t="n">
        <f aca="false">IF($Q$183&gt;0,Q38/$Q$183,0)</f>
        <v>0.0036220947781467</v>
      </c>
    </row>
    <row r="39" customFormat="false" ht="23.85" hidden="false" customHeight="false" outlineLevel="0" collapsed="false">
      <c r="A39" s="26" t="str">
        <f aca="false">'Task Breakdown'!A34</f>
        <v>PS-1.04.03</v>
      </c>
      <c r="B39" s="27" t="str">
        <f aca="false">'Task Breakdown'!G34</f>
        <v>Enable TDE with customer-managed keys on SQL, PostgreSQL and Storage</v>
      </c>
      <c r="C39" s="28"/>
      <c r="D39" s="28"/>
      <c r="E39" s="29" t="n">
        <f aca="false">'Task Breakdown'!I34</f>
        <v>0</v>
      </c>
      <c r="F39" s="29" t="n">
        <f aca="false">'Task Breakdown'!J34</f>
        <v>0</v>
      </c>
      <c r="G39" s="29" t="n">
        <f aca="false">'Task Breakdown'!K34</f>
        <v>8</v>
      </c>
      <c r="H39" s="29" t="n">
        <f aca="false">'Task Breakdown'!L34</f>
        <v>16</v>
      </c>
      <c r="I39" s="29" t="n">
        <f aca="false">'Task Breakdown'!M34</f>
        <v>0</v>
      </c>
      <c r="J39" s="29" t="n">
        <f aca="false">'Task Breakdown'!N34</f>
        <v>0</v>
      </c>
      <c r="K39" s="29" t="n">
        <f aca="false">'Task Breakdown'!O34</f>
        <v>0</v>
      </c>
      <c r="L39" s="29" t="n">
        <f aca="false">'Task Breakdown'!P34</f>
        <v>0</v>
      </c>
      <c r="M39" s="29" t="n">
        <f aca="false">'Task Breakdown'!Q34</f>
        <v>0</v>
      </c>
      <c r="N39" s="29" t="n">
        <f aca="false">'Task Breakdown'!R34</f>
        <v>0</v>
      </c>
      <c r="O39" s="29" t="n">
        <f aca="false">'Task Breakdown'!S34</f>
        <v>0</v>
      </c>
      <c r="P39" s="29" t="n">
        <f aca="false">'Task Breakdown'!T34</f>
        <v>0</v>
      </c>
      <c r="Q39" s="30" t="n">
        <f aca="false">SUM(E39:P39)</f>
        <v>24</v>
      </c>
      <c r="R39" s="31" t="n">
        <f aca="false">IF($Q$183&gt;0,Q39/$Q$183,0)</f>
        <v>0.00724418955629339</v>
      </c>
    </row>
    <row r="40" customFormat="false" ht="15" hidden="false" customHeight="false" outlineLevel="0" collapsed="false">
      <c r="A40" s="26" t="str">
        <f aca="false">'Task Breakdown'!A35</f>
        <v>PS-1.04.04</v>
      </c>
      <c r="B40" s="27" t="str">
        <f aca="false">'Task Breakdown'!G35</f>
        <v>Enforce TLS 1.2+ and manage certificates for custom domains</v>
      </c>
      <c r="C40" s="28"/>
      <c r="D40" s="28"/>
      <c r="E40" s="29" t="n">
        <f aca="false">'Task Breakdown'!I35</f>
        <v>0</v>
      </c>
      <c r="F40" s="29" t="n">
        <f aca="false">'Task Breakdown'!J35</f>
        <v>0</v>
      </c>
      <c r="G40" s="29" t="n">
        <f aca="false">'Task Breakdown'!K35</f>
        <v>8</v>
      </c>
      <c r="H40" s="29" t="n">
        <f aca="false">'Task Breakdown'!L35</f>
        <v>8</v>
      </c>
      <c r="I40" s="29" t="n">
        <f aca="false">'Task Breakdown'!M35</f>
        <v>0</v>
      </c>
      <c r="J40" s="29" t="n">
        <f aca="false">'Task Breakdown'!N35</f>
        <v>0</v>
      </c>
      <c r="K40" s="29" t="n">
        <f aca="false">'Task Breakdown'!O35</f>
        <v>0</v>
      </c>
      <c r="L40" s="29" t="n">
        <f aca="false">'Task Breakdown'!P35</f>
        <v>0</v>
      </c>
      <c r="M40" s="29" t="n">
        <f aca="false">'Task Breakdown'!Q35</f>
        <v>0</v>
      </c>
      <c r="N40" s="29" t="n">
        <f aca="false">'Task Breakdown'!R35</f>
        <v>0</v>
      </c>
      <c r="O40" s="29" t="n">
        <f aca="false">'Task Breakdown'!S35</f>
        <v>0</v>
      </c>
      <c r="P40" s="29" t="n">
        <f aca="false">'Task Breakdown'!T35</f>
        <v>0</v>
      </c>
      <c r="Q40" s="30" t="n">
        <f aca="false">SUM(E40:P40)</f>
        <v>16</v>
      </c>
      <c r="R40" s="31" t="n">
        <f aca="false">IF($Q$183&gt;0,Q40/$Q$183,0)</f>
        <v>0.00482945970419559</v>
      </c>
    </row>
    <row r="41" customFormat="false" ht="15" hidden="false" customHeight="false" outlineLevel="0" collapsed="false">
      <c r="A41" s="26" t="str">
        <f aca="false">'Task Breakdown'!A36</f>
        <v>PS-1.04.05</v>
      </c>
      <c r="B41" s="27" t="str">
        <f aca="false">'Task Breakdown'!G36</f>
        <v>Configure vault RBAC and audit logging</v>
      </c>
      <c r="C41" s="28"/>
      <c r="D41" s="28"/>
      <c r="E41" s="29" t="n">
        <f aca="false">'Task Breakdown'!I36</f>
        <v>0</v>
      </c>
      <c r="F41" s="29" t="n">
        <f aca="false">'Task Breakdown'!J36</f>
        <v>0</v>
      </c>
      <c r="G41" s="29" t="n">
        <f aca="false">'Task Breakdown'!K36</f>
        <v>4</v>
      </c>
      <c r="H41" s="29" t="n">
        <f aca="false">'Task Breakdown'!L36</f>
        <v>8</v>
      </c>
      <c r="I41" s="29" t="n">
        <f aca="false">'Task Breakdown'!M36</f>
        <v>0</v>
      </c>
      <c r="J41" s="29" t="n">
        <f aca="false">'Task Breakdown'!N36</f>
        <v>0</v>
      </c>
      <c r="K41" s="29" t="n">
        <f aca="false">'Task Breakdown'!O36</f>
        <v>0</v>
      </c>
      <c r="L41" s="29" t="n">
        <f aca="false">'Task Breakdown'!P36</f>
        <v>0</v>
      </c>
      <c r="M41" s="29" t="n">
        <f aca="false">'Task Breakdown'!Q36</f>
        <v>0</v>
      </c>
      <c r="N41" s="29" t="n">
        <f aca="false">'Task Breakdown'!R36</f>
        <v>0</v>
      </c>
      <c r="O41" s="29" t="n">
        <f aca="false">'Task Breakdown'!S36</f>
        <v>0</v>
      </c>
      <c r="P41" s="29" t="n">
        <f aca="false">'Task Breakdown'!T36</f>
        <v>0</v>
      </c>
      <c r="Q41" s="30" t="n">
        <f aca="false">SUM(E41:P41)</f>
        <v>12</v>
      </c>
      <c r="R41" s="31" t="n">
        <f aca="false">IF($Q$183&gt;0,Q41/$Q$183,0)</f>
        <v>0.0036220947781467</v>
      </c>
    </row>
    <row r="42" customFormat="false" ht="15" hidden="false" customHeight="false" outlineLevel="0" collapsed="false">
      <c r="A42" s="26" t="str">
        <f aca="false">'Task Breakdown'!A37</f>
        <v>PS-1.04.06</v>
      </c>
      <c r="B42" s="27" t="str">
        <f aca="false">'Task Breakdown'!G37</f>
        <v>Detailed design and design review</v>
      </c>
      <c r="C42" s="28"/>
      <c r="D42" s="28"/>
      <c r="E42" s="29" t="n">
        <f aca="false">'Task Breakdown'!I37</f>
        <v>0</v>
      </c>
      <c r="F42" s="29" t="n">
        <f aca="false">'Task Breakdown'!J37</f>
        <v>5</v>
      </c>
      <c r="G42" s="29" t="n">
        <f aca="false">'Task Breakdown'!K37</f>
        <v>0</v>
      </c>
      <c r="H42" s="29" t="n">
        <f aca="false">'Task Breakdown'!L37</f>
        <v>0</v>
      </c>
      <c r="I42" s="29" t="n">
        <f aca="false">'Task Breakdown'!M37</f>
        <v>0</v>
      </c>
      <c r="J42" s="29" t="n">
        <f aca="false">'Task Breakdown'!N37</f>
        <v>0</v>
      </c>
      <c r="K42" s="29" t="n">
        <f aca="false">'Task Breakdown'!O37</f>
        <v>0</v>
      </c>
      <c r="L42" s="29" t="n">
        <f aca="false">'Task Breakdown'!P37</f>
        <v>0</v>
      </c>
      <c r="M42" s="29" t="n">
        <f aca="false">'Task Breakdown'!Q37</f>
        <v>0</v>
      </c>
      <c r="N42" s="29" t="n">
        <f aca="false">'Task Breakdown'!R37</f>
        <v>0</v>
      </c>
      <c r="O42" s="29" t="n">
        <f aca="false">'Task Breakdown'!S37</f>
        <v>0</v>
      </c>
      <c r="P42" s="29" t="n">
        <f aca="false">'Task Breakdown'!T37</f>
        <v>0</v>
      </c>
      <c r="Q42" s="30" t="n">
        <f aca="false">SUM(E42:P42)</f>
        <v>5</v>
      </c>
      <c r="R42" s="31" t="n">
        <f aca="false">IF($Q$183&gt;0,Q42/$Q$183,0)</f>
        <v>0.00150920615756112</v>
      </c>
    </row>
    <row r="43" customFormat="false" ht="15" hidden="false" customHeight="false" outlineLevel="0" collapsed="false">
      <c r="A43" s="26" t="str">
        <f aca="false">'Task Breakdown'!A38</f>
        <v>PS-1.04.07</v>
      </c>
      <c r="B43" s="27" t="str">
        <f aca="false">'Task Breakdown'!G38</f>
        <v>Documentation, runbook and knowledge transfer</v>
      </c>
      <c r="C43" s="28"/>
      <c r="D43" s="28"/>
      <c r="E43" s="29" t="n">
        <f aca="false">'Task Breakdown'!I38</f>
        <v>0</v>
      </c>
      <c r="F43" s="29" t="n">
        <f aca="false">'Task Breakdown'!J38</f>
        <v>0</v>
      </c>
      <c r="G43" s="29" t="n">
        <f aca="false">'Task Breakdown'!K38</f>
        <v>0</v>
      </c>
      <c r="H43" s="29" t="n">
        <f aca="false">'Task Breakdown'!L38</f>
        <v>3</v>
      </c>
      <c r="I43" s="29" t="n">
        <f aca="false">'Task Breakdown'!M38</f>
        <v>0</v>
      </c>
      <c r="J43" s="29" t="n">
        <f aca="false">'Task Breakdown'!N38</f>
        <v>0</v>
      </c>
      <c r="K43" s="29" t="n">
        <f aca="false">'Task Breakdown'!O38</f>
        <v>0</v>
      </c>
      <c r="L43" s="29" t="n">
        <f aca="false">'Task Breakdown'!P38</f>
        <v>0</v>
      </c>
      <c r="M43" s="29" t="n">
        <f aca="false">'Task Breakdown'!Q38</f>
        <v>0</v>
      </c>
      <c r="N43" s="29" t="n">
        <f aca="false">'Task Breakdown'!R38</f>
        <v>0</v>
      </c>
      <c r="O43" s="29" t="n">
        <f aca="false">'Task Breakdown'!S38</f>
        <v>0</v>
      </c>
      <c r="P43" s="29" t="n">
        <f aca="false">'Task Breakdown'!T38</f>
        <v>0</v>
      </c>
      <c r="Q43" s="30" t="n">
        <f aca="false">SUM(E43:P43)</f>
        <v>3</v>
      </c>
      <c r="R43" s="31" t="n">
        <f aca="false">IF($Q$183&gt;0,Q43/$Q$183,0)</f>
        <v>0.000905523694536674</v>
      </c>
    </row>
    <row r="44" customFormat="false" ht="15" hidden="false" customHeight="false" outlineLevel="0" collapsed="false">
      <c r="A44" s="23" t="s">
        <v>110</v>
      </c>
      <c r="B44" s="23" t="s">
        <v>111</v>
      </c>
      <c r="C44" s="23" t="s">
        <v>42</v>
      </c>
      <c r="D44" s="23" t="s">
        <v>112</v>
      </c>
      <c r="E44" s="24" t="n">
        <f aca="false">SUM(E45:E54)</f>
        <v>0</v>
      </c>
      <c r="F44" s="24" t="n">
        <f aca="false">SUM(F45:F54)</f>
        <v>40</v>
      </c>
      <c r="G44" s="24" t="n">
        <f aca="false">SUM(G45:G54)</f>
        <v>131</v>
      </c>
      <c r="H44" s="24" t="n">
        <f aca="false">SUM(H45:H54)</f>
        <v>20</v>
      </c>
      <c r="I44" s="24" t="n">
        <f aca="false">SUM(I45:I54)</f>
        <v>0</v>
      </c>
      <c r="J44" s="24" t="n">
        <f aca="false">SUM(J45:J54)</f>
        <v>0</v>
      </c>
      <c r="K44" s="24" t="n">
        <f aca="false">SUM(K45:K54)</f>
        <v>0</v>
      </c>
      <c r="L44" s="24" t="n">
        <f aca="false">SUM(L45:L54)</f>
        <v>0</v>
      </c>
      <c r="M44" s="24" t="n">
        <f aca="false">SUM(M45:M54)</f>
        <v>0</v>
      </c>
      <c r="N44" s="24" t="n">
        <f aca="false">SUM(N45:N54)</f>
        <v>0</v>
      </c>
      <c r="O44" s="24" t="n">
        <f aca="false">SUM(O45:O54)</f>
        <v>20</v>
      </c>
      <c r="P44" s="24" t="n">
        <f aca="false">SUM(P45:P54)</f>
        <v>0</v>
      </c>
      <c r="Q44" s="24" t="n">
        <f aca="false">SUM(Q45:Q54)</f>
        <v>211</v>
      </c>
      <c r="R44" s="25" t="n">
        <f aca="false">IF($Q$183&gt;0,Q44/$Q$183,0)</f>
        <v>0.0636884998490794</v>
      </c>
    </row>
    <row r="45" customFormat="false" ht="15" hidden="false" customHeight="false" outlineLevel="0" collapsed="false">
      <c r="A45" s="26" t="str">
        <f aca="false">'Task Breakdown'!A39</f>
        <v>PS-1.05.01</v>
      </c>
      <c r="B45" s="27" t="str">
        <f aca="false">'Task Breakdown'!G39</f>
        <v>Design gateway topology (Front Door to APIM to backends)</v>
      </c>
      <c r="C45" s="28"/>
      <c r="D45" s="28"/>
      <c r="E45" s="29" t="n">
        <f aca="false">'Task Breakdown'!I39</f>
        <v>0</v>
      </c>
      <c r="F45" s="29" t="n">
        <f aca="false">'Task Breakdown'!J39</f>
        <v>20</v>
      </c>
      <c r="G45" s="29" t="n">
        <f aca="false">'Task Breakdown'!K39</f>
        <v>0</v>
      </c>
      <c r="H45" s="29" t="n">
        <f aca="false">'Task Breakdown'!L39</f>
        <v>0</v>
      </c>
      <c r="I45" s="29" t="n">
        <f aca="false">'Task Breakdown'!M39</f>
        <v>0</v>
      </c>
      <c r="J45" s="29" t="n">
        <f aca="false">'Task Breakdown'!N39</f>
        <v>0</v>
      </c>
      <c r="K45" s="29" t="n">
        <f aca="false">'Task Breakdown'!O39</f>
        <v>0</v>
      </c>
      <c r="L45" s="29" t="n">
        <f aca="false">'Task Breakdown'!P39</f>
        <v>0</v>
      </c>
      <c r="M45" s="29" t="n">
        <f aca="false">'Task Breakdown'!Q39</f>
        <v>0</v>
      </c>
      <c r="N45" s="29" t="n">
        <f aca="false">'Task Breakdown'!R39</f>
        <v>0</v>
      </c>
      <c r="O45" s="29" t="n">
        <f aca="false">'Task Breakdown'!S39</f>
        <v>0</v>
      </c>
      <c r="P45" s="29" t="n">
        <f aca="false">'Task Breakdown'!T39</f>
        <v>0</v>
      </c>
      <c r="Q45" s="30" t="n">
        <f aca="false">SUM(E45:P45)</f>
        <v>20</v>
      </c>
      <c r="R45" s="31" t="n">
        <f aca="false">IF($Q$183&gt;0,Q45/$Q$183,0)</f>
        <v>0.00603682463024449</v>
      </c>
    </row>
    <row r="46" customFormat="false" ht="15" hidden="false" customHeight="false" outlineLevel="0" collapsed="false">
      <c r="A46" s="26" t="str">
        <f aca="false">'Task Breakdown'!A40</f>
        <v>PS-1.05.02</v>
      </c>
      <c r="B46" s="27" t="str">
        <f aca="false">'Task Breakdown'!G40</f>
        <v>Deploy Front Door with WAF policy</v>
      </c>
      <c r="C46" s="28"/>
      <c r="D46" s="28"/>
      <c r="E46" s="29" t="n">
        <f aca="false">'Task Breakdown'!I40</f>
        <v>0</v>
      </c>
      <c r="F46" s="29" t="n">
        <f aca="false">'Task Breakdown'!J40</f>
        <v>0</v>
      </c>
      <c r="G46" s="29" t="n">
        <f aca="false">'Task Breakdown'!K40</f>
        <v>20</v>
      </c>
      <c r="H46" s="29" t="n">
        <f aca="false">'Task Breakdown'!L40</f>
        <v>10</v>
      </c>
      <c r="I46" s="29" t="n">
        <f aca="false">'Task Breakdown'!M40</f>
        <v>0</v>
      </c>
      <c r="J46" s="29" t="n">
        <f aca="false">'Task Breakdown'!N40</f>
        <v>0</v>
      </c>
      <c r="K46" s="29" t="n">
        <f aca="false">'Task Breakdown'!O40</f>
        <v>0</v>
      </c>
      <c r="L46" s="29" t="n">
        <f aca="false">'Task Breakdown'!P40</f>
        <v>0</v>
      </c>
      <c r="M46" s="29" t="n">
        <f aca="false">'Task Breakdown'!Q40</f>
        <v>0</v>
      </c>
      <c r="N46" s="29" t="n">
        <f aca="false">'Task Breakdown'!R40</f>
        <v>0</v>
      </c>
      <c r="O46" s="29" t="n">
        <f aca="false">'Task Breakdown'!S40</f>
        <v>0</v>
      </c>
      <c r="P46" s="29" t="n">
        <f aca="false">'Task Breakdown'!T40</f>
        <v>0</v>
      </c>
      <c r="Q46" s="30" t="n">
        <f aca="false">SUM(E46:P46)</f>
        <v>30</v>
      </c>
      <c r="R46" s="31" t="n">
        <f aca="false">IF($Q$183&gt;0,Q46/$Q$183,0)</f>
        <v>0.00905523694536674</v>
      </c>
    </row>
    <row r="47" customFormat="false" ht="15" hidden="false" customHeight="false" outlineLevel="0" collapsed="false">
      <c r="A47" s="26" t="str">
        <f aca="false">'Task Breakdown'!A41</f>
        <v>PS-1.05.03</v>
      </c>
      <c r="B47" s="27" t="str">
        <f aca="false">'Task Breakdown'!G41</f>
        <v>Deploy APIM in internal VNet mode with custom domains</v>
      </c>
      <c r="C47" s="28"/>
      <c r="D47" s="28"/>
      <c r="E47" s="29" t="n">
        <f aca="false">'Task Breakdown'!I41</f>
        <v>0</v>
      </c>
      <c r="F47" s="29" t="n">
        <f aca="false">'Task Breakdown'!J41</f>
        <v>0</v>
      </c>
      <c r="G47" s="29" t="n">
        <f aca="false">'Task Breakdown'!K41</f>
        <v>31</v>
      </c>
      <c r="H47" s="29" t="n">
        <f aca="false">'Task Breakdown'!L41</f>
        <v>0</v>
      </c>
      <c r="I47" s="29" t="n">
        <f aca="false">'Task Breakdown'!M41</f>
        <v>0</v>
      </c>
      <c r="J47" s="29" t="n">
        <f aca="false">'Task Breakdown'!N41</f>
        <v>0</v>
      </c>
      <c r="K47" s="29" t="n">
        <f aca="false">'Task Breakdown'!O41</f>
        <v>0</v>
      </c>
      <c r="L47" s="29" t="n">
        <f aca="false">'Task Breakdown'!P41</f>
        <v>0</v>
      </c>
      <c r="M47" s="29" t="n">
        <f aca="false">'Task Breakdown'!Q41</f>
        <v>0</v>
      </c>
      <c r="N47" s="29" t="n">
        <f aca="false">'Task Breakdown'!R41</f>
        <v>0</v>
      </c>
      <c r="O47" s="29" t="n">
        <f aca="false">'Task Breakdown'!S41</f>
        <v>0</v>
      </c>
      <c r="P47" s="29" t="n">
        <f aca="false">'Task Breakdown'!T41</f>
        <v>0</v>
      </c>
      <c r="Q47" s="30" t="n">
        <f aca="false">SUM(E47:P47)</f>
        <v>31</v>
      </c>
      <c r="R47" s="31" t="n">
        <f aca="false">IF($Q$183&gt;0,Q47/$Q$183,0)</f>
        <v>0.00935707817687896</v>
      </c>
    </row>
    <row r="48" customFormat="false" ht="15" hidden="false" customHeight="false" outlineLevel="0" collapsed="false">
      <c r="A48" s="26" t="str">
        <f aca="false">'Task Breakdown'!A42</f>
        <v>PS-1.05.04</v>
      </c>
      <c r="B48" s="27" t="str">
        <f aca="false">'Task Breakdown'!G42</f>
        <v>Configure products, subscriptions and JWT validation policy</v>
      </c>
      <c r="C48" s="28"/>
      <c r="D48" s="28"/>
      <c r="E48" s="29" t="n">
        <f aca="false">'Task Breakdown'!I42</f>
        <v>0</v>
      </c>
      <c r="F48" s="29" t="n">
        <f aca="false">'Task Breakdown'!J42</f>
        <v>0</v>
      </c>
      <c r="G48" s="29" t="n">
        <f aca="false">'Task Breakdown'!K42</f>
        <v>26</v>
      </c>
      <c r="H48" s="29" t="n">
        <f aca="false">'Task Breakdown'!L42</f>
        <v>10</v>
      </c>
      <c r="I48" s="29" t="n">
        <f aca="false">'Task Breakdown'!M42</f>
        <v>0</v>
      </c>
      <c r="J48" s="29" t="n">
        <f aca="false">'Task Breakdown'!N42</f>
        <v>0</v>
      </c>
      <c r="K48" s="29" t="n">
        <f aca="false">'Task Breakdown'!O42</f>
        <v>0</v>
      </c>
      <c r="L48" s="29" t="n">
        <f aca="false">'Task Breakdown'!P42</f>
        <v>0</v>
      </c>
      <c r="M48" s="29" t="n">
        <f aca="false">'Task Breakdown'!Q42</f>
        <v>0</v>
      </c>
      <c r="N48" s="29" t="n">
        <f aca="false">'Task Breakdown'!R42</f>
        <v>0</v>
      </c>
      <c r="O48" s="29" t="n">
        <f aca="false">'Task Breakdown'!S42</f>
        <v>0</v>
      </c>
      <c r="P48" s="29" t="n">
        <f aca="false">'Task Breakdown'!T42</f>
        <v>0</v>
      </c>
      <c r="Q48" s="30" t="n">
        <f aca="false">SUM(E48:P48)</f>
        <v>36</v>
      </c>
      <c r="R48" s="31" t="n">
        <f aca="false">IF($Q$183&gt;0,Q48/$Q$183,0)</f>
        <v>0.0108662843344401</v>
      </c>
    </row>
    <row r="49" customFormat="false" ht="15" hidden="false" customHeight="false" outlineLevel="0" collapsed="false">
      <c r="A49" s="26" t="str">
        <f aca="false">'Task Breakdown'!A43</f>
        <v>PS-1.05.05</v>
      </c>
      <c r="B49" s="27" t="str">
        <f aca="false">'Task Breakdown'!G43</f>
        <v>Configure rate limiting, quotas, routing and request validation policies</v>
      </c>
      <c r="C49" s="28"/>
      <c r="D49" s="28"/>
      <c r="E49" s="29" t="n">
        <f aca="false">'Task Breakdown'!I43</f>
        <v>0</v>
      </c>
      <c r="F49" s="29" t="n">
        <f aca="false">'Task Breakdown'!J43</f>
        <v>10</v>
      </c>
      <c r="G49" s="29" t="n">
        <f aca="false">'Task Breakdown'!K43</f>
        <v>26</v>
      </c>
      <c r="H49" s="29" t="n">
        <f aca="false">'Task Breakdown'!L43</f>
        <v>0</v>
      </c>
      <c r="I49" s="29" t="n">
        <f aca="false">'Task Breakdown'!M43</f>
        <v>0</v>
      </c>
      <c r="J49" s="29" t="n">
        <f aca="false">'Task Breakdown'!N43</f>
        <v>0</v>
      </c>
      <c r="K49" s="29" t="n">
        <f aca="false">'Task Breakdown'!O43</f>
        <v>0</v>
      </c>
      <c r="L49" s="29" t="n">
        <f aca="false">'Task Breakdown'!P43</f>
        <v>0</v>
      </c>
      <c r="M49" s="29" t="n">
        <f aca="false">'Task Breakdown'!Q43</f>
        <v>0</v>
      </c>
      <c r="N49" s="29" t="n">
        <f aca="false">'Task Breakdown'!R43</f>
        <v>0</v>
      </c>
      <c r="O49" s="29" t="n">
        <f aca="false">'Task Breakdown'!S43</f>
        <v>0</v>
      </c>
      <c r="P49" s="29" t="n">
        <f aca="false">'Task Breakdown'!T43</f>
        <v>0</v>
      </c>
      <c r="Q49" s="30" t="n">
        <f aca="false">SUM(E49:P49)</f>
        <v>36</v>
      </c>
      <c r="R49" s="31" t="n">
        <f aca="false">IF($Q$183&gt;0,Q49/$Q$183,0)</f>
        <v>0.0108662843344401</v>
      </c>
    </row>
    <row r="50" customFormat="false" ht="15" hidden="false" customHeight="false" outlineLevel="0" collapsed="false">
      <c r="A50" s="26" t="str">
        <f aca="false">'Task Breakdown'!A44</f>
        <v>PS-1.05.06</v>
      </c>
      <c r="B50" s="27" t="str">
        <f aca="false">'Task Breakdown'!G44</f>
        <v>Test routing, throttling and authentication failure paths</v>
      </c>
      <c r="C50" s="28"/>
      <c r="D50" s="28"/>
      <c r="E50" s="29" t="n">
        <f aca="false">'Task Breakdown'!I44</f>
        <v>0</v>
      </c>
      <c r="F50" s="29" t="n">
        <f aca="false">'Task Breakdown'!J44</f>
        <v>0</v>
      </c>
      <c r="G50" s="29" t="n">
        <f aca="false">'Task Breakdown'!K44</f>
        <v>0</v>
      </c>
      <c r="H50" s="29" t="n">
        <f aca="false">'Task Breakdown'!L44</f>
        <v>0</v>
      </c>
      <c r="I50" s="29" t="n">
        <f aca="false">'Task Breakdown'!M44</f>
        <v>0</v>
      </c>
      <c r="J50" s="29" t="n">
        <f aca="false">'Task Breakdown'!N44</f>
        <v>0</v>
      </c>
      <c r="K50" s="29" t="n">
        <f aca="false">'Task Breakdown'!O44</f>
        <v>0</v>
      </c>
      <c r="L50" s="29" t="n">
        <f aca="false">'Task Breakdown'!P44</f>
        <v>0</v>
      </c>
      <c r="M50" s="29" t="n">
        <f aca="false">'Task Breakdown'!Q44</f>
        <v>0</v>
      </c>
      <c r="N50" s="29" t="n">
        <f aca="false">'Task Breakdown'!R44</f>
        <v>0</v>
      </c>
      <c r="O50" s="29" t="n">
        <f aca="false">'Task Breakdown'!S44</f>
        <v>20</v>
      </c>
      <c r="P50" s="29" t="n">
        <f aca="false">'Task Breakdown'!T44</f>
        <v>0</v>
      </c>
      <c r="Q50" s="30" t="n">
        <f aca="false">SUM(E50:P50)</f>
        <v>20</v>
      </c>
      <c r="R50" s="31" t="n">
        <f aca="false">IF($Q$183&gt;0,Q50/$Q$183,0)</f>
        <v>0.00603682463024449</v>
      </c>
    </row>
    <row r="51" customFormat="false" ht="15" hidden="false" customHeight="false" outlineLevel="0" collapsed="false">
      <c r="A51" s="26" t="str">
        <f aca="false">'Task Breakdown'!A45</f>
        <v>PS-1.05.07</v>
      </c>
      <c r="B51" s="27" t="str">
        <f aca="false">'Task Breakdown'!G45</f>
        <v>Detailed design and design review</v>
      </c>
      <c r="C51" s="28"/>
      <c r="D51" s="28"/>
      <c r="E51" s="29" t="n">
        <f aca="false">'Task Breakdown'!I45</f>
        <v>0</v>
      </c>
      <c r="F51" s="29" t="n">
        <f aca="false">'Task Breakdown'!J45</f>
        <v>10</v>
      </c>
      <c r="G51" s="29" t="n">
        <f aca="false">'Task Breakdown'!K45</f>
        <v>0</v>
      </c>
      <c r="H51" s="29" t="n">
        <f aca="false">'Task Breakdown'!L45</f>
        <v>0</v>
      </c>
      <c r="I51" s="29" t="n">
        <f aca="false">'Task Breakdown'!M45</f>
        <v>0</v>
      </c>
      <c r="J51" s="29" t="n">
        <f aca="false">'Task Breakdown'!N45</f>
        <v>0</v>
      </c>
      <c r="K51" s="29" t="n">
        <f aca="false">'Task Breakdown'!O45</f>
        <v>0</v>
      </c>
      <c r="L51" s="29" t="n">
        <f aca="false">'Task Breakdown'!P45</f>
        <v>0</v>
      </c>
      <c r="M51" s="29" t="n">
        <f aca="false">'Task Breakdown'!Q45</f>
        <v>0</v>
      </c>
      <c r="N51" s="29" t="n">
        <f aca="false">'Task Breakdown'!R45</f>
        <v>0</v>
      </c>
      <c r="O51" s="29" t="n">
        <f aca="false">'Task Breakdown'!S45</f>
        <v>0</v>
      </c>
      <c r="P51" s="29" t="n">
        <f aca="false">'Task Breakdown'!T45</f>
        <v>0</v>
      </c>
      <c r="Q51" s="30" t="n">
        <f aca="false">SUM(E51:P51)</f>
        <v>10</v>
      </c>
      <c r="R51" s="31" t="n">
        <f aca="false">IF($Q$183&gt;0,Q51/$Q$183,0)</f>
        <v>0.00301841231512225</v>
      </c>
    </row>
    <row r="52" customFormat="false" ht="15" hidden="false" customHeight="false" outlineLevel="0" collapsed="false">
      <c r="A52" s="26" t="str">
        <f aca="false">'Task Breakdown'!A46</f>
        <v>PS-1.05.08</v>
      </c>
      <c r="B52" s="27" t="str">
        <f aca="false">'Task Breakdown'!G46</f>
        <v>Promote through dev / test / prod and release</v>
      </c>
      <c r="C52" s="28"/>
      <c r="D52" s="28"/>
      <c r="E52" s="29" t="n">
        <f aca="false">'Task Breakdown'!I46</f>
        <v>0</v>
      </c>
      <c r="F52" s="29" t="n">
        <f aca="false">'Task Breakdown'!J46</f>
        <v>0</v>
      </c>
      <c r="G52" s="29" t="n">
        <f aca="false">'Task Breakdown'!K46</f>
        <v>7</v>
      </c>
      <c r="H52" s="29" t="n">
        <f aca="false">'Task Breakdown'!L46</f>
        <v>0</v>
      </c>
      <c r="I52" s="29" t="n">
        <f aca="false">'Task Breakdown'!M46</f>
        <v>0</v>
      </c>
      <c r="J52" s="29" t="n">
        <f aca="false">'Task Breakdown'!N46</f>
        <v>0</v>
      </c>
      <c r="K52" s="29" t="n">
        <f aca="false">'Task Breakdown'!O46</f>
        <v>0</v>
      </c>
      <c r="L52" s="29" t="n">
        <f aca="false">'Task Breakdown'!P46</f>
        <v>0</v>
      </c>
      <c r="M52" s="29" t="n">
        <f aca="false">'Task Breakdown'!Q46</f>
        <v>0</v>
      </c>
      <c r="N52" s="29" t="n">
        <f aca="false">'Task Breakdown'!R46</f>
        <v>0</v>
      </c>
      <c r="O52" s="29" t="n">
        <f aca="false">'Task Breakdown'!S46</f>
        <v>0</v>
      </c>
      <c r="P52" s="29" t="n">
        <f aca="false">'Task Breakdown'!T46</f>
        <v>0</v>
      </c>
      <c r="Q52" s="30" t="n">
        <f aca="false">SUM(E52:P52)</f>
        <v>7</v>
      </c>
      <c r="R52" s="31" t="n">
        <f aca="false">IF($Q$183&gt;0,Q52/$Q$183,0)</f>
        <v>0.00211288862058557</v>
      </c>
    </row>
    <row r="53" customFormat="false" ht="15" hidden="false" customHeight="false" outlineLevel="0" collapsed="false">
      <c r="A53" s="26" t="str">
        <f aca="false">'Task Breakdown'!A47</f>
        <v>PS-1.05.09</v>
      </c>
      <c r="B53" s="27" t="str">
        <f aca="false">'Task Breakdown'!G47</f>
        <v>Documentation, runbook and knowledge transfer</v>
      </c>
      <c r="C53" s="28"/>
      <c r="D53" s="28"/>
      <c r="E53" s="29" t="n">
        <f aca="false">'Task Breakdown'!I47</f>
        <v>0</v>
      </c>
      <c r="F53" s="29" t="n">
        <f aca="false">'Task Breakdown'!J47</f>
        <v>0</v>
      </c>
      <c r="G53" s="29" t="n">
        <f aca="false">'Task Breakdown'!K47</f>
        <v>7</v>
      </c>
      <c r="H53" s="29" t="n">
        <f aca="false">'Task Breakdown'!L47</f>
        <v>0</v>
      </c>
      <c r="I53" s="29" t="n">
        <f aca="false">'Task Breakdown'!M47</f>
        <v>0</v>
      </c>
      <c r="J53" s="29" t="n">
        <f aca="false">'Task Breakdown'!N47</f>
        <v>0</v>
      </c>
      <c r="K53" s="29" t="n">
        <f aca="false">'Task Breakdown'!O47</f>
        <v>0</v>
      </c>
      <c r="L53" s="29" t="n">
        <f aca="false">'Task Breakdown'!P47</f>
        <v>0</v>
      </c>
      <c r="M53" s="29" t="n">
        <f aca="false">'Task Breakdown'!Q47</f>
        <v>0</v>
      </c>
      <c r="N53" s="29" t="n">
        <f aca="false">'Task Breakdown'!R47</f>
        <v>0</v>
      </c>
      <c r="O53" s="29" t="n">
        <f aca="false">'Task Breakdown'!S47</f>
        <v>0</v>
      </c>
      <c r="P53" s="29" t="n">
        <f aca="false">'Task Breakdown'!T47</f>
        <v>0</v>
      </c>
      <c r="Q53" s="30" t="n">
        <f aca="false">SUM(E53:P53)</f>
        <v>7</v>
      </c>
      <c r="R53" s="31" t="n">
        <f aca="false">IF($Q$183&gt;0,Q53/$Q$183,0)</f>
        <v>0.00211288862058557</v>
      </c>
    </row>
    <row r="54" customFormat="false" ht="15" hidden="false" customHeight="false" outlineLevel="0" collapsed="false">
      <c r="A54" s="26" t="str">
        <f aca="false">'Task Breakdown'!A48</f>
        <v>PS-1.05.10</v>
      </c>
      <c r="B54" s="27" t="str">
        <f aca="false">'Task Breakdown'!G48</f>
        <v>Defect fixing and rework after testing</v>
      </c>
      <c r="C54" s="28"/>
      <c r="D54" s="28"/>
      <c r="E54" s="29" t="n">
        <f aca="false">'Task Breakdown'!I48</f>
        <v>0</v>
      </c>
      <c r="F54" s="29" t="n">
        <f aca="false">'Task Breakdown'!J48</f>
        <v>0</v>
      </c>
      <c r="G54" s="29" t="n">
        <f aca="false">'Task Breakdown'!K48</f>
        <v>14</v>
      </c>
      <c r="H54" s="29" t="n">
        <f aca="false">'Task Breakdown'!L48</f>
        <v>0</v>
      </c>
      <c r="I54" s="29" t="n">
        <f aca="false">'Task Breakdown'!M48</f>
        <v>0</v>
      </c>
      <c r="J54" s="29" t="n">
        <f aca="false">'Task Breakdown'!N48</f>
        <v>0</v>
      </c>
      <c r="K54" s="29" t="n">
        <f aca="false">'Task Breakdown'!O48</f>
        <v>0</v>
      </c>
      <c r="L54" s="29" t="n">
        <f aca="false">'Task Breakdown'!P48</f>
        <v>0</v>
      </c>
      <c r="M54" s="29" t="n">
        <f aca="false">'Task Breakdown'!Q48</f>
        <v>0</v>
      </c>
      <c r="N54" s="29" t="n">
        <f aca="false">'Task Breakdown'!R48</f>
        <v>0</v>
      </c>
      <c r="O54" s="29" t="n">
        <f aca="false">'Task Breakdown'!S48</f>
        <v>0</v>
      </c>
      <c r="P54" s="29" t="n">
        <f aca="false">'Task Breakdown'!T48</f>
        <v>0</v>
      </c>
      <c r="Q54" s="30" t="n">
        <f aca="false">SUM(E54:P54)</f>
        <v>14</v>
      </c>
      <c r="R54" s="31" t="n">
        <f aca="false">IF($Q$183&gt;0,Q54/$Q$183,0)</f>
        <v>0.00422577724117114</v>
      </c>
    </row>
    <row r="55" customFormat="false" ht="15" hidden="false" customHeight="false" outlineLevel="0" collapsed="false">
      <c r="A55" s="23" t="s">
        <v>113</v>
      </c>
      <c r="B55" s="23" t="s">
        <v>114</v>
      </c>
      <c r="C55" s="23" t="s">
        <v>42</v>
      </c>
      <c r="D55" s="23" t="s">
        <v>115</v>
      </c>
      <c r="E55" s="24" t="n">
        <f aca="false">SUM(E56:E66)</f>
        <v>0</v>
      </c>
      <c r="F55" s="24" t="n">
        <f aca="false">SUM(F56:F66)</f>
        <v>35</v>
      </c>
      <c r="G55" s="24" t="n">
        <f aca="false">SUM(G56:G66)</f>
        <v>244</v>
      </c>
      <c r="H55" s="24" t="n">
        <f aca="false">SUM(H56:H66)</f>
        <v>0</v>
      </c>
      <c r="I55" s="24" t="n">
        <f aca="false">SUM(I56:I66)</f>
        <v>0</v>
      </c>
      <c r="J55" s="24" t="n">
        <f aca="false">SUM(J56:J66)</f>
        <v>0</v>
      </c>
      <c r="K55" s="24" t="n">
        <f aca="false">SUM(K56:K66)</f>
        <v>0</v>
      </c>
      <c r="L55" s="24" t="n">
        <f aca="false">SUM(L56:L66)</f>
        <v>0</v>
      </c>
      <c r="M55" s="24" t="n">
        <f aca="false">SUM(M56:M66)</f>
        <v>0</v>
      </c>
      <c r="N55" s="24" t="n">
        <f aca="false">SUM(N56:N66)</f>
        <v>0</v>
      </c>
      <c r="O55" s="24" t="n">
        <f aca="false">SUM(O56:O66)</f>
        <v>20</v>
      </c>
      <c r="P55" s="24" t="n">
        <f aca="false">SUM(P56:P66)</f>
        <v>0</v>
      </c>
      <c r="Q55" s="24" t="n">
        <f aca="false">SUM(Q56:Q66)</f>
        <v>299</v>
      </c>
      <c r="R55" s="25" t="n">
        <f aca="false">IF($Q$183&gt;0,Q55/$Q$183,0)</f>
        <v>0.0902505282221552</v>
      </c>
    </row>
    <row r="56" customFormat="false" ht="15" hidden="false" customHeight="false" outlineLevel="0" collapsed="false">
      <c r="A56" s="26" t="str">
        <f aca="false">'Task Breakdown'!A49</f>
        <v>PS-1.06.01</v>
      </c>
      <c r="B56" s="27" t="str">
        <f aca="false">'Task Breakdown'!G49</f>
        <v>Choose IaC standard, repository structure and module conventions</v>
      </c>
      <c r="C56" s="28"/>
      <c r="D56" s="28"/>
      <c r="E56" s="29" t="n">
        <f aca="false">'Task Breakdown'!I49</f>
        <v>0</v>
      </c>
      <c r="F56" s="29" t="n">
        <f aca="false">'Task Breakdown'!J49</f>
        <v>15</v>
      </c>
      <c r="G56" s="29" t="n">
        <f aca="false">'Task Breakdown'!K49</f>
        <v>10</v>
      </c>
      <c r="H56" s="29" t="n">
        <f aca="false">'Task Breakdown'!L49</f>
        <v>0</v>
      </c>
      <c r="I56" s="29" t="n">
        <f aca="false">'Task Breakdown'!M49</f>
        <v>0</v>
      </c>
      <c r="J56" s="29" t="n">
        <f aca="false">'Task Breakdown'!N49</f>
        <v>0</v>
      </c>
      <c r="K56" s="29" t="n">
        <f aca="false">'Task Breakdown'!O49</f>
        <v>0</v>
      </c>
      <c r="L56" s="29" t="n">
        <f aca="false">'Task Breakdown'!P49</f>
        <v>0</v>
      </c>
      <c r="M56" s="29" t="n">
        <f aca="false">'Task Breakdown'!Q49</f>
        <v>0</v>
      </c>
      <c r="N56" s="29" t="n">
        <f aca="false">'Task Breakdown'!R49</f>
        <v>0</v>
      </c>
      <c r="O56" s="29" t="n">
        <f aca="false">'Task Breakdown'!S49</f>
        <v>0</v>
      </c>
      <c r="P56" s="29" t="n">
        <f aca="false">'Task Breakdown'!T49</f>
        <v>0</v>
      </c>
      <c r="Q56" s="30" t="n">
        <f aca="false">SUM(E56:P56)</f>
        <v>25</v>
      </c>
      <c r="R56" s="31" t="n">
        <f aca="false">IF($Q$183&gt;0,Q56/$Q$183,0)</f>
        <v>0.00754603078780562</v>
      </c>
    </row>
    <row r="57" customFormat="false" ht="15" hidden="false" customHeight="false" outlineLevel="0" collapsed="false">
      <c r="A57" s="26" t="str">
        <f aca="false">'Task Breakdown'!A50</f>
        <v>PS-1.06.02</v>
      </c>
      <c r="B57" s="27" t="str">
        <f aca="false">'Task Breakdown'!G50</f>
        <v>Set up remote state, environments and workload identity for pipelines</v>
      </c>
      <c r="C57" s="28"/>
      <c r="D57" s="28"/>
      <c r="E57" s="29" t="n">
        <f aca="false">'Task Breakdown'!I50</f>
        <v>0</v>
      </c>
      <c r="F57" s="29" t="n">
        <f aca="false">'Task Breakdown'!J50</f>
        <v>0</v>
      </c>
      <c r="G57" s="29" t="n">
        <f aca="false">'Task Breakdown'!K50</f>
        <v>26</v>
      </c>
      <c r="H57" s="29" t="n">
        <f aca="false">'Task Breakdown'!L50</f>
        <v>0</v>
      </c>
      <c r="I57" s="29" t="n">
        <f aca="false">'Task Breakdown'!M50</f>
        <v>0</v>
      </c>
      <c r="J57" s="29" t="n">
        <f aca="false">'Task Breakdown'!N50</f>
        <v>0</v>
      </c>
      <c r="K57" s="29" t="n">
        <f aca="false">'Task Breakdown'!O50</f>
        <v>0</v>
      </c>
      <c r="L57" s="29" t="n">
        <f aca="false">'Task Breakdown'!P50</f>
        <v>0</v>
      </c>
      <c r="M57" s="29" t="n">
        <f aca="false">'Task Breakdown'!Q50</f>
        <v>0</v>
      </c>
      <c r="N57" s="29" t="n">
        <f aca="false">'Task Breakdown'!R50</f>
        <v>0</v>
      </c>
      <c r="O57" s="29" t="n">
        <f aca="false">'Task Breakdown'!S50</f>
        <v>0</v>
      </c>
      <c r="P57" s="29" t="n">
        <f aca="false">'Task Breakdown'!T50</f>
        <v>0</v>
      </c>
      <c r="Q57" s="30" t="n">
        <f aca="false">SUM(E57:P57)</f>
        <v>26</v>
      </c>
      <c r="R57" s="31" t="n">
        <f aca="false">IF($Q$183&gt;0,Q57/$Q$183,0)</f>
        <v>0.00784787201931784</v>
      </c>
    </row>
    <row r="58" customFormat="false" ht="23.85" hidden="false" customHeight="false" outlineLevel="0" collapsed="false">
      <c r="A58" s="26" t="str">
        <f aca="false">'Task Breakdown'!A51</f>
        <v>PS-1.06.03</v>
      </c>
      <c r="B58" s="27" t="str">
        <f aca="false">'Task Breakdown'!G51</f>
        <v>Build reusable modules: network, storage, Key Vault, APIM, AKS, AI services</v>
      </c>
      <c r="C58" s="28"/>
      <c r="D58" s="28"/>
      <c r="E58" s="29" t="n">
        <f aca="false">'Task Breakdown'!I51</f>
        <v>0</v>
      </c>
      <c r="F58" s="29" t="n">
        <f aca="false">'Task Breakdown'!J51</f>
        <v>0</v>
      </c>
      <c r="G58" s="29" t="n">
        <f aca="false">'Task Breakdown'!K51</f>
        <v>81</v>
      </c>
      <c r="H58" s="29" t="n">
        <f aca="false">'Task Breakdown'!L51</f>
        <v>0</v>
      </c>
      <c r="I58" s="29" t="n">
        <f aca="false">'Task Breakdown'!M51</f>
        <v>0</v>
      </c>
      <c r="J58" s="29" t="n">
        <f aca="false">'Task Breakdown'!N51</f>
        <v>0</v>
      </c>
      <c r="K58" s="29" t="n">
        <f aca="false">'Task Breakdown'!O51</f>
        <v>0</v>
      </c>
      <c r="L58" s="29" t="n">
        <f aca="false">'Task Breakdown'!P51</f>
        <v>0</v>
      </c>
      <c r="M58" s="29" t="n">
        <f aca="false">'Task Breakdown'!Q51</f>
        <v>0</v>
      </c>
      <c r="N58" s="29" t="n">
        <f aca="false">'Task Breakdown'!R51</f>
        <v>0</v>
      </c>
      <c r="O58" s="29" t="n">
        <f aca="false">'Task Breakdown'!S51</f>
        <v>0</v>
      </c>
      <c r="P58" s="29" t="n">
        <f aca="false">'Task Breakdown'!T51</f>
        <v>0</v>
      </c>
      <c r="Q58" s="30" t="n">
        <f aca="false">SUM(E58:P58)</f>
        <v>81</v>
      </c>
      <c r="R58" s="31" t="n">
        <f aca="false">IF($Q$183&gt;0,Q58/$Q$183,0)</f>
        <v>0.0244491397524902</v>
      </c>
    </row>
    <row r="59" customFormat="false" ht="15" hidden="false" customHeight="false" outlineLevel="0" collapsed="false">
      <c r="A59" s="26" t="str">
        <f aca="false">'Task Breakdown'!A52</f>
        <v>PS-1.06.04</v>
      </c>
      <c r="B59" s="27" t="str">
        <f aca="false">'Task Breakdown'!G52</f>
        <v>Build GitHub Actions pipelines: plan, approval gates, apply</v>
      </c>
      <c r="C59" s="28"/>
      <c r="D59" s="28"/>
      <c r="E59" s="29" t="n">
        <f aca="false">'Task Breakdown'!I52</f>
        <v>0</v>
      </c>
      <c r="F59" s="29" t="n">
        <f aca="false">'Task Breakdown'!J52</f>
        <v>0</v>
      </c>
      <c r="G59" s="29" t="n">
        <f aca="false">'Task Breakdown'!K52</f>
        <v>41</v>
      </c>
      <c r="H59" s="29" t="n">
        <f aca="false">'Task Breakdown'!L52</f>
        <v>0</v>
      </c>
      <c r="I59" s="29" t="n">
        <f aca="false">'Task Breakdown'!M52</f>
        <v>0</v>
      </c>
      <c r="J59" s="29" t="n">
        <f aca="false">'Task Breakdown'!N52</f>
        <v>0</v>
      </c>
      <c r="K59" s="29" t="n">
        <f aca="false">'Task Breakdown'!O52</f>
        <v>0</v>
      </c>
      <c r="L59" s="29" t="n">
        <f aca="false">'Task Breakdown'!P52</f>
        <v>0</v>
      </c>
      <c r="M59" s="29" t="n">
        <f aca="false">'Task Breakdown'!Q52</f>
        <v>0</v>
      </c>
      <c r="N59" s="29" t="n">
        <f aca="false">'Task Breakdown'!R52</f>
        <v>0</v>
      </c>
      <c r="O59" s="29" t="n">
        <f aca="false">'Task Breakdown'!S52</f>
        <v>0</v>
      </c>
      <c r="P59" s="29" t="n">
        <f aca="false">'Task Breakdown'!T52</f>
        <v>0</v>
      </c>
      <c r="Q59" s="30" t="n">
        <f aca="false">SUM(E59:P59)</f>
        <v>41</v>
      </c>
      <c r="R59" s="31" t="n">
        <f aca="false">IF($Q$183&gt;0,Q59/$Q$183,0)</f>
        <v>0.0123754904920012</v>
      </c>
    </row>
    <row r="60" customFormat="false" ht="15" hidden="false" customHeight="false" outlineLevel="0" collapsed="false">
      <c r="A60" s="26" t="str">
        <f aca="false">'Task Breakdown'!A53</f>
        <v>PS-1.06.05</v>
      </c>
      <c r="B60" s="27" t="str">
        <f aca="false">'Task Breakdown'!G53</f>
        <v>Add policy-as-code and security scanning (tfsec / Checkov)</v>
      </c>
      <c r="C60" s="28"/>
      <c r="D60" s="28"/>
      <c r="E60" s="29" t="n">
        <f aca="false">'Task Breakdown'!I53</f>
        <v>0</v>
      </c>
      <c r="F60" s="29" t="n">
        <f aca="false">'Task Breakdown'!J53</f>
        <v>5</v>
      </c>
      <c r="G60" s="29" t="n">
        <f aca="false">'Task Breakdown'!K53</f>
        <v>20</v>
      </c>
      <c r="H60" s="29" t="n">
        <f aca="false">'Task Breakdown'!L53</f>
        <v>0</v>
      </c>
      <c r="I60" s="29" t="n">
        <f aca="false">'Task Breakdown'!M53</f>
        <v>0</v>
      </c>
      <c r="J60" s="29" t="n">
        <f aca="false">'Task Breakdown'!N53</f>
        <v>0</v>
      </c>
      <c r="K60" s="29" t="n">
        <f aca="false">'Task Breakdown'!O53</f>
        <v>0</v>
      </c>
      <c r="L60" s="29" t="n">
        <f aca="false">'Task Breakdown'!P53</f>
        <v>0</v>
      </c>
      <c r="M60" s="29" t="n">
        <f aca="false">'Task Breakdown'!Q53</f>
        <v>0</v>
      </c>
      <c r="N60" s="29" t="n">
        <f aca="false">'Task Breakdown'!R53</f>
        <v>0</v>
      </c>
      <c r="O60" s="29" t="n">
        <f aca="false">'Task Breakdown'!S53</f>
        <v>0</v>
      </c>
      <c r="P60" s="29" t="n">
        <f aca="false">'Task Breakdown'!T53</f>
        <v>0</v>
      </c>
      <c r="Q60" s="30" t="n">
        <f aca="false">SUM(E60:P60)</f>
        <v>25</v>
      </c>
      <c r="R60" s="31" t="n">
        <f aca="false">IF($Q$183&gt;0,Q60/$Q$183,0)</f>
        <v>0.00754603078780562</v>
      </c>
    </row>
    <row r="61" customFormat="false" ht="15" hidden="false" customHeight="false" outlineLevel="0" collapsed="false">
      <c r="A61" s="26" t="str">
        <f aca="false">'Task Breakdown'!A54</f>
        <v>PS-1.06.06</v>
      </c>
      <c r="B61" s="27" t="str">
        <f aca="false">'Task Breakdown'!G54</f>
        <v>Build application CI/CD templates (build, test, container push, deploy)</v>
      </c>
      <c r="C61" s="28"/>
      <c r="D61" s="28"/>
      <c r="E61" s="29" t="n">
        <f aca="false">'Task Breakdown'!I54</f>
        <v>0</v>
      </c>
      <c r="F61" s="29" t="n">
        <f aca="false">'Task Breakdown'!J54</f>
        <v>0</v>
      </c>
      <c r="G61" s="29" t="n">
        <f aca="false">'Task Breakdown'!K54</f>
        <v>26</v>
      </c>
      <c r="H61" s="29" t="n">
        <f aca="false">'Task Breakdown'!L54</f>
        <v>0</v>
      </c>
      <c r="I61" s="29" t="n">
        <f aca="false">'Task Breakdown'!M54</f>
        <v>0</v>
      </c>
      <c r="J61" s="29" t="n">
        <f aca="false">'Task Breakdown'!N54</f>
        <v>0</v>
      </c>
      <c r="K61" s="29" t="n">
        <f aca="false">'Task Breakdown'!O54</f>
        <v>0</v>
      </c>
      <c r="L61" s="29" t="n">
        <f aca="false">'Task Breakdown'!P54</f>
        <v>0</v>
      </c>
      <c r="M61" s="29" t="n">
        <f aca="false">'Task Breakdown'!Q54</f>
        <v>0</v>
      </c>
      <c r="N61" s="29" t="n">
        <f aca="false">'Task Breakdown'!R54</f>
        <v>0</v>
      </c>
      <c r="O61" s="29" t="n">
        <f aca="false">'Task Breakdown'!S54</f>
        <v>0</v>
      </c>
      <c r="P61" s="29" t="n">
        <f aca="false">'Task Breakdown'!T54</f>
        <v>0</v>
      </c>
      <c r="Q61" s="30" t="n">
        <f aca="false">SUM(E61:P61)</f>
        <v>26</v>
      </c>
      <c r="R61" s="31" t="n">
        <f aca="false">IF($Q$183&gt;0,Q61/$Q$183,0)</f>
        <v>0.00784787201931784</v>
      </c>
    </row>
    <row r="62" customFormat="false" ht="15" hidden="false" customHeight="false" outlineLevel="0" collapsed="false">
      <c r="A62" s="26" t="str">
        <f aca="false">'Task Breakdown'!A55</f>
        <v>PS-1.06.07</v>
      </c>
      <c r="B62" s="27" t="str">
        <f aca="false">'Task Breakdown'!G55</f>
        <v>Test pipelines end to end in non-prod</v>
      </c>
      <c r="C62" s="28"/>
      <c r="D62" s="28"/>
      <c r="E62" s="29" t="n">
        <f aca="false">'Task Breakdown'!I55</f>
        <v>0</v>
      </c>
      <c r="F62" s="29" t="n">
        <f aca="false">'Task Breakdown'!J55</f>
        <v>0</v>
      </c>
      <c r="G62" s="29" t="n">
        <f aca="false">'Task Breakdown'!K55</f>
        <v>0</v>
      </c>
      <c r="H62" s="29" t="n">
        <f aca="false">'Task Breakdown'!L55</f>
        <v>0</v>
      </c>
      <c r="I62" s="29" t="n">
        <f aca="false">'Task Breakdown'!M55</f>
        <v>0</v>
      </c>
      <c r="J62" s="29" t="n">
        <f aca="false">'Task Breakdown'!N55</f>
        <v>0</v>
      </c>
      <c r="K62" s="29" t="n">
        <f aca="false">'Task Breakdown'!O55</f>
        <v>0</v>
      </c>
      <c r="L62" s="29" t="n">
        <f aca="false">'Task Breakdown'!P55</f>
        <v>0</v>
      </c>
      <c r="M62" s="29" t="n">
        <f aca="false">'Task Breakdown'!Q55</f>
        <v>0</v>
      </c>
      <c r="N62" s="29" t="n">
        <f aca="false">'Task Breakdown'!R55</f>
        <v>0</v>
      </c>
      <c r="O62" s="29" t="n">
        <f aca="false">'Task Breakdown'!S55</f>
        <v>20</v>
      </c>
      <c r="P62" s="29" t="n">
        <f aca="false">'Task Breakdown'!T55</f>
        <v>0</v>
      </c>
      <c r="Q62" s="30" t="n">
        <f aca="false">SUM(E62:P62)</f>
        <v>20</v>
      </c>
      <c r="R62" s="31" t="n">
        <f aca="false">IF($Q$183&gt;0,Q62/$Q$183,0)</f>
        <v>0.00603682463024449</v>
      </c>
    </row>
    <row r="63" customFormat="false" ht="15" hidden="false" customHeight="false" outlineLevel="0" collapsed="false">
      <c r="A63" s="26" t="str">
        <f aca="false">'Task Breakdown'!A56</f>
        <v>PS-1.06.08</v>
      </c>
      <c r="B63" s="27" t="str">
        <f aca="false">'Task Breakdown'!G56</f>
        <v>Detailed design and design review</v>
      </c>
      <c r="C63" s="28"/>
      <c r="D63" s="28"/>
      <c r="E63" s="29" t="n">
        <f aca="false">'Task Breakdown'!I56</f>
        <v>0</v>
      </c>
      <c r="F63" s="29" t="n">
        <f aca="false">'Task Breakdown'!J56</f>
        <v>15</v>
      </c>
      <c r="G63" s="29" t="n">
        <f aca="false">'Task Breakdown'!K56</f>
        <v>0</v>
      </c>
      <c r="H63" s="29" t="n">
        <f aca="false">'Task Breakdown'!L56</f>
        <v>0</v>
      </c>
      <c r="I63" s="29" t="n">
        <f aca="false">'Task Breakdown'!M56</f>
        <v>0</v>
      </c>
      <c r="J63" s="29" t="n">
        <f aca="false">'Task Breakdown'!N56</f>
        <v>0</v>
      </c>
      <c r="K63" s="29" t="n">
        <f aca="false">'Task Breakdown'!O56</f>
        <v>0</v>
      </c>
      <c r="L63" s="29" t="n">
        <f aca="false">'Task Breakdown'!P56</f>
        <v>0</v>
      </c>
      <c r="M63" s="29" t="n">
        <f aca="false">'Task Breakdown'!Q56</f>
        <v>0</v>
      </c>
      <c r="N63" s="29" t="n">
        <f aca="false">'Task Breakdown'!R56</f>
        <v>0</v>
      </c>
      <c r="O63" s="29" t="n">
        <f aca="false">'Task Breakdown'!S56</f>
        <v>0</v>
      </c>
      <c r="P63" s="29" t="n">
        <f aca="false">'Task Breakdown'!T56</f>
        <v>0</v>
      </c>
      <c r="Q63" s="30" t="n">
        <f aca="false">SUM(E63:P63)</f>
        <v>15</v>
      </c>
      <c r="R63" s="31" t="n">
        <f aca="false">IF($Q$183&gt;0,Q63/$Q$183,0)</f>
        <v>0.00452761847268337</v>
      </c>
    </row>
    <row r="64" customFormat="false" ht="15" hidden="false" customHeight="false" outlineLevel="0" collapsed="false">
      <c r="A64" s="26" t="str">
        <f aca="false">'Task Breakdown'!A57</f>
        <v>PS-1.06.09</v>
      </c>
      <c r="B64" s="27" t="str">
        <f aca="false">'Task Breakdown'!G57</f>
        <v>Promote through dev / test / prod and release</v>
      </c>
      <c r="C64" s="28"/>
      <c r="D64" s="28"/>
      <c r="E64" s="29" t="n">
        <f aca="false">'Task Breakdown'!I57</f>
        <v>0</v>
      </c>
      <c r="F64" s="29" t="n">
        <f aca="false">'Task Breakdown'!J57</f>
        <v>0</v>
      </c>
      <c r="G64" s="29" t="n">
        <f aca="false">'Task Breakdown'!K57</f>
        <v>10</v>
      </c>
      <c r="H64" s="29" t="n">
        <f aca="false">'Task Breakdown'!L57</f>
        <v>0</v>
      </c>
      <c r="I64" s="29" t="n">
        <f aca="false">'Task Breakdown'!M57</f>
        <v>0</v>
      </c>
      <c r="J64" s="29" t="n">
        <f aca="false">'Task Breakdown'!N57</f>
        <v>0</v>
      </c>
      <c r="K64" s="29" t="n">
        <f aca="false">'Task Breakdown'!O57</f>
        <v>0</v>
      </c>
      <c r="L64" s="29" t="n">
        <f aca="false">'Task Breakdown'!P57</f>
        <v>0</v>
      </c>
      <c r="M64" s="29" t="n">
        <f aca="false">'Task Breakdown'!Q57</f>
        <v>0</v>
      </c>
      <c r="N64" s="29" t="n">
        <f aca="false">'Task Breakdown'!R57</f>
        <v>0</v>
      </c>
      <c r="O64" s="29" t="n">
        <f aca="false">'Task Breakdown'!S57</f>
        <v>0</v>
      </c>
      <c r="P64" s="29" t="n">
        <f aca="false">'Task Breakdown'!T57</f>
        <v>0</v>
      </c>
      <c r="Q64" s="30" t="n">
        <f aca="false">SUM(E64:P64)</f>
        <v>10</v>
      </c>
      <c r="R64" s="31" t="n">
        <f aca="false">IF($Q$183&gt;0,Q64/$Q$183,0)</f>
        <v>0.00301841231512225</v>
      </c>
    </row>
    <row r="65" customFormat="false" ht="15" hidden="false" customHeight="false" outlineLevel="0" collapsed="false">
      <c r="A65" s="26" t="str">
        <f aca="false">'Task Breakdown'!A58</f>
        <v>PS-1.06.10</v>
      </c>
      <c r="B65" s="27" t="str">
        <f aca="false">'Task Breakdown'!G58</f>
        <v>Documentation, runbook and knowledge transfer</v>
      </c>
      <c r="C65" s="28"/>
      <c r="D65" s="28"/>
      <c r="E65" s="29" t="n">
        <f aca="false">'Task Breakdown'!I58</f>
        <v>0</v>
      </c>
      <c r="F65" s="29" t="n">
        <f aca="false">'Task Breakdown'!J58</f>
        <v>0</v>
      </c>
      <c r="G65" s="29" t="n">
        <f aca="false">'Task Breakdown'!K58</f>
        <v>10</v>
      </c>
      <c r="H65" s="29" t="n">
        <f aca="false">'Task Breakdown'!L58</f>
        <v>0</v>
      </c>
      <c r="I65" s="29" t="n">
        <f aca="false">'Task Breakdown'!M58</f>
        <v>0</v>
      </c>
      <c r="J65" s="29" t="n">
        <f aca="false">'Task Breakdown'!N58</f>
        <v>0</v>
      </c>
      <c r="K65" s="29" t="n">
        <f aca="false">'Task Breakdown'!O58</f>
        <v>0</v>
      </c>
      <c r="L65" s="29" t="n">
        <f aca="false">'Task Breakdown'!P58</f>
        <v>0</v>
      </c>
      <c r="M65" s="29" t="n">
        <f aca="false">'Task Breakdown'!Q58</f>
        <v>0</v>
      </c>
      <c r="N65" s="29" t="n">
        <f aca="false">'Task Breakdown'!R58</f>
        <v>0</v>
      </c>
      <c r="O65" s="29" t="n">
        <f aca="false">'Task Breakdown'!S58</f>
        <v>0</v>
      </c>
      <c r="P65" s="29" t="n">
        <f aca="false">'Task Breakdown'!T58</f>
        <v>0</v>
      </c>
      <c r="Q65" s="30" t="n">
        <f aca="false">SUM(E65:P65)</f>
        <v>10</v>
      </c>
      <c r="R65" s="31" t="n">
        <f aca="false">IF($Q$183&gt;0,Q65/$Q$183,0)</f>
        <v>0.00301841231512225</v>
      </c>
    </row>
    <row r="66" customFormat="false" ht="15" hidden="false" customHeight="false" outlineLevel="0" collapsed="false">
      <c r="A66" s="26" t="str">
        <f aca="false">'Task Breakdown'!A59</f>
        <v>PS-1.06.11</v>
      </c>
      <c r="B66" s="27" t="str">
        <f aca="false">'Task Breakdown'!G59</f>
        <v>Defect fixing and rework after testing</v>
      </c>
      <c r="C66" s="28"/>
      <c r="D66" s="28"/>
      <c r="E66" s="29" t="n">
        <f aca="false">'Task Breakdown'!I59</f>
        <v>0</v>
      </c>
      <c r="F66" s="29" t="n">
        <f aca="false">'Task Breakdown'!J59</f>
        <v>0</v>
      </c>
      <c r="G66" s="29" t="n">
        <f aca="false">'Task Breakdown'!K59</f>
        <v>20</v>
      </c>
      <c r="H66" s="29" t="n">
        <f aca="false">'Task Breakdown'!L59</f>
        <v>0</v>
      </c>
      <c r="I66" s="29" t="n">
        <f aca="false">'Task Breakdown'!M59</f>
        <v>0</v>
      </c>
      <c r="J66" s="29" t="n">
        <f aca="false">'Task Breakdown'!N59</f>
        <v>0</v>
      </c>
      <c r="K66" s="29" t="n">
        <f aca="false">'Task Breakdown'!O59</f>
        <v>0</v>
      </c>
      <c r="L66" s="29" t="n">
        <f aca="false">'Task Breakdown'!P59</f>
        <v>0</v>
      </c>
      <c r="M66" s="29" t="n">
        <f aca="false">'Task Breakdown'!Q59</f>
        <v>0</v>
      </c>
      <c r="N66" s="29" t="n">
        <f aca="false">'Task Breakdown'!R59</f>
        <v>0</v>
      </c>
      <c r="O66" s="29" t="n">
        <f aca="false">'Task Breakdown'!S59</f>
        <v>0</v>
      </c>
      <c r="P66" s="29" t="n">
        <f aca="false">'Task Breakdown'!T59</f>
        <v>0</v>
      </c>
      <c r="Q66" s="30" t="n">
        <f aca="false">SUM(E66:P66)</f>
        <v>20</v>
      </c>
      <c r="R66" s="31" t="n">
        <f aca="false">IF($Q$183&gt;0,Q66/$Q$183,0)</f>
        <v>0.00603682463024449</v>
      </c>
    </row>
    <row r="67" customFormat="false" ht="15" hidden="false" customHeight="false" outlineLevel="0" collapsed="false">
      <c r="A67" s="23" t="s">
        <v>116</v>
      </c>
      <c r="B67" s="23" t="s">
        <v>117</v>
      </c>
      <c r="C67" s="23" t="s">
        <v>42</v>
      </c>
      <c r="D67" s="23" t="s">
        <v>118</v>
      </c>
      <c r="E67" s="24" t="n">
        <f aca="false">SUM(E68:E78)</f>
        <v>0</v>
      </c>
      <c r="F67" s="24" t="n">
        <f aca="false">SUM(F68:F78)</f>
        <v>31</v>
      </c>
      <c r="G67" s="24" t="n">
        <f aca="false">SUM(G68:G78)</f>
        <v>171</v>
      </c>
      <c r="H67" s="24" t="n">
        <f aca="false">SUM(H68:H78)</f>
        <v>20</v>
      </c>
      <c r="I67" s="24" t="n">
        <f aca="false">SUM(I68:I78)</f>
        <v>0</v>
      </c>
      <c r="J67" s="24" t="n">
        <f aca="false">SUM(J68:J78)</f>
        <v>0</v>
      </c>
      <c r="K67" s="24" t="n">
        <f aca="false">SUM(K68:K78)</f>
        <v>0</v>
      </c>
      <c r="L67" s="24" t="n">
        <f aca="false">SUM(L68:L78)</f>
        <v>0</v>
      </c>
      <c r="M67" s="24" t="n">
        <f aca="false">SUM(M68:M78)</f>
        <v>0</v>
      </c>
      <c r="N67" s="24" t="n">
        <f aca="false">SUM(N68:N78)</f>
        <v>0</v>
      </c>
      <c r="O67" s="24" t="n">
        <f aca="false">SUM(O68:O78)</f>
        <v>0</v>
      </c>
      <c r="P67" s="24" t="n">
        <f aca="false">SUM(P68:P78)</f>
        <v>0</v>
      </c>
      <c r="Q67" s="24" t="n">
        <f aca="false">SUM(Q68:Q78)</f>
        <v>222</v>
      </c>
      <c r="R67" s="25" t="n">
        <f aca="false">IF($Q$183&gt;0,Q67/$Q$183,0)</f>
        <v>0.0670087533957139</v>
      </c>
    </row>
    <row r="68" customFormat="false" ht="15" hidden="false" customHeight="false" outlineLevel="0" collapsed="false">
      <c r="A68" s="26" t="str">
        <f aca="false">'Task Breakdown'!A60</f>
        <v>PS-1.07.01</v>
      </c>
      <c r="B68" s="27" t="str">
        <f aca="false">'Task Breakdown'!G60</f>
        <v>Decide hosting model per workload (AKS, Container Apps, Functions)</v>
      </c>
      <c r="C68" s="28"/>
      <c r="D68" s="28"/>
      <c r="E68" s="29" t="n">
        <f aca="false">'Task Breakdown'!I60</f>
        <v>0</v>
      </c>
      <c r="F68" s="29" t="n">
        <f aca="false">'Task Breakdown'!J60</f>
        <v>15</v>
      </c>
      <c r="G68" s="29" t="n">
        <f aca="false">'Task Breakdown'!K60</f>
        <v>0</v>
      </c>
      <c r="H68" s="29" t="n">
        <f aca="false">'Task Breakdown'!L60</f>
        <v>0</v>
      </c>
      <c r="I68" s="29" t="n">
        <f aca="false">'Task Breakdown'!M60</f>
        <v>0</v>
      </c>
      <c r="J68" s="29" t="n">
        <f aca="false">'Task Breakdown'!N60</f>
        <v>0</v>
      </c>
      <c r="K68" s="29" t="n">
        <f aca="false">'Task Breakdown'!O60</f>
        <v>0</v>
      </c>
      <c r="L68" s="29" t="n">
        <f aca="false">'Task Breakdown'!P60</f>
        <v>0</v>
      </c>
      <c r="M68" s="29" t="n">
        <f aca="false">'Task Breakdown'!Q60</f>
        <v>0</v>
      </c>
      <c r="N68" s="29" t="n">
        <f aca="false">'Task Breakdown'!R60</f>
        <v>0</v>
      </c>
      <c r="O68" s="29" t="n">
        <f aca="false">'Task Breakdown'!S60</f>
        <v>0</v>
      </c>
      <c r="P68" s="29" t="n">
        <f aca="false">'Task Breakdown'!T60</f>
        <v>0</v>
      </c>
      <c r="Q68" s="30" t="n">
        <f aca="false">SUM(E68:P68)</f>
        <v>15</v>
      </c>
      <c r="R68" s="31" t="n">
        <f aca="false">IF($Q$183&gt;0,Q68/$Q$183,0)</f>
        <v>0.00452761847268337</v>
      </c>
    </row>
    <row r="69" customFormat="false" ht="23.85" hidden="false" customHeight="false" outlineLevel="0" collapsed="false">
      <c r="A69" s="26" t="str">
        <f aca="false">'Task Breakdown'!A61</f>
        <v>PS-1.07.02</v>
      </c>
      <c r="B69" s="27" t="str">
        <f aca="false">'Task Breakdown'!G61</f>
        <v>Deploy Azure Container Registry with private endpoint and image scanning</v>
      </c>
      <c r="C69" s="28"/>
      <c r="D69" s="28"/>
      <c r="E69" s="29" t="n">
        <f aca="false">'Task Breakdown'!I61</f>
        <v>0</v>
      </c>
      <c r="F69" s="29" t="n">
        <f aca="false">'Task Breakdown'!J61</f>
        <v>0</v>
      </c>
      <c r="G69" s="29" t="n">
        <f aca="false">'Task Breakdown'!K61</f>
        <v>15</v>
      </c>
      <c r="H69" s="29" t="n">
        <f aca="false">'Task Breakdown'!L61</f>
        <v>5</v>
      </c>
      <c r="I69" s="29" t="n">
        <f aca="false">'Task Breakdown'!M61</f>
        <v>0</v>
      </c>
      <c r="J69" s="29" t="n">
        <f aca="false">'Task Breakdown'!N61</f>
        <v>0</v>
      </c>
      <c r="K69" s="29" t="n">
        <f aca="false">'Task Breakdown'!O61</f>
        <v>0</v>
      </c>
      <c r="L69" s="29" t="n">
        <f aca="false">'Task Breakdown'!P61</f>
        <v>0</v>
      </c>
      <c r="M69" s="29" t="n">
        <f aca="false">'Task Breakdown'!Q61</f>
        <v>0</v>
      </c>
      <c r="N69" s="29" t="n">
        <f aca="false">'Task Breakdown'!R61</f>
        <v>0</v>
      </c>
      <c r="O69" s="29" t="n">
        <f aca="false">'Task Breakdown'!S61</f>
        <v>0</v>
      </c>
      <c r="P69" s="29" t="n">
        <f aca="false">'Task Breakdown'!T61</f>
        <v>0</v>
      </c>
      <c r="Q69" s="30" t="n">
        <f aca="false">SUM(E69:P69)</f>
        <v>20</v>
      </c>
      <c r="R69" s="31" t="n">
        <f aca="false">IF($Q$183&gt;0,Q69/$Q$183,0)</f>
        <v>0.00603682463024449</v>
      </c>
    </row>
    <row r="70" customFormat="false" ht="15" hidden="false" customHeight="false" outlineLevel="0" collapsed="false">
      <c r="A70" s="26" t="str">
        <f aca="false">'Task Breakdown'!A62</f>
        <v>PS-1.07.03</v>
      </c>
      <c r="B70" s="27" t="str">
        <f aca="false">'Task Breakdown'!G62</f>
        <v>Deploy AKS cluster: node pools, autoscaling, workload identity</v>
      </c>
      <c r="C70" s="28"/>
      <c r="D70" s="28"/>
      <c r="E70" s="29" t="n">
        <f aca="false">'Task Breakdown'!I62</f>
        <v>0</v>
      </c>
      <c r="F70" s="29" t="n">
        <f aca="false">'Task Breakdown'!J62</f>
        <v>0</v>
      </c>
      <c r="G70" s="29" t="n">
        <f aca="false">'Task Breakdown'!K62</f>
        <v>51</v>
      </c>
      <c r="H70" s="29" t="n">
        <f aca="false">'Task Breakdown'!L62</f>
        <v>0</v>
      </c>
      <c r="I70" s="29" t="n">
        <f aca="false">'Task Breakdown'!M62</f>
        <v>0</v>
      </c>
      <c r="J70" s="29" t="n">
        <f aca="false">'Task Breakdown'!N62</f>
        <v>0</v>
      </c>
      <c r="K70" s="29" t="n">
        <f aca="false">'Task Breakdown'!O62</f>
        <v>0</v>
      </c>
      <c r="L70" s="29" t="n">
        <f aca="false">'Task Breakdown'!P62</f>
        <v>0</v>
      </c>
      <c r="M70" s="29" t="n">
        <f aca="false">'Task Breakdown'!Q62</f>
        <v>0</v>
      </c>
      <c r="N70" s="29" t="n">
        <f aca="false">'Task Breakdown'!R62</f>
        <v>0</v>
      </c>
      <c r="O70" s="29" t="n">
        <f aca="false">'Task Breakdown'!S62</f>
        <v>0</v>
      </c>
      <c r="P70" s="29" t="n">
        <f aca="false">'Task Breakdown'!T62</f>
        <v>0</v>
      </c>
      <c r="Q70" s="30" t="n">
        <f aca="false">SUM(E70:P70)</f>
        <v>51</v>
      </c>
      <c r="R70" s="31" t="n">
        <f aca="false">IF($Q$183&gt;0,Q70/$Q$183,0)</f>
        <v>0.0153939028071235</v>
      </c>
    </row>
    <row r="71" customFormat="false" ht="15" hidden="false" customHeight="false" outlineLevel="0" collapsed="false">
      <c r="A71" s="26" t="str">
        <f aca="false">'Task Breakdown'!A63</f>
        <v>PS-1.07.04</v>
      </c>
      <c r="B71" s="27" t="str">
        <f aca="false">'Task Breakdown'!G63</f>
        <v>Install ingress controller, cert-manager and Key Vault CSI driver</v>
      </c>
      <c r="C71" s="28"/>
      <c r="D71" s="28"/>
      <c r="E71" s="29" t="n">
        <f aca="false">'Task Breakdown'!I63</f>
        <v>0</v>
      </c>
      <c r="F71" s="29" t="n">
        <f aca="false">'Task Breakdown'!J63</f>
        <v>0</v>
      </c>
      <c r="G71" s="29" t="n">
        <f aca="false">'Task Breakdown'!K63</f>
        <v>26</v>
      </c>
      <c r="H71" s="29" t="n">
        <f aca="false">'Task Breakdown'!L63</f>
        <v>0</v>
      </c>
      <c r="I71" s="29" t="n">
        <f aca="false">'Task Breakdown'!M63</f>
        <v>0</v>
      </c>
      <c r="J71" s="29" t="n">
        <f aca="false">'Task Breakdown'!N63</f>
        <v>0</v>
      </c>
      <c r="K71" s="29" t="n">
        <f aca="false">'Task Breakdown'!O63</f>
        <v>0</v>
      </c>
      <c r="L71" s="29" t="n">
        <f aca="false">'Task Breakdown'!P63</f>
        <v>0</v>
      </c>
      <c r="M71" s="29" t="n">
        <f aca="false">'Task Breakdown'!Q63</f>
        <v>0</v>
      </c>
      <c r="N71" s="29" t="n">
        <f aca="false">'Task Breakdown'!R63</f>
        <v>0</v>
      </c>
      <c r="O71" s="29" t="n">
        <f aca="false">'Task Breakdown'!S63</f>
        <v>0</v>
      </c>
      <c r="P71" s="29" t="n">
        <f aca="false">'Task Breakdown'!T63</f>
        <v>0</v>
      </c>
      <c r="Q71" s="30" t="n">
        <f aca="false">SUM(E71:P71)</f>
        <v>26</v>
      </c>
      <c r="R71" s="31" t="n">
        <f aca="false">IF($Q$183&gt;0,Q71/$Q$183,0)</f>
        <v>0.00784787201931784</v>
      </c>
    </row>
    <row r="72" customFormat="false" ht="15" hidden="false" customHeight="false" outlineLevel="0" collapsed="false">
      <c r="A72" s="26" t="str">
        <f aca="false">'Task Breakdown'!A64</f>
        <v>PS-1.07.05</v>
      </c>
      <c r="B72" s="27" t="str">
        <f aca="false">'Task Breakdown'!G64</f>
        <v>Deploy Container Apps environment inside the VNet</v>
      </c>
      <c r="C72" s="28"/>
      <c r="D72" s="28"/>
      <c r="E72" s="29" t="n">
        <f aca="false">'Task Breakdown'!I64</f>
        <v>0</v>
      </c>
      <c r="F72" s="29" t="n">
        <f aca="false">'Task Breakdown'!J64</f>
        <v>0</v>
      </c>
      <c r="G72" s="29" t="n">
        <f aca="false">'Task Breakdown'!K64</f>
        <v>20</v>
      </c>
      <c r="H72" s="29" t="n">
        <f aca="false">'Task Breakdown'!L64</f>
        <v>0</v>
      </c>
      <c r="I72" s="29" t="n">
        <f aca="false">'Task Breakdown'!M64</f>
        <v>0</v>
      </c>
      <c r="J72" s="29" t="n">
        <f aca="false">'Task Breakdown'!N64</f>
        <v>0</v>
      </c>
      <c r="K72" s="29" t="n">
        <f aca="false">'Task Breakdown'!O64</f>
        <v>0</v>
      </c>
      <c r="L72" s="29" t="n">
        <f aca="false">'Task Breakdown'!P64</f>
        <v>0</v>
      </c>
      <c r="M72" s="29" t="n">
        <f aca="false">'Task Breakdown'!Q64</f>
        <v>0</v>
      </c>
      <c r="N72" s="29" t="n">
        <f aca="false">'Task Breakdown'!R64</f>
        <v>0</v>
      </c>
      <c r="O72" s="29" t="n">
        <f aca="false">'Task Breakdown'!S64</f>
        <v>0</v>
      </c>
      <c r="P72" s="29" t="n">
        <f aca="false">'Task Breakdown'!T64</f>
        <v>0</v>
      </c>
      <c r="Q72" s="30" t="n">
        <f aca="false">SUM(E72:P72)</f>
        <v>20</v>
      </c>
      <c r="R72" s="31" t="n">
        <f aca="false">IF($Q$183&gt;0,Q72/$Q$183,0)</f>
        <v>0.00603682463024449</v>
      </c>
    </row>
    <row r="73" customFormat="false" ht="15" hidden="false" customHeight="false" outlineLevel="0" collapsed="false">
      <c r="A73" s="26" t="str">
        <f aca="false">'Task Breakdown'!A65</f>
        <v>PS-1.07.06</v>
      </c>
      <c r="B73" s="27" t="str">
        <f aca="false">'Task Breakdown'!G65</f>
        <v>Apply pod security, network policies and Defender for Containers</v>
      </c>
      <c r="C73" s="28"/>
      <c r="D73" s="28"/>
      <c r="E73" s="29" t="n">
        <f aca="false">'Task Breakdown'!I65</f>
        <v>0</v>
      </c>
      <c r="F73" s="29" t="n">
        <f aca="false">'Task Breakdown'!J65</f>
        <v>0</v>
      </c>
      <c r="G73" s="29" t="n">
        <f aca="false">'Task Breakdown'!K65</f>
        <v>10</v>
      </c>
      <c r="H73" s="29" t="n">
        <f aca="false">'Task Breakdown'!L65</f>
        <v>15</v>
      </c>
      <c r="I73" s="29" t="n">
        <f aca="false">'Task Breakdown'!M65</f>
        <v>0</v>
      </c>
      <c r="J73" s="29" t="n">
        <f aca="false">'Task Breakdown'!N65</f>
        <v>0</v>
      </c>
      <c r="K73" s="29" t="n">
        <f aca="false">'Task Breakdown'!O65</f>
        <v>0</v>
      </c>
      <c r="L73" s="29" t="n">
        <f aca="false">'Task Breakdown'!P65</f>
        <v>0</v>
      </c>
      <c r="M73" s="29" t="n">
        <f aca="false">'Task Breakdown'!Q65</f>
        <v>0</v>
      </c>
      <c r="N73" s="29" t="n">
        <f aca="false">'Task Breakdown'!R65</f>
        <v>0</v>
      </c>
      <c r="O73" s="29" t="n">
        <f aca="false">'Task Breakdown'!S65</f>
        <v>0</v>
      </c>
      <c r="P73" s="29" t="n">
        <f aca="false">'Task Breakdown'!T65</f>
        <v>0</v>
      </c>
      <c r="Q73" s="30" t="n">
        <f aca="false">SUM(E73:P73)</f>
        <v>25</v>
      </c>
      <c r="R73" s="31" t="n">
        <f aca="false">IF($Q$183&gt;0,Q73/$Q$183,0)</f>
        <v>0.00754603078780562</v>
      </c>
    </row>
    <row r="74" customFormat="false" ht="15" hidden="false" customHeight="false" outlineLevel="0" collapsed="false">
      <c r="A74" s="26" t="str">
        <f aca="false">'Task Breakdown'!A66</f>
        <v>PS-1.07.07</v>
      </c>
      <c r="B74" s="27" t="str">
        <f aca="false">'Task Breakdown'!G66</f>
        <v>Set up GPU node pool for self-hosted models</v>
      </c>
      <c r="C74" s="28"/>
      <c r="D74" s="28"/>
      <c r="E74" s="29" t="n">
        <f aca="false">'Task Breakdown'!I66</f>
        <v>0</v>
      </c>
      <c r="F74" s="29" t="n">
        <f aca="false">'Task Breakdown'!J66</f>
        <v>5</v>
      </c>
      <c r="G74" s="29" t="n">
        <f aca="false">'Task Breakdown'!K66</f>
        <v>20</v>
      </c>
      <c r="H74" s="29" t="n">
        <f aca="false">'Task Breakdown'!L66</f>
        <v>0</v>
      </c>
      <c r="I74" s="29" t="n">
        <f aca="false">'Task Breakdown'!M66</f>
        <v>0</v>
      </c>
      <c r="J74" s="29" t="n">
        <f aca="false">'Task Breakdown'!N66</f>
        <v>0</v>
      </c>
      <c r="K74" s="29" t="n">
        <f aca="false">'Task Breakdown'!O66</f>
        <v>0</v>
      </c>
      <c r="L74" s="29" t="n">
        <f aca="false">'Task Breakdown'!P66</f>
        <v>0</v>
      </c>
      <c r="M74" s="29" t="n">
        <f aca="false">'Task Breakdown'!Q66</f>
        <v>0</v>
      </c>
      <c r="N74" s="29" t="n">
        <f aca="false">'Task Breakdown'!R66</f>
        <v>0</v>
      </c>
      <c r="O74" s="29" t="n">
        <f aca="false">'Task Breakdown'!S66</f>
        <v>0</v>
      </c>
      <c r="P74" s="29" t="n">
        <f aca="false">'Task Breakdown'!T66</f>
        <v>0</v>
      </c>
      <c r="Q74" s="30" t="n">
        <f aca="false">SUM(E74:P74)</f>
        <v>25</v>
      </c>
      <c r="R74" s="31" t="n">
        <f aca="false">IF($Q$183&gt;0,Q74/$Q$183,0)</f>
        <v>0.00754603078780562</v>
      </c>
    </row>
    <row r="75" customFormat="false" ht="15" hidden="false" customHeight="false" outlineLevel="0" collapsed="false">
      <c r="A75" s="26" t="str">
        <f aca="false">'Task Breakdown'!A67</f>
        <v>PS-1.07.08</v>
      </c>
      <c r="B75" s="27" t="str">
        <f aca="false">'Task Breakdown'!G67</f>
        <v>Detailed design and design review</v>
      </c>
      <c r="C75" s="28"/>
      <c r="D75" s="28"/>
      <c r="E75" s="29" t="n">
        <f aca="false">'Task Breakdown'!I67</f>
        <v>0</v>
      </c>
      <c r="F75" s="29" t="n">
        <f aca="false">'Task Breakdown'!J67</f>
        <v>11</v>
      </c>
      <c r="G75" s="29" t="n">
        <f aca="false">'Task Breakdown'!K67</f>
        <v>0</v>
      </c>
      <c r="H75" s="29" t="n">
        <f aca="false">'Task Breakdown'!L67</f>
        <v>0</v>
      </c>
      <c r="I75" s="29" t="n">
        <f aca="false">'Task Breakdown'!M67</f>
        <v>0</v>
      </c>
      <c r="J75" s="29" t="n">
        <f aca="false">'Task Breakdown'!N67</f>
        <v>0</v>
      </c>
      <c r="K75" s="29" t="n">
        <f aca="false">'Task Breakdown'!O67</f>
        <v>0</v>
      </c>
      <c r="L75" s="29" t="n">
        <f aca="false">'Task Breakdown'!P67</f>
        <v>0</v>
      </c>
      <c r="M75" s="29" t="n">
        <f aca="false">'Task Breakdown'!Q67</f>
        <v>0</v>
      </c>
      <c r="N75" s="29" t="n">
        <f aca="false">'Task Breakdown'!R67</f>
        <v>0</v>
      </c>
      <c r="O75" s="29" t="n">
        <f aca="false">'Task Breakdown'!S67</f>
        <v>0</v>
      </c>
      <c r="P75" s="29" t="n">
        <f aca="false">'Task Breakdown'!T67</f>
        <v>0</v>
      </c>
      <c r="Q75" s="30" t="n">
        <f aca="false">SUM(E75:P75)</f>
        <v>11</v>
      </c>
      <c r="R75" s="31" t="n">
        <f aca="false">IF($Q$183&gt;0,Q75/$Q$183,0)</f>
        <v>0.00332025354663447</v>
      </c>
    </row>
    <row r="76" customFormat="false" ht="15" hidden="false" customHeight="false" outlineLevel="0" collapsed="false">
      <c r="A76" s="26" t="str">
        <f aca="false">'Task Breakdown'!A68</f>
        <v>PS-1.07.09</v>
      </c>
      <c r="B76" s="27" t="str">
        <f aca="false">'Task Breakdown'!G68</f>
        <v>Promote through dev / test / prod and release</v>
      </c>
      <c r="C76" s="28"/>
      <c r="D76" s="28"/>
      <c r="E76" s="29" t="n">
        <f aca="false">'Task Breakdown'!I68</f>
        <v>0</v>
      </c>
      <c r="F76" s="29" t="n">
        <f aca="false">'Task Breakdown'!J68</f>
        <v>0</v>
      </c>
      <c r="G76" s="29" t="n">
        <f aca="false">'Task Breakdown'!K68</f>
        <v>7</v>
      </c>
      <c r="H76" s="29" t="n">
        <f aca="false">'Task Breakdown'!L68</f>
        <v>0</v>
      </c>
      <c r="I76" s="29" t="n">
        <f aca="false">'Task Breakdown'!M68</f>
        <v>0</v>
      </c>
      <c r="J76" s="29" t="n">
        <f aca="false">'Task Breakdown'!N68</f>
        <v>0</v>
      </c>
      <c r="K76" s="29" t="n">
        <f aca="false">'Task Breakdown'!O68</f>
        <v>0</v>
      </c>
      <c r="L76" s="29" t="n">
        <f aca="false">'Task Breakdown'!P68</f>
        <v>0</v>
      </c>
      <c r="M76" s="29" t="n">
        <f aca="false">'Task Breakdown'!Q68</f>
        <v>0</v>
      </c>
      <c r="N76" s="29" t="n">
        <f aca="false">'Task Breakdown'!R68</f>
        <v>0</v>
      </c>
      <c r="O76" s="29" t="n">
        <f aca="false">'Task Breakdown'!S68</f>
        <v>0</v>
      </c>
      <c r="P76" s="29" t="n">
        <f aca="false">'Task Breakdown'!T68</f>
        <v>0</v>
      </c>
      <c r="Q76" s="30" t="n">
        <f aca="false">SUM(E76:P76)</f>
        <v>7</v>
      </c>
      <c r="R76" s="31" t="n">
        <f aca="false">IF($Q$183&gt;0,Q76/$Q$183,0)</f>
        <v>0.00211288862058557</v>
      </c>
    </row>
    <row r="77" customFormat="false" ht="15" hidden="false" customHeight="false" outlineLevel="0" collapsed="false">
      <c r="A77" s="26" t="str">
        <f aca="false">'Task Breakdown'!A69</f>
        <v>PS-1.07.10</v>
      </c>
      <c r="B77" s="27" t="str">
        <f aca="false">'Task Breakdown'!G69</f>
        <v>Documentation, runbook and knowledge transfer</v>
      </c>
      <c r="C77" s="28"/>
      <c r="D77" s="28"/>
      <c r="E77" s="29" t="n">
        <f aca="false">'Task Breakdown'!I69</f>
        <v>0</v>
      </c>
      <c r="F77" s="29" t="n">
        <f aca="false">'Task Breakdown'!J69</f>
        <v>0</v>
      </c>
      <c r="G77" s="29" t="n">
        <f aca="false">'Task Breakdown'!K69</f>
        <v>7</v>
      </c>
      <c r="H77" s="29" t="n">
        <f aca="false">'Task Breakdown'!L69</f>
        <v>0</v>
      </c>
      <c r="I77" s="29" t="n">
        <f aca="false">'Task Breakdown'!M69</f>
        <v>0</v>
      </c>
      <c r="J77" s="29" t="n">
        <f aca="false">'Task Breakdown'!N69</f>
        <v>0</v>
      </c>
      <c r="K77" s="29" t="n">
        <f aca="false">'Task Breakdown'!O69</f>
        <v>0</v>
      </c>
      <c r="L77" s="29" t="n">
        <f aca="false">'Task Breakdown'!P69</f>
        <v>0</v>
      </c>
      <c r="M77" s="29" t="n">
        <f aca="false">'Task Breakdown'!Q69</f>
        <v>0</v>
      </c>
      <c r="N77" s="29" t="n">
        <f aca="false">'Task Breakdown'!R69</f>
        <v>0</v>
      </c>
      <c r="O77" s="29" t="n">
        <f aca="false">'Task Breakdown'!S69</f>
        <v>0</v>
      </c>
      <c r="P77" s="29" t="n">
        <f aca="false">'Task Breakdown'!T69</f>
        <v>0</v>
      </c>
      <c r="Q77" s="30" t="n">
        <f aca="false">SUM(E77:P77)</f>
        <v>7</v>
      </c>
      <c r="R77" s="31" t="n">
        <f aca="false">IF($Q$183&gt;0,Q77/$Q$183,0)</f>
        <v>0.00211288862058557</v>
      </c>
    </row>
    <row r="78" customFormat="false" ht="15" hidden="false" customHeight="false" outlineLevel="0" collapsed="false">
      <c r="A78" s="26" t="str">
        <f aca="false">'Task Breakdown'!A70</f>
        <v>PS-1.07.11</v>
      </c>
      <c r="B78" s="27" t="str">
        <f aca="false">'Task Breakdown'!G70</f>
        <v>Defect fixing and rework after testing</v>
      </c>
      <c r="C78" s="28"/>
      <c r="D78" s="28"/>
      <c r="E78" s="29" t="n">
        <f aca="false">'Task Breakdown'!I70</f>
        <v>0</v>
      </c>
      <c r="F78" s="29" t="n">
        <f aca="false">'Task Breakdown'!J70</f>
        <v>0</v>
      </c>
      <c r="G78" s="29" t="n">
        <f aca="false">'Task Breakdown'!K70</f>
        <v>15</v>
      </c>
      <c r="H78" s="29" t="n">
        <f aca="false">'Task Breakdown'!L70</f>
        <v>0</v>
      </c>
      <c r="I78" s="29" t="n">
        <f aca="false">'Task Breakdown'!M70</f>
        <v>0</v>
      </c>
      <c r="J78" s="29" t="n">
        <f aca="false">'Task Breakdown'!N70</f>
        <v>0</v>
      </c>
      <c r="K78" s="29" t="n">
        <f aca="false">'Task Breakdown'!O70</f>
        <v>0</v>
      </c>
      <c r="L78" s="29" t="n">
        <f aca="false">'Task Breakdown'!P70</f>
        <v>0</v>
      </c>
      <c r="M78" s="29" t="n">
        <f aca="false">'Task Breakdown'!Q70</f>
        <v>0</v>
      </c>
      <c r="N78" s="29" t="n">
        <f aca="false">'Task Breakdown'!R70</f>
        <v>0</v>
      </c>
      <c r="O78" s="29" t="n">
        <f aca="false">'Task Breakdown'!S70</f>
        <v>0</v>
      </c>
      <c r="P78" s="29" t="n">
        <f aca="false">'Task Breakdown'!T70</f>
        <v>0</v>
      </c>
      <c r="Q78" s="30" t="n">
        <f aca="false">SUM(E78:P78)</f>
        <v>15</v>
      </c>
      <c r="R78" s="31" t="n">
        <f aca="false">IF($Q$183&gt;0,Q78/$Q$183,0)</f>
        <v>0.00452761847268337</v>
      </c>
    </row>
    <row r="79" customFormat="false" ht="15" hidden="false" customHeight="false" outlineLevel="0" collapsed="false">
      <c r="A79" s="9"/>
      <c r="B79" s="10" t="s">
        <v>119</v>
      </c>
      <c r="C79" s="9"/>
      <c r="D79" s="9"/>
      <c r="E79" s="32" t="n">
        <f aca="false">E6+E19+E28+E36+E44+E55+E67</f>
        <v>0</v>
      </c>
      <c r="F79" s="32" t="n">
        <f aca="false">F6+F19+F28+F36+F44+F55+F67</f>
        <v>239</v>
      </c>
      <c r="G79" s="32" t="n">
        <f aca="false">G6+G19+G28+G36+G44+G55+G67</f>
        <v>791</v>
      </c>
      <c r="H79" s="32" t="n">
        <f aca="false">H6+H19+H28+H36+H44+H55+H67</f>
        <v>306</v>
      </c>
      <c r="I79" s="32" t="n">
        <f aca="false">I6+I19+I28+I36+I44+I55+I67</f>
        <v>0</v>
      </c>
      <c r="J79" s="32" t="n">
        <f aca="false">J6+J19+J28+J36+J44+J55+J67</f>
        <v>0</v>
      </c>
      <c r="K79" s="32" t="n">
        <f aca="false">K6+K19+K28+K36+K44+K55+K67</f>
        <v>0</v>
      </c>
      <c r="L79" s="32" t="n">
        <f aca="false">L6+L19+L28+L36+L44+L55+L67</f>
        <v>0</v>
      </c>
      <c r="M79" s="32" t="n">
        <f aca="false">M6+M19+M28+M36+M44+M55+M67</f>
        <v>0</v>
      </c>
      <c r="N79" s="32" t="n">
        <f aca="false">N6+N19+N28+N36+N44+N55+N67</f>
        <v>20</v>
      </c>
      <c r="O79" s="32" t="n">
        <f aca="false">O6+O19+O28+O36+O44+O55+O67</f>
        <v>76</v>
      </c>
      <c r="P79" s="32" t="n">
        <f aca="false">P6+P19+P28+P36+P44+P55+P67</f>
        <v>0</v>
      </c>
      <c r="Q79" s="32" t="n">
        <f aca="false">Q6+Q19+Q28+Q36+Q44+Q55+Q67</f>
        <v>1432</v>
      </c>
      <c r="R79" s="33" t="n">
        <f aca="false">IF($Q$183&gt;0,Q79/$Q$183,0)</f>
        <v>0.432236643525506</v>
      </c>
    </row>
    <row r="81" customFormat="false" ht="15" hidden="false" customHeight="false" outlineLevel="0" collapsed="false">
      <c r="A81" s="21" t="s">
        <v>120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</row>
    <row r="82" customFormat="false" ht="23.85" hidden="false" customHeight="false" outlineLevel="0" collapsed="false">
      <c r="A82" s="23" t="s">
        <v>121</v>
      </c>
      <c r="B82" s="23" t="s">
        <v>122</v>
      </c>
      <c r="C82" s="23" t="s">
        <v>44</v>
      </c>
      <c r="D82" s="23" t="s">
        <v>123</v>
      </c>
      <c r="E82" s="24" t="n">
        <f aca="false">SUM(E83:E88)</f>
        <v>0</v>
      </c>
      <c r="F82" s="24" t="n">
        <f aca="false">SUM(F83:F88)</f>
        <v>0</v>
      </c>
      <c r="G82" s="24" t="n">
        <f aca="false">SUM(G83:G88)</f>
        <v>0</v>
      </c>
      <c r="H82" s="24" t="n">
        <f aca="false">SUM(H83:H88)</f>
        <v>0</v>
      </c>
      <c r="I82" s="24" t="n">
        <f aca="false">SUM(I83:I88)</f>
        <v>0</v>
      </c>
      <c r="J82" s="24" t="n">
        <f aca="false">SUM(J83:J88)</f>
        <v>0</v>
      </c>
      <c r="K82" s="24" t="n">
        <f aca="false">SUM(K83:K88)</f>
        <v>49</v>
      </c>
      <c r="L82" s="24" t="n">
        <f aca="false">SUM(L83:L88)</f>
        <v>87</v>
      </c>
      <c r="M82" s="24" t="n">
        <f aca="false">SUM(M83:M88)</f>
        <v>0</v>
      </c>
      <c r="N82" s="24" t="n">
        <f aca="false">SUM(N83:N88)</f>
        <v>82</v>
      </c>
      <c r="O82" s="24" t="n">
        <f aca="false">SUM(O83:O88)</f>
        <v>0</v>
      </c>
      <c r="P82" s="24" t="n">
        <f aca="false">SUM(P83:P88)</f>
        <v>0</v>
      </c>
      <c r="Q82" s="24" t="n">
        <f aca="false">SUM(Q83:Q88)</f>
        <v>218</v>
      </c>
      <c r="R82" s="25" t="n">
        <f aca="false">IF($Q$183&gt;0,Q82/$Q$183,0)</f>
        <v>0.065801388469665</v>
      </c>
    </row>
    <row r="83" customFormat="false" ht="23.85" hidden="false" customHeight="false" outlineLevel="0" collapsed="false">
      <c r="A83" s="26" t="str">
        <f aca="false">'Task Breakdown'!A258</f>
        <v>DR-1.01.01</v>
      </c>
      <c r="B83" s="27" t="str">
        <f aca="false">'Task Breakdown'!G258</f>
        <v>Run workshops with SAP, MES, AVEVA PI, SharePoint and Coupa owners</v>
      </c>
      <c r="C83" s="28"/>
      <c r="D83" s="28"/>
      <c r="E83" s="29" t="n">
        <f aca="false">'Task Breakdown'!I258</f>
        <v>0</v>
      </c>
      <c r="F83" s="29" t="n">
        <f aca="false">'Task Breakdown'!J258</f>
        <v>0</v>
      </c>
      <c r="G83" s="29" t="n">
        <f aca="false">'Task Breakdown'!K258</f>
        <v>0</v>
      </c>
      <c r="H83" s="29" t="n">
        <f aca="false">'Task Breakdown'!L258</f>
        <v>0</v>
      </c>
      <c r="I83" s="29" t="n">
        <f aca="false">'Task Breakdown'!M258</f>
        <v>0</v>
      </c>
      <c r="J83" s="29" t="n">
        <f aca="false">'Task Breakdown'!N258</f>
        <v>0</v>
      </c>
      <c r="K83" s="29" t="n">
        <f aca="false">'Task Breakdown'!O258</f>
        <v>0</v>
      </c>
      <c r="L83" s="29" t="n">
        <f aca="false">'Task Breakdown'!P258</f>
        <v>25</v>
      </c>
      <c r="M83" s="29" t="n">
        <f aca="false">'Task Breakdown'!Q258</f>
        <v>0</v>
      </c>
      <c r="N83" s="29" t="n">
        <f aca="false">'Task Breakdown'!R258</f>
        <v>49</v>
      </c>
      <c r="O83" s="29" t="n">
        <f aca="false">'Task Breakdown'!S258</f>
        <v>0</v>
      </c>
      <c r="P83" s="29" t="n">
        <f aca="false">'Task Breakdown'!T258</f>
        <v>0</v>
      </c>
      <c r="Q83" s="30" t="n">
        <f aca="false">SUM(E83:P83)</f>
        <v>74</v>
      </c>
      <c r="R83" s="31" t="n">
        <f aca="false">IF($Q$183&gt;0,Q83/$Q$183,0)</f>
        <v>0.0223362511319046</v>
      </c>
    </row>
    <row r="84" customFormat="false" ht="15" hidden="false" customHeight="false" outlineLevel="0" collapsed="false">
      <c r="A84" s="26" t="str">
        <f aca="false">'Task Breakdown'!A259</f>
        <v>DR-1.01.02</v>
      </c>
      <c r="B84" s="27" t="str">
        <f aca="false">'Task Breakdown'!G259</f>
        <v>Document systems, tables, volumes, refresh rates and access methods</v>
      </c>
      <c r="C84" s="28"/>
      <c r="D84" s="28"/>
      <c r="E84" s="29" t="n">
        <f aca="false">'Task Breakdown'!I259</f>
        <v>0</v>
      </c>
      <c r="F84" s="29" t="n">
        <f aca="false">'Task Breakdown'!J259</f>
        <v>0</v>
      </c>
      <c r="G84" s="29" t="n">
        <f aca="false">'Task Breakdown'!K259</f>
        <v>0</v>
      </c>
      <c r="H84" s="29" t="n">
        <f aca="false">'Task Breakdown'!L259</f>
        <v>0</v>
      </c>
      <c r="I84" s="29" t="n">
        <f aca="false">'Task Breakdown'!M259</f>
        <v>0</v>
      </c>
      <c r="J84" s="29" t="n">
        <f aca="false">'Task Breakdown'!N259</f>
        <v>0</v>
      </c>
      <c r="K84" s="29" t="n">
        <f aca="false">'Task Breakdown'!O259</f>
        <v>37</v>
      </c>
      <c r="L84" s="29" t="n">
        <f aca="false">'Task Breakdown'!P259</f>
        <v>25</v>
      </c>
      <c r="M84" s="29" t="n">
        <f aca="false">'Task Breakdown'!Q259</f>
        <v>0</v>
      </c>
      <c r="N84" s="29" t="n">
        <f aca="false">'Task Breakdown'!R259</f>
        <v>0</v>
      </c>
      <c r="O84" s="29" t="n">
        <f aca="false">'Task Breakdown'!S259</f>
        <v>0</v>
      </c>
      <c r="P84" s="29" t="n">
        <f aca="false">'Task Breakdown'!T259</f>
        <v>0</v>
      </c>
      <c r="Q84" s="30" t="n">
        <f aca="false">SUM(E84:P84)</f>
        <v>62</v>
      </c>
      <c r="R84" s="31" t="n">
        <f aca="false">IF($Q$183&gt;0,Q84/$Q$183,0)</f>
        <v>0.0187141563537579</v>
      </c>
    </row>
    <row r="85" customFormat="false" ht="15" hidden="false" customHeight="false" outlineLevel="0" collapsed="false">
      <c r="A85" s="26" t="str">
        <f aca="false">'Task Breakdown'!A260</f>
        <v>DR-1.01.03</v>
      </c>
      <c r="B85" s="27" t="str">
        <f aca="false">'Task Breakdown'!G260</f>
        <v>Identify document repositories (specs, SOPs, quality records)</v>
      </c>
      <c r="C85" s="28"/>
      <c r="D85" s="28"/>
      <c r="E85" s="29" t="n">
        <f aca="false">'Task Breakdown'!I260</f>
        <v>0</v>
      </c>
      <c r="F85" s="29" t="n">
        <f aca="false">'Task Breakdown'!J260</f>
        <v>0</v>
      </c>
      <c r="G85" s="29" t="n">
        <f aca="false">'Task Breakdown'!K260</f>
        <v>0</v>
      </c>
      <c r="H85" s="29" t="n">
        <f aca="false">'Task Breakdown'!L260</f>
        <v>0</v>
      </c>
      <c r="I85" s="29" t="n">
        <f aca="false">'Task Breakdown'!M260</f>
        <v>0</v>
      </c>
      <c r="J85" s="29" t="n">
        <f aca="false">'Task Breakdown'!N260</f>
        <v>0</v>
      </c>
      <c r="K85" s="29" t="n">
        <f aca="false">'Task Breakdown'!O260</f>
        <v>12</v>
      </c>
      <c r="L85" s="29" t="n">
        <f aca="false">'Task Breakdown'!P260</f>
        <v>0</v>
      </c>
      <c r="M85" s="29" t="n">
        <f aca="false">'Task Breakdown'!Q260</f>
        <v>0</v>
      </c>
      <c r="N85" s="29" t="n">
        <f aca="false">'Task Breakdown'!R260</f>
        <v>25</v>
      </c>
      <c r="O85" s="29" t="n">
        <f aca="false">'Task Breakdown'!S260</f>
        <v>0</v>
      </c>
      <c r="P85" s="29" t="n">
        <f aca="false">'Task Breakdown'!T260</f>
        <v>0</v>
      </c>
      <c r="Q85" s="30" t="n">
        <f aca="false">SUM(E85:P85)</f>
        <v>37</v>
      </c>
      <c r="R85" s="31" t="n">
        <f aca="false">IF($Q$183&gt;0,Q85/$Q$183,0)</f>
        <v>0.0111681255659523</v>
      </c>
    </row>
    <row r="86" customFormat="false" ht="15" hidden="false" customHeight="false" outlineLevel="0" collapsed="false">
      <c r="A86" s="26" t="str">
        <f aca="false">'Task Breakdown'!A261</f>
        <v>DR-1.01.04</v>
      </c>
      <c r="B86" s="27" t="str">
        <f aca="false">'Task Breakdown'!G261</f>
        <v>Build the data source register</v>
      </c>
      <c r="C86" s="28"/>
      <c r="D86" s="28"/>
      <c r="E86" s="29" t="n">
        <f aca="false">'Task Breakdown'!I261</f>
        <v>0</v>
      </c>
      <c r="F86" s="29" t="n">
        <f aca="false">'Task Breakdown'!J261</f>
        <v>0</v>
      </c>
      <c r="G86" s="29" t="n">
        <f aca="false">'Task Breakdown'!K261</f>
        <v>0</v>
      </c>
      <c r="H86" s="29" t="n">
        <f aca="false">'Task Breakdown'!L261</f>
        <v>0</v>
      </c>
      <c r="I86" s="29" t="n">
        <f aca="false">'Task Breakdown'!M261</f>
        <v>0</v>
      </c>
      <c r="J86" s="29" t="n">
        <f aca="false">'Task Breakdown'!N261</f>
        <v>0</v>
      </c>
      <c r="K86" s="29" t="n">
        <f aca="false">'Task Breakdown'!O261</f>
        <v>0</v>
      </c>
      <c r="L86" s="29" t="n">
        <f aca="false">'Task Breakdown'!P261</f>
        <v>25</v>
      </c>
      <c r="M86" s="29" t="n">
        <f aca="false">'Task Breakdown'!Q261</f>
        <v>0</v>
      </c>
      <c r="N86" s="29" t="n">
        <f aca="false">'Task Breakdown'!R261</f>
        <v>0</v>
      </c>
      <c r="O86" s="29" t="n">
        <f aca="false">'Task Breakdown'!S261</f>
        <v>0</v>
      </c>
      <c r="P86" s="29" t="n">
        <f aca="false">'Task Breakdown'!T261</f>
        <v>0</v>
      </c>
      <c r="Q86" s="30" t="n">
        <f aca="false">SUM(E86:P86)</f>
        <v>25</v>
      </c>
      <c r="R86" s="31" t="n">
        <f aca="false">IF($Q$183&gt;0,Q86/$Q$183,0)</f>
        <v>0.00754603078780562</v>
      </c>
    </row>
    <row r="87" customFormat="false" ht="15" hidden="false" customHeight="false" outlineLevel="0" collapsed="false">
      <c r="A87" s="26" t="str">
        <f aca="false">'Task Breakdown'!A262</f>
        <v>DR-1.01.05</v>
      </c>
      <c r="B87" s="27" t="str">
        <f aca="false">'Task Breakdown'!G262</f>
        <v>Detailed design and design review</v>
      </c>
      <c r="C87" s="28"/>
      <c r="D87" s="28"/>
      <c r="E87" s="29" t="n">
        <f aca="false">'Task Breakdown'!I262</f>
        <v>0</v>
      </c>
      <c r="F87" s="29" t="n">
        <f aca="false">'Task Breakdown'!J262</f>
        <v>0</v>
      </c>
      <c r="G87" s="29" t="n">
        <f aca="false">'Task Breakdown'!K262</f>
        <v>0</v>
      </c>
      <c r="H87" s="29" t="n">
        <f aca="false">'Task Breakdown'!L262</f>
        <v>0</v>
      </c>
      <c r="I87" s="29" t="n">
        <f aca="false">'Task Breakdown'!M262</f>
        <v>0</v>
      </c>
      <c r="J87" s="29" t="n">
        <f aca="false">'Task Breakdown'!N262</f>
        <v>0</v>
      </c>
      <c r="K87" s="29" t="n">
        <f aca="false">'Task Breakdown'!O262</f>
        <v>0</v>
      </c>
      <c r="L87" s="29" t="n">
        <f aca="false">'Task Breakdown'!P262</f>
        <v>12</v>
      </c>
      <c r="M87" s="29" t="n">
        <f aca="false">'Task Breakdown'!Q262</f>
        <v>0</v>
      </c>
      <c r="N87" s="29" t="n">
        <f aca="false">'Task Breakdown'!R262</f>
        <v>0</v>
      </c>
      <c r="O87" s="29" t="n">
        <f aca="false">'Task Breakdown'!S262</f>
        <v>0</v>
      </c>
      <c r="P87" s="29" t="n">
        <f aca="false">'Task Breakdown'!T262</f>
        <v>0</v>
      </c>
      <c r="Q87" s="30" t="n">
        <f aca="false">SUM(E87:P87)</f>
        <v>12</v>
      </c>
      <c r="R87" s="31" t="n">
        <f aca="false">IF($Q$183&gt;0,Q87/$Q$183,0)</f>
        <v>0.0036220947781467</v>
      </c>
    </row>
    <row r="88" customFormat="false" ht="15" hidden="false" customHeight="false" outlineLevel="0" collapsed="false">
      <c r="A88" s="26" t="str">
        <f aca="false">'Task Breakdown'!A263</f>
        <v>DR-1.01.06</v>
      </c>
      <c r="B88" s="27" t="str">
        <f aca="false">'Task Breakdown'!G263</f>
        <v>Documentation, runbook and knowledge transfer</v>
      </c>
      <c r="C88" s="28"/>
      <c r="D88" s="28"/>
      <c r="E88" s="29" t="n">
        <f aca="false">'Task Breakdown'!I263</f>
        <v>0</v>
      </c>
      <c r="F88" s="29" t="n">
        <f aca="false">'Task Breakdown'!J263</f>
        <v>0</v>
      </c>
      <c r="G88" s="29" t="n">
        <f aca="false">'Task Breakdown'!K263</f>
        <v>0</v>
      </c>
      <c r="H88" s="29" t="n">
        <f aca="false">'Task Breakdown'!L263</f>
        <v>0</v>
      </c>
      <c r="I88" s="29" t="n">
        <f aca="false">'Task Breakdown'!M263</f>
        <v>0</v>
      </c>
      <c r="J88" s="29" t="n">
        <f aca="false">'Task Breakdown'!N263</f>
        <v>0</v>
      </c>
      <c r="K88" s="29" t="n">
        <f aca="false">'Task Breakdown'!O263</f>
        <v>0</v>
      </c>
      <c r="L88" s="29" t="n">
        <f aca="false">'Task Breakdown'!P263</f>
        <v>0</v>
      </c>
      <c r="M88" s="29" t="n">
        <f aca="false">'Task Breakdown'!Q263</f>
        <v>0</v>
      </c>
      <c r="N88" s="29" t="n">
        <f aca="false">'Task Breakdown'!R263</f>
        <v>8</v>
      </c>
      <c r="O88" s="29" t="n">
        <f aca="false">'Task Breakdown'!S263</f>
        <v>0</v>
      </c>
      <c r="P88" s="29" t="n">
        <f aca="false">'Task Breakdown'!T263</f>
        <v>0</v>
      </c>
      <c r="Q88" s="30" t="n">
        <f aca="false">SUM(E88:P88)</f>
        <v>8</v>
      </c>
      <c r="R88" s="31" t="n">
        <f aca="false">IF($Q$183&gt;0,Q88/$Q$183,0)</f>
        <v>0.0024147298520978</v>
      </c>
    </row>
    <row r="89" customFormat="false" ht="15" hidden="false" customHeight="false" outlineLevel="0" collapsed="false">
      <c r="A89" s="23" t="s">
        <v>124</v>
      </c>
      <c r="B89" s="23" t="s">
        <v>125</v>
      </c>
      <c r="C89" s="23" t="s">
        <v>44</v>
      </c>
      <c r="D89" s="23" t="s">
        <v>126</v>
      </c>
      <c r="E89" s="24" t="n">
        <f aca="false">SUM(E90:E96)</f>
        <v>0</v>
      </c>
      <c r="F89" s="24" t="n">
        <f aca="false">SUM(F90:F96)</f>
        <v>0</v>
      </c>
      <c r="G89" s="24" t="n">
        <f aca="false">SUM(G90:G96)</f>
        <v>0</v>
      </c>
      <c r="H89" s="24" t="n">
        <f aca="false">SUM(H90:H96)</f>
        <v>40</v>
      </c>
      <c r="I89" s="24" t="n">
        <f aca="false">SUM(I90:I96)</f>
        <v>0</v>
      </c>
      <c r="J89" s="24" t="n">
        <f aca="false">SUM(J90:J96)</f>
        <v>0</v>
      </c>
      <c r="K89" s="24" t="n">
        <f aca="false">SUM(K90:K96)</f>
        <v>20</v>
      </c>
      <c r="L89" s="24" t="n">
        <f aca="false">SUM(L90:L96)</f>
        <v>96</v>
      </c>
      <c r="M89" s="24" t="n">
        <f aca="false">SUM(M90:M96)</f>
        <v>0</v>
      </c>
      <c r="N89" s="24" t="n">
        <f aca="false">SUM(N90:N96)</f>
        <v>0</v>
      </c>
      <c r="O89" s="24" t="n">
        <f aca="false">SUM(O90:O96)</f>
        <v>0</v>
      </c>
      <c r="P89" s="24" t="n">
        <f aca="false">SUM(P90:P96)</f>
        <v>0</v>
      </c>
      <c r="Q89" s="24" t="n">
        <f aca="false">SUM(Q90:Q96)</f>
        <v>156</v>
      </c>
      <c r="R89" s="25" t="n">
        <f aca="false">IF($Q$183&gt;0,Q89/$Q$183,0)</f>
        <v>0.047087232115907</v>
      </c>
    </row>
    <row r="90" customFormat="false" ht="15" hidden="false" customHeight="false" outlineLevel="0" collapsed="false">
      <c r="A90" s="26" t="str">
        <f aca="false">'Task Breakdown'!A264</f>
        <v>DR-1.02.01</v>
      </c>
      <c r="B90" s="27" t="str">
        <f aca="false">'Task Breakdown'!G264</f>
        <v>Define classification scheme (public, internal, confidential, restricted)</v>
      </c>
      <c r="C90" s="28"/>
      <c r="D90" s="28"/>
      <c r="E90" s="29" t="n">
        <f aca="false">'Task Breakdown'!I264</f>
        <v>0</v>
      </c>
      <c r="F90" s="29" t="n">
        <f aca="false">'Task Breakdown'!J264</f>
        <v>0</v>
      </c>
      <c r="G90" s="29" t="n">
        <f aca="false">'Task Breakdown'!K264</f>
        <v>0</v>
      </c>
      <c r="H90" s="29" t="n">
        <f aca="false">'Task Breakdown'!L264</f>
        <v>10</v>
      </c>
      <c r="I90" s="29" t="n">
        <f aca="false">'Task Breakdown'!M264</f>
        <v>0</v>
      </c>
      <c r="J90" s="29" t="n">
        <f aca="false">'Task Breakdown'!N264</f>
        <v>0</v>
      </c>
      <c r="K90" s="29" t="n">
        <f aca="false">'Task Breakdown'!O264</f>
        <v>0</v>
      </c>
      <c r="L90" s="29" t="n">
        <f aca="false">'Task Breakdown'!P264</f>
        <v>20</v>
      </c>
      <c r="M90" s="29" t="n">
        <f aca="false">'Task Breakdown'!Q264</f>
        <v>0</v>
      </c>
      <c r="N90" s="29" t="n">
        <f aca="false">'Task Breakdown'!R264</f>
        <v>0</v>
      </c>
      <c r="O90" s="29" t="n">
        <f aca="false">'Task Breakdown'!S264</f>
        <v>0</v>
      </c>
      <c r="P90" s="29" t="n">
        <f aca="false">'Task Breakdown'!T264</f>
        <v>0</v>
      </c>
      <c r="Q90" s="30" t="n">
        <f aca="false">SUM(E90:P90)</f>
        <v>30</v>
      </c>
      <c r="R90" s="31" t="n">
        <f aca="false">IF($Q$183&gt;0,Q90/$Q$183,0)</f>
        <v>0.00905523694536674</v>
      </c>
    </row>
    <row r="91" customFormat="false" ht="15" hidden="false" customHeight="false" outlineLevel="0" collapsed="false">
      <c r="A91" s="26" t="str">
        <f aca="false">'Task Breakdown'!A265</f>
        <v>DR-1.02.02</v>
      </c>
      <c r="B91" s="27" t="str">
        <f aca="false">'Task Breakdown'!G265</f>
        <v>Run Purview automated classification scans</v>
      </c>
      <c r="C91" s="28"/>
      <c r="D91" s="28"/>
      <c r="E91" s="29" t="n">
        <f aca="false">'Task Breakdown'!I265</f>
        <v>0</v>
      </c>
      <c r="F91" s="29" t="n">
        <f aca="false">'Task Breakdown'!J265</f>
        <v>0</v>
      </c>
      <c r="G91" s="29" t="n">
        <f aca="false">'Task Breakdown'!K265</f>
        <v>0</v>
      </c>
      <c r="H91" s="29" t="n">
        <f aca="false">'Task Breakdown'!L265</f>
        <v>0</v>
      </c>
      <c r="I91" s="29" t="n">
        <f aca="false">'Task Breakdown'!M265</f>
        <v>0</v>
      </c>
      <c r="J91" s="29" t="n">
        <f aca="false">'Task Breakdown'!N265</f>
        <v>0</v>
      </c>
      <c r="K91" s="29" t="n">
        <f aca="false">'Task Breakdown'!O265</f>
        <v>10</v>
      </c>
      <c r="L91" s="29" t="n">
        <f aca="false">'Task Breakdown'!P265</f>
        <v>20</v>
      </c>
      <c r="M91" s="29" t="n">
        <f aca="false">'Task Breakdown'!Q265</f>
        <v>0</v>
      </c>
      <c r="N91" s="29" t="n">
        <f aca="false">'Task Breakdown'!R265</f>
        <v>0</v>
      </c>
      <c r="O91" s="29" t="n">
        <f aca="false">'Task Breakdown'!S265</f>
        <v>0</v>
      </c>
      <c r="P91" s="29" t="n">
        <f aca="false">'Task Breakdown'!T265</f>
        <v>0</v>
      </c>
      <c r="Q91" s="30" t="n">
        <f aca="false">SUM(E91:P91)</f>
        <v>30</v>
      </c>
      <c r="R91" s="31" t="n">
        <f aca="false">IF($Q$183&gt;0,Q91/$Q$183,0)</f>
        <v>0.00905523694536674</v>
      </c>
    </row>
    <row r="92" customFormat="false" ht="15" hidden="false" customHeight="false" outlineLevel="0" collapsed="false">
      <c r="A92" s="26" t="str">
        <f aca="false">'Task Breakdown'!A266</f>
        <v>DR-1.02.03</v>
      </c>
      <c r="B92" s="27" t="str">
        <f aca="false">'Task Breakdown'!G266</f>
        <v>Review results and tag PII / sensitive columns</v>
      </c>
      <c r="C92" s="28"/>
      <c r="D92" s="28"/>
      <c r="E92" s="29" t="n">
        <f aca="false">'Task Breakdown'!I266</f>
        <v>0</v>
      </c>
      <c r="F92" s="29" t="n">
        <f aca="false">'Task Breakdown'!J266</f>
        <v>0</v>
      </c>
      <c r="G92" s="29" t="n">
        <f aca="false">'Task Breakdown'!K266</f>
        <v>0</v>
      </c>
      <c r="H92" s="29" t="n">
        <f aca="false">'Task Breakdown'!L266</f>
        <v>0</v>
      </c>
      <c r="I92" s="29" t="n">
        <f aca="false">'Task Breakdown'!M266</f>
        <v>0</v>
      </c>
      <c r="J92" s="29" t="n">
        <f aca="false">'Task Breakdown'!N266</f>
        <v>0</v>
      </c>
      <c r="K92" s="29" t="n">
        <f aca="false">'Task Breakdown'!O266</f>
        <v>10</v>
      </c>
      <c r="L92" s="29" t="n">
        <f aca="false">'Task Breakdown'!P266</f>
        <v>31</v>
      </c>
      <c r="M92" s="29" t="n">
        <f aca="false">'Task Breakdown'!Q266</f>
        <v>0</v>
      </c>
      <c r="N92" s="29" t="n">
        <f aca="false">'Task Breakdown'!R266</f>
        <v>0</v>
      </c>
      <c r="O92" s="29" t="n">
        <f aca="false">'Task Breakdown'!S266</f>
        <v>0</v>
      </c>
      <c r="P92" s="29" t="n">
        <f aca="false">'Task Breakdown'!T266</f>
        <v>0</v>
      </c>
      <c r="Q92" s="30" t="n">
        <f aca="false">SUM(E92:P92)</f>
        <v>41</v>
      </c>
      <c r="R92" s="31" t="n">
        <f aca="false">IF($Q$183&gt;0,Q92/$Q$183,0)</f>
        <v>0.0123754904920012</v>
      </c>
    </row>
    <row r="93" customFormat="false" ht="15" hidden="false" customHeight="false" outlineLevel="0" collapsed="false">
      <c r="A93" s="26" t="str">
        <f aca="false">'Task Breakdown'!A267</f>
        <v>DR-1.02.04</v>
      </c>
      <c r="B93" s="27" t="str">
        <f aca="false">'Task Breakdown'!G267</f>
        <v>Define handling rules per class for AI use</v>
      </c>
      <c r="C93" s="28"/>
      <c r="D93" s="28"/>
      <c r="E93" s="29" t="n">
        <f aca="false">'Task Breakdown'!I267</f>
        <v>0</v>
      </c>
      <c r="F93" s="29" t="n">
        <f aca="false">'Task Breakdown'!J267</f>
        <v>0</v>
      </c>
      <c r="G93" s="29" t="n">
        <f aca="false">'Task Breakdown'!K267</f>
        <v>0</v>
      </c>
      <c r="H93" s="29" t="n">
        <f aca="false">'Task Breakdown'!L267</f>
        <v>20</v>
      </c>
      <c r="I93" s="29" t="n">
        <f aca="false">'Task Breakdown'!M267</f>
        <v>0</v>
      </c>
      <c r="J93" s="29" t="n">
        <f aca="false">'Task Breakdown'!N267</f>
        <v>0</v>
      </c>
      <c r="K93" s="29" t="n">
        <f aca="false">'Task Breakdown'!O267</f>
        <v>0</v>
      </c>
      <c r="L93" s="29" t="n">
        <f aca="false">'Task Breakdown'!P267</f>
        <v>10</v>
      </c>
      <c r="M93" s="29" t="n">
        <f aca="false">'Task Breakdown'!Q267</f>
        <v>0</v>
      </c>
      <c r="N93" s="29" t="n">
        <f aca="false">'Task Breakdown'!R267</f>
        <v>0</v>
      </c>
      <c r="O93" s="29" t="n">
        <f aca="false">'Task Breakdown'!S267</f>
        <v>0</v>
      </c>
      <c r="P93" s="29" t="n">
        <f aca="false">'Task Breakdown'!T267</f>
        <v>0</v>
      </c>
      <c r="Q93" s="30" t="n">
        <f aca="false">SUM(E93:P93)</f>
        <v>30</v>
      </c>
      <c r="R93" s="31" t="n">
        <f aca="false">IF($Q$183&gt;0,Q93/$Q$183,0)</f>
        <v>0.00905523694536674</v>
      </c>
    </row>
    <row r="94" customFormat="false" ht="15" hidden="false" customHeight="false" outlineLevel="0" collapsed="false">
      <c r="A94" s="26" t="str">
        <f aca="false">'Task Breakdown'!A268</f>
        <v>DR-1.02.05</v>
      </c>
      <c r="B94" s="27" t="str">
        <f aca="false">'Task Breakdown'!G268</f>
        <v>Apply sensitivity labels to documents</v>
      </c>
      <c r="C94" s="28"/>
      <c r="D94" s="28"/>
      <c r="E94" s="29" t="n">
        <f aca="false">'Task Breakdown'!I268</f>
        <v>0</v>
      </c>
      <c r="F94" s="29" t="n">
        <f aca="false">'Task Breakdown'!J268</f>
        <v>0</v>
      </c>
      <c r="G94" s="29" t="n">
        <f aca="false">'Task Breakdown'!K268</f>
        <v>0</v>
      </c>
      <c r="H94" s="29" t="n">
        <f aca="false">'Task Breakdown'!L268</f>
        <v>10</v>
      </c>
      <c r="I94" s="29" t="n">
        <f aca="false">'Task Breakdown'!M268</f>
        <v>0</v>
      </c>
      <c r="J94" s="29" t="n">
        <f aca="false">'Task Breakdown'!N268</f>
        <v>0</v>
      </c>
      <c r="K94" s="29" t="n">
        <f aca="false">'Task Breakdown'!O268</f>
        <v>0</v>
      </c>
      <c r="L94" s="29" t="n">
        <f aca="false">'Task Breakdown'!P268</f>
        <v>0</v>
      </c>
      <c r="M94" s="29" t="n">
        <f aca="false">'Task Breakdown'!Q268</f>
        <v>0</v>
      </c>
      <c r="N94" s="29" t="n">
        <f aca="false">'Task Breakdown'!R268</f>
        <v>0</v>
      </c>
      <c r="O94" s="29" t="n">
        <f aca="false">'Task Breakdown'!S268</f>
        <v>0</v>
      </c>
      <c r="P94" s="29" t="n">
        <f aca="false">'Task Breakdown'!T268</f>
        <v>0</v>
      </c>
      <c r="Q94" s="30" t="n">
        <f aca="false">SUM(E94:P94)</f>
        <v>10</v>
      </c>
      <c r="R94" s="31" t="n">
        <f aca="false">IF($Q$183&gt;0,Q94/$Q$183,0)</f>
        <v>0.00301841231512225</v>
      </c>
    </row>
    <row r="95" customFormat="false" ht="15" hidden="false" customHeight="false" outlineLevel="0" collapsed="false">
      <c r="A95" s="26" t="str">
        <f aca="false">'Task Breakdown'!A269</f>
        <v>DR-1.02.06</v>
      </c>
      <c r="B95" s="27" t="str">
        <f aca="false">'Task Breakdown'!G269</f>
        <v>Detailed design and design review</v>
      </c>
      <c r="C95" s="28"/>
      <c r="D95" s="28"/>
      <c r="E95" s="29" t="n">
        <f aca="false">'Task Breakdown'!I269</f>
        <v>0</v>
      </c>
      <c r="F95" s="29" t="n">
        <f aca="false">'Task Breakdown'!J269</f>
        <v>0</v>
      </c>
      <c r="G95" s="29" t="n">
        <f aca="false">'Task Breakdown'!K269</f>
        <v>0</v>
      </c>
      <c r="H95" s="29" t="n">
        <f aca="false">'Task Breakdown'!L269</f>
        <v>0</v>
      </c>
      <c r="I95" s="29" t="n">
        <f aca="false">'Task Breakdown'!M269</f>
        <v>0</v>
      </c>
      <c r="J95" s="29" t="n">
        <f aca="false">'Task Breakdown'!N269</f>
        <v>0</v>
      </c>
      <c r="K95" s="29" t="n">
        <f aca="false">'Task Breakdown'!O269</f>
        <v>0</v>
      </c>
      <c r="L95" s="29" t="n">
        <f aca="false">'Task Breakdown'!P269</f>
        <v>9</v>
      </c>
      <c r="M95" s="29" t="n">
        <f aca="false">'Task Breakdown'!Q269</f>
        <v>0</v>
      </c>
      <c r="N95" s="29" t="n">
        <f aca="false">'Task Breakdown'!R269</f>
        <v>0</v>
      </c>
      <c r="O95" s="29" t="n">
        <f aca="false">'Task Breakdown'!S269</f>
        <v>0</v>
      </c>
      <c r="P95" s="29" t="n">
        <f aca="false">'Task Breakdown'!T269</f>
        <v>0</v>
      </c>
      <c r="Q95" s="30" t="n">
        <f aca="false">SUM(E95:P95)</f>
        <v>9</v>
      </c>
      <c r="R95" s="31" t="n">
        <f aca="false">IF($Q$183&gt;0,Q95/$Q$183,0)</f>
        <v>0.00271657108361002</v>
      </c>
    </row>
    <row r="96" customFormat="false" ht="15" hidden="false" customHeight="false" outlineLevel="0" collapsed="false">
      <c r="A96" s="26" t="str">
        <f aca="false">'Task Breakdown'!A270</f>
        <v>DR-1.02.07</v>
      </c>
      <c r="B96" s="27" t="str">
        <f aca="false">'Task Breakdown'!G270</f>
        <v>Documentation, runbook and knowledge transfer</v>
      </c>
      <c r="C96" s="28"/>
      <c r="D96" s="28"/>
      <c r="E96" s="29" t="n">
        <f aca="false">'Task Breakdown'!I270</f>
        <v>0</v>
      </c>
      <c r="F96" s="29" t="n">
        <f aca="false">'Task Breakdown'!J270</f>
        <v>0</v>
      </c>
      <c r="G96" s="29" t="n">
        <f aca="false">'Task Breakdown'!K270</f>
        <v>0</v>
      </c>
      <c r="H96" s="29" t="n">
        <f aca="false">'Task Breakdown'!L270</f>
        <v>0</v>
      </c>
      <c r="I96" s="29" t="n">
        <f aca="false">'Task Breakdown'!M270</f>
        <v>0</v>
      </c>
      <c r="J96" s="29" t="n">
        <f aca="false">'Task Breakdown'!N270</f>
        <v>0</v>
      </c>
      <c r="K96" s="29" t="n">
        <f aca="false">'Task Breakdown'!O270</f>
        <v>0</v>
      </c>
      <c r="L96" s="29" t="n">
        <f aca="false">'Task Breakdown'!P270</f>
        <v>6</v>
      </c>
      <c r="M96" s="29" t="n">
        <f aca="false">'Task Breakdown'!Q270</f>
        <v>0</v>
      </c>
      <c r="N96" s="29" t="n">
        <f aca="false">'Task Breakdown'!R270</f>
        <v>0</v>
      </c>
      <c r="O96" s="29" t="n">
        <f aca="false">'Task Breakdown'!S270</f>
        <v>0</v>
      </c>
      <c r="P96" s="29" t="n">
        <f aca="false">'Task Breakdown'!T270</f>
        <v>0</v>
      </c>
      <c r="Q96" s="30" t="n">
        <f aca="false">SUM(E96:P96)</f>
        <v>6</v>
      </c>
      <c r="R96" s="31" t="n">
        <f aca="false">IF($Q$183&gt;0,Q96/$Q$183,0)</f>
        <v>0.00181104738907335</v>
      </c>
    </row>
    <row r="97" customFormat="false" ht="15" hidden="false" customHeight="false" outlineLevel="0" collapsed="false">
      <c r="A97" s="23" t="s">
        <v>127</v>
      </c>
      <c r="B97" s="23" t="s">
        <v>128</v>
      </c>
      <c r="C97" s="23" t="s">
        <v>44</v>
      </c>
      <c r="D97" s="23" t="s">
        <v>129</v>
      </c>
      <c r="E97" s="24" t="n">
        <f aca="false">SUM(E98:E103)</f>
        <v>16</v>
      </c>
      <c r="F97" s="24" t="n">
        <f aca="false">SUM(F98:F103)</f>
        <v>0</v>
      </c>
      <c r="G97" s="24" t="n">
        <f aca="false">SUM(G98:G103)</f>
        <v>0</v>
      </c>
      <c r="H97" s="24" t="n">
        <f aca="false">SUM(H98:H103)</f>
        <v>0</v>
      </c>
      <c r="I97" s="24" t="n">
        <f aca="false">SUM(I98:I103)</f>
        <v>0</v>
      </c>
      <c r="J97" s="24" t="n">
        <f aca="false">SUM(J98:J103)</f>
        <v>0</v>
      </c>
      <c r="K97" s="24" t="n">
        <f aca="false">SUM(K98:K103)</f>
        <v>0</v>
      </c>
      <c r="L97" s="24" t="n">
        <f aca="false">SUM(L98:L103)</f>
        <v>29</v>
      </c>
      <c r="M97" s="24" t="n">
        <f aca="false">SUM(M98:M103)</f>
        <v>0</v>
      </c>
      <c r="N97" s="24" t="n">
        <f aca="false">SUM(N98:N103)</f>
        <v>27</v>
      </c>
      <c r="O97" s="24" t="n">
        <f aca="false">SUM(O98:O103)</f>
        <v>0</v>
      </c>
      <c r="P97" s="24" t="n">
        <f aca="false">SUM(P98:P103)</f>
        <v>16</v>
      </c>
      <c r="Q97" s="24" t="n">
        <f aca="false">SUM(Q98:Q103)</f>
        <v>88</v>
      </c>
      <c r="R97" s="25" t="n">
        <f aca="false">IF($Q$183&gt;0,Q97/$Q$183,0)</f>
        <v>0.0265620283730758</v>
      </c>
    </row>
    <row r="98" customFormat="false" ht="15" hidden="false" customHeight="false" outlineLevel="0" collapsed="false">
      <c r="A98" s="26" t="str">
        <f aca="false">'Task Breakdown'!A271</f>
        <v>DR-1.03.01</v>
      </c>
      <c r="B98" s="27" t="str">
        <f aca="false">'Task Breakdown'!G271</f>
        <v>Identify owners per domain (production, quality, supply, finance)</v>
      </c>
      <c r="C98" s="28"/>
      <c r="D98" s="28"/>
      <c r="E98" s="29" t="n">
        <f aca="false">'Task Breakdown'!I271</f>
        <v>8</v>
      </c>
      <c r="F98" s="29" t="n">
        <f aca="false">'Task Breakdown'!J271</f>
        <v>0</v>
      </c>
      <c r="G98" s="29" t="n">
        <f aca="false">'Task Breakdown'!K271</f>
        <v>0</v>
      </c>
      <c r="H98" s="29" t="n">
        <f aca="false">'Task Breakdown'!L271</f>
        <v>0</v>
      </c>
      <c r="I98" s="29" t="n">
        <f aca="false">'Task Breakdown'!M271</f>
        <v>0</v>
      </c>
      <c r="J98" s="29" t="n">
        <f aca="false">'Task Breakdown'!N271</f>
        <v>0</v>
      </c>
      <c r="K98" s="29" t="n">
        <f aca="false">'Task Breakdown'!O271</f>
        <v>0</v>
      </c>
      <c r="L98" s="29" t="n">
        <f aca="false">'Task Breakdown'!P271</f>
        <v>0</v>
      </c>
      <c r="M98" s="29" t="n">
        <f aca="false">'Task Breakdown'!Q271</f>
        <v>0</v>
      </c>
      <c r="N98" s="29" t="n">
        <f aca="false">'Task Breakdown'!R271</f>
        <v>12</v>
      </c>
      <c r="O98" s="29" t="n">
        <f aca="false">'Task Breakdown'!S271</f>
        <v>0</v>
      </c>
      <c r="P98" s="29" t="n">
        <f aca="false">'Task Breakdown'!T271</f>
        <v>0</v>
      </c>
      <c r="Q98" s="30" t="n">
        <f aca="false">SUM(E98:P98)</f>
        <v>20</v>
      </c>
      <c r="R98" s="31" t="n">
        <f aca="false">IF($Q$183&gt;0,Q98/$Q$183,0)</f>
        <v>0.00603682463024449</v>
      </c>
    </row>
    <row r="99" customFormat="false" ht="15" hidden="false" customHeight="false" outlineLevel="0" collapsed="false">
      <c r="A99" s="26" t="str">
        <f aca="false">'Task Breakdown'!A272</f>
        <v>DR-1.03.02</v>
      </c>
      <c r="B99" s="27" t="str">
        <f aca="false">'Task Breakdown'!G272</f>
        <v>Define steward responsibilities and RACI</v>
      </c>
      <c r="C99" s="28"/>
      <c r="D99" s="28"/>
      <c r="E99" s="29" t="n">
        <f aca="false">'Task Breakdown'!I272</f>
        <v>0</v>
      </c>
      <c r="F99" s="29" t="n">
        <f aca="false">'Task Breakdown'!J272</f>
        <v>0</v>
      </c>
      <c r="G99" s="29" t="n">
        <f aca="false">'Task Breakdown'!K272</f>
        <v>0</v>
      </c>
      <c r="H99" s="29" t="n">
        <f aca="false">'Task Breakdown'!L272</f>
        <v>0</v>
      </c>
      <c r="I99" s="29" t="n">
        <f aca="false">'Task Breakdown'!M272</f>
        <v>0</v>
      </c>
      <c r="J99" s="29" t="n">
        <f aca="false">'Task Breakdown'!N272</f>
        <v>0</v>
      </c>
      <c r="K99" s="29" t="n">
        <f aca="false">'Task Breakdown'!O272</f>
        <v>0</v>
      </c>
      <c r="L99" s="29" t="n">
        <f aca="false">'Task Breakdown'!P272</f>
        <v>16</v>
      </c>
      <c r="M99" s="29" t="n">
        <f aca="false">'Task Breakdown'!Q272</f>
        <v>0</v>
      </c>
      <c r="N99" s="29" t="n">
        <f aca="false">'Task Breakdown'!R272</f>
        <v>0</v>
      </c>
      <c r="O99" s="29" t="n">
        <f aca="false">'Task Breakdown'!S272</f>
        <v>0</v>
      </c>
      <c r="P99" s="29" t="n">
        <f aca="false">'Task Breakdown'!T272</f>
        <v>0</v>
      </c>
      <c r="Q99" s="30" t="n">
        <f aca="false">SUM(E99:P99)</f>
        <v>16</v>
      </c>
      <c r="R99" s="31" t="n">
        <f aca="false">IF($Q$183&gt;0,Q99/$Q$183,0)</f>
        <v>0.00482945970419559</v>
      </c>
    </row>
    <row r="100" customFormat="false" ht="15" hidden="false" customHeight="false" outlineLevel="0" collapsed="false">
      <c r="A100" s="26" t="str">
        <f aca="false">'Task Breakdown'!A273</f>
        <v>DR-1.03.03</v>
      </c>
      <c r="B100" s="27" t="str">
        <f aca="false">'Task Breakdown'!G273</f>
        <v>Kick-off and training for stewards</v>
      </c>
      <c r="C100" s="28"/>
      <c r="D100" s="28"/>
      <c r="E100" s="29" t="n">
        <f aca="false">'Task Breakdown'!I273</f>
        <v>0</v>
      </c>
      <c r="F100" s="29" t="n">
        <f aca="false">'Task Breakdown'!J273</f>
        <v>0</v>
      </c>
      <c r="G100" s="29" t="n">
        <f aca="false">'Task Breakdown'!K273</f>
        <v>0</v>
      </c>
      <c r="H100" s="29" t="n">
        <f aca="false">'Task Breakdown'!L273</f>
        <v>0</v>
      </c>
      <c r="I100" s="29" t="n">
        <f aca="false">'Task Breakdown'!M273</f>
        <v>0</v>
      </c>
      <c r="J100" s="29" t="n">
        <f aca="false">'Task Breakdown'!N273</f>
        <v>0</v>
      </c>
      <c r="K100" s="29" t="n">
        <f aca="false">'Task Breakdown'!O273</f>
        <v>0</v>
      </c>
      <c r="L100" s="29" t="n">
        <f aca="false">'Task Breakdown'!P273</f>
        <v>8</v>
      </c>
      <c r="M100" s="29" t="n">
        <f aca="false">'Task Breakdown'!Q273</f>
        <v>0</v>
      </c>
      <c r="N100" s="29" t="n">
        <f aca="false">'Task Breakdown'!R273</f>
        <v>0</v>
      </c>
      <c r="O100" s="29" t="n">
        <f aca="false">'Task Breakdown'!S273</f>
        <v>0</v>
      </c>
      <c r="P100" s="29" t="n">
        <f aca="false">'Task Breakdown'!T273</f>
        <v>16</v>
      </c>
      <c r="Q100" s="30" t="n">
        <f aca="false">SUM(E100:P100)</f>
        <v>24</v>
      </c>
      <c r="R100" s="31" t="n">
        <f aca="false">IF($Q$183&gt;0,Q100/$Q$183,0)</f>
        <v>0.00724418955629339</v>
      </c>
    </row>
    <row r="101" customFormat="false" ht="15" hidden="false" customHeight="false" outlineLevel="0" collapsed="false">
      <c r="A101" s="26" t="str">
        <f aca="false">'Task Breakdown'!A274</f>
        <v>DR-1.03.04</v>
      </c>
      <c r="B101" s="27" t="str">
        <f aca="false">'Task Breakdown'!G274</f>
        <v>Ownership sign-off</v>
      </c>
      <c r="C101" s="28"/>
      <c r="D101" s="28"/>
      <c r="E101" s="29" t="n">
        <f aca="false">'Task Breakdown'!I274</f>
        <v>8</v>
      </c>
      <c r="F101" s="29" t="n">
        <f aca="false">'Task Breakdown'!J274</f>
        <v>0</v>
      </c>
      <c r="G101" s="29" t="n">
        <f aca="false">'Task Breakdown'!K274</f>
        <v>0</v>
      </c>
      <c r="H101" s="29" t="n">
        <f aca="false">'Task Breakdown'!L274</f>
        <v>0</v>
      </c>
      <c r="I101" s="29" t="n">
        <f aca="false">'Task Breakdown'!M274</f>
        <v>0</v>
      </c>
      <c r="J101" s="29" t="n">
        <f aca="false">'Task Breakdown'!N274</f>
        <v>0</v>
      </c>
      <c r="K101" s="29" t="n">
        <f aca="false">'Task Breakdown'!O274</f>
        <v>0</v>
      </c>
      <c r="L101" s="29" t="n">
        <f aca="false">'Task Breakdown'!P274</f>
        <v>0</v>
      </c>
      <c r="M101" s="29" t="n">
        <f aca="false">'Task Breakdown'!Q274</f>
        <v>0</v>
      </c>
      <c r="N101" s="29" t="n">
        <f aca="false">'Task Breakdown'!R274</f>
        <v>12</v>
      </c>
      <c r="O101" s="29" t="n">
        <f aca="false">'Task Breakdown'!S274</f>
        <v>0</v>
      </c>
      <c r="P101" s="29" t="n">
        <f aca="false">'Task Breakdown'!T274</f>
        <v>0</v>
      </c>
      <c r="Q101" s="30" t="n">
        <f aca="false">SUM(E101:P101)</f>
        <v>20</v>
      </c>
      <c r="R101" s="31" t="n">
        <f aca="false">IF($Q$183&gt;0,Q101/$Q$183,0)</f>
        <v>0.00603682463024449</v>
      </c>
    </row>
    <row r="102" customFormat="false" ht="15" hidden="false" customHeight="false" outlineLevel="0" collapsed="false">
      <c r="A102" s="26" t="str">
        <f aca="false">'Task Breakdown'!A275</f>
        <v>DR-1.03.05</v>
      </c>
      <c r="B102" s="27" t="str">
        <f aca="false">'Task Breakdown'!G275</f>
        <v>Detailed design and design review</v>
      </c>
      <c r="C102" s="28"/>
      <c r="D102" s="28"/>
      <c r="E102" s="29" t="n">
        <f aca="false">'Task Breakdown'!I275</f>
        <v>0</v>
      </c>
      <c r="F102" s="29" t="n">
        <f aca="false">'Task Breakdown'!J275</f>
        <v>0</v>
      </c>
      <c r="G102" s="29" t="n">
        <f aca="false">'Task Breakdown'!K275</f>
        <v>0</v>
      </c>
      <c r="H102" s="29" t="n">
        <f aca="false">'Task Breakdown'!L275</f>
        <v>0</v>
      </c>
      <c r="I102" s="29" t="n">
        <f aca="false">'Task Breakdown'!M275</f>
        <v>0</v>
      </c>
      <c r="J102" s="29" t="n">
        <f aca="false">'Task Breakdown'!N275</f>
        <v>0</v>
      </c>
      <c r="K102" s="29" t="n">
        <f aca="false">'Task Breakdown'!O275</f>
        <v>0</v>
      </c>
      <c r="L102" s="29" t="n">
        <f aca="false">'Task Breakdown'!P275</f>
        <v>5</v>
      </c>
      <c r="M102" s="29" t="n">
        <f aca="false">'Task Breakdown'!Q275</f>
        <v>0</v>
      </c>
      <c r="N102" s="29" t="n">
        <f aca="false">'Task Breakdown'!R275</f>
        <v>0</v>
      </c>
      <c r="O102" s="29" t="n">
        <f aca="false">'Task Breakdown'!S275</f>
        <v>0</v>
      </c>
      <c r="P102" s="29" t="n">
        <f aca="false">'Task Breakdown'!T275</f>
        <v>0</v>
      </c>
      <c r="Q102" s="30" t="n">
        <f aca="false">SUM(E102:P102)</f>
        <v>5</v>
      </c>
      <c r="R102" s="31" t="n">
        <f aca="false">IF($Q$183&gt;0,Q102/$Q$183,0)</f>
        <v>0.00150920615756112</v>
      </c>
    </row>
    <row r="103" customFormat="false" ht="15" hidden="false" customHeight="false" outlineLevel="0" collapsed="false">
      <c r="A103" s="26" t="str">
        <f aca="false">'Task Breakdown'!A276</f>
        <v>DR-1.03.06</v>
      </c>
      <c r="B103" s="27" t="str">
        <f aca="false">'Task Breakdown'!G276</f>
        <v>Documentation, runbook and knowledge transfer</v>
      </c>
      <c r="C103" s="28"/>
      <c r="D103" s="28"/>
      <c r="E103" s="29" t="n">
        <f aca="false">'Task Breakdown'!I276</f>
        <v>0</v>
      </c>
      <c r="F103" s="29" t="n">
        <f aca="false">'Task Breakdown'!J276</f>
        <v>0</v>
      </c>
      <c r="G103" s="29" t="n">
        <f aca="false">'Task Breakdown'!K276</f>
        <v>0</v>
      </c>
      <c r="H103" s="29" t="n">
        <f aca="false">'Task Breakdown'!L276</f>
        <v>0</v>
      </c>
      <c r="I103" s="29" t="n">
        <f aca="false">'Task Breakdown'!M276</f>
        <v>0</v>
      </c>
      <c r="J103" s="29" t="n">
        <f aca="false">'Task Breakdown'!N276</f>
        <v>0</v>
      </c>
      <c r="K103" s="29" t="n">
        <f aca="false">'Task Breakdown'!O276</f>
        <v>0</v>
      </c>
      <c r="L103" s="29" t="n">
        <f aca="false">'Task Breakdown'!P276</f>
        <v>0</v>
      </c>
      <c r="M103" s="29" t="n">
        <f aca="false">'Task Breakdown'!Q276</f>
        <v>0</v>
      </c>
      <c r="N103" s="29" t="n">
        <f aca="false">'Task Breakdown'!R276</f>
        <v>3</v>
      </c>
      <c r="O103" s="29" t="n">
        <f aca="false">'Task Breakdown'!S276</f>
        <v>0</v>
      </c>
      <c r="P103" s="29" t="n">
        <f aca="false">'Task Breakdown'!T276</f>
        <v>0</v>
      </c>
      <c r="Q103" s="30" t="n">
        <f aca="false">SUM(E103:P103)</f>
        <v>3</v>
      </c>
      <c r="R103" s="31" t="n">
        <f aca="false">IF($Q$183&gt;0,Q103/$Q$183,0)</f>
        <v>0.000905523694536674</v>
      </c>
    </row>
    <row r="104" customFormat="false" ht="23.85" hidden="false" customHeight="false" outlineLevel="0" collapsed="false">
      <c r="A104" s="23" t="s">
        <v>130</v>
      </c>
      <c r="B104" s="23" t="s">
        <v>131</v>
      </c>
      <c r="C104" s="23" t="s">
        <v>42</v>
      </c>
      <c r="D104" s="23" t="s">
        <v>132</v>
      </c>
      <c r="E104" s="24" t="n">
        <f aca="false">SUM(E105:E113)</f>
        <v>0</v>
      </c>
      <c r="F104" s="24" t="n">
        <f aca="false">SUM(F105:F113)</f>
        <v>21</v>
      </c>
      <c r="G104" s="24" t="n">
        <f aca="false">SUM(G105:G113)</f>
        <v>61</v>
      </c>
      <c r="H104" s="24" t="n">
        <f aca="false">SUM(H105:H113)</f>
        <v>16</v>
      </c>
      <c r="I104" s="24" t="n">
        <f aca="false">SUM(I105:I113)</f>
        <v>0</v>
      </c>
      <c r="J104" s="24" t="n">
        <f aca="false">SUM(J105:J113)</f>
        <v>0</v>
      </c>
      <c r="K104" s="24" t="n">
        <f aca="false">SUM(K105:K113)</f>
        <v>0</v>
      </c>
      <c r="L104" s="24" t="n">
        <f aca="false">SUM(L105:L113)</f>
        <v>0</v>
      </c>
      <c r="M104" s="24" t="n">
        <f aca="false">SUM(M105:M113)</f>
        <v>0</v>
      </c>
      <c r="N104" s="24" t="n">
        <f aca="false">SUM(N105:N113)</f>
        <v>0</v>
      </c>
      <c r="O104" s="24" t="n">
        <f aca="false">SUM(O105:O113)</f>
        <v>0</v>
      </c>
      <c r="P104" s="24" t="n">
        <f aca="false">SUM(P105:P113)</f>
        <v>0</v>
      </c>
      <c r="Q104" s="24" t="n">
        <f aca="false">SUM(Q105:Q113)</f>
        <v>98</v>
      </c>
      <c r="R104" s="25" t="n">
        <f aca="false">IF($Q$183&gt;0,Q104/$Q$183,0)</f>
        <v>0.029580440688198</v>
      </c>
    </row>
    <row r="105" customFormat="false" ht="15" hidden="false" customHeight="false" outlineLevel="0" collapsed="false">
      <c r="A105" s="26" t="str">
        <f aca="false">'Task Breakdown'!A277</f>
        <v>DR-1.04.01</v>
      </c>
      <c r="B105" s="27" t="str">
        <f aca="false">'Task Breakdown'!G277</f>
        <v>Design zones (raw, curated, serving) and container layout</v>
      </c>
      <c r="C105" s="28"/>
      <c r="D105" s="28"/>
      <c r="E105" s="29" t="n">
        <f aca="false">'Task Breakdown'!I277</f>
        <v>0</v>
      </c>
      <c r="F105" s="29" t="n">
        <f aca="false">'Task Breakdown'!J277</f>
        <v>12</v>
      </c>
      <c r="G105" s="29" t="n">
        <f aca="false">'Task Breakdown'!K277</f>
        <v>0</v>
      </c>
      <c r="H105" s="29" t="n">
        <f aca="false">'Task Breakdown'!L277</f>
        <v>0</v>
      </c>
      <c r="I105" s="29" t="n">
        <f aca="false">'Task Breakdown'!M277</f>
        <v>0</v>
      </c>
      <c r="J105" s="29" t="n">
        <f aca="false">'Task Breakdown'!N277</f>
        <v>0</v>
      </c>
      <c r="K105" s="29" t="n">
        <f aca="false">'Task Breakdown'!O277</f>
        <v>0</v>
      </c>
      <c r="L105" s="29" t="n">
        <f aca="false">'Task Breakdown'!P277</f>
        <v>0</v>
      </c>
      <c r="M105" s="29" t="n">
        <f aca="false">'Task Breakdown'!Q277</f>
        <v>0</v>
      </c>
      <c r="N105" s="29" t="n">
        <f aca="false">'Task Breakdown'!R277</f>
        <v>0</v>
      </c>
      <c r="O105" s="29" t="n">
        <f aca="false">'Task Breakdown'!S277</f>
        <v>0</v>
      </c>
      <c r="P105" s="29" t="n">
        <f aca="false">'Task Breakdown'!T277</f>
        <v>0</v>
      </c>
      <c r="Q105" s="30" t="n">
        <f aca="false">SUM(E105:P105)</f>
        <v>12</v>
      </c>
      <c r="R105" s="31" t="n">
        <f aca="false">IF($Q$183&gt;0,Q105/$Q$183,0)</f>
        <v>0.0036220947781467</v>
      </c>
    </row>
    <row r="106" customFormat="false" ht="15" hidden="false" customHeight="false" outlineLevel="0" collapsed="false">
      <c r="A106" s="26" t="str">
        <f aca="false">'Task Breakdown'!A278</f>
        <v>DR-1.04.02</v>
      </c>
      <c r="B106" s="27" t="str">
        <f aca="false">'Task Breakdown'!G278</f>
        <v>Deploy ADLS Gen2 with hierarchical namespace and private endpoints</v>
      </c>
      <c r="C106" s="28"/>
      <c r="D106" s="28"/>
      <c r="E106" s="29" t="n">
        <f aca="false">'Task Breakdown'!I278</f>
        <v>0</v>
      </c>
      <c r="F106" s="29" t="n">
        <f aca="false">'Task Breakdown'!J278</f>
        <v>0</v>
      </c>
      <c r="G106" s="29" t="n">
        <f aca="false">'Task Breakdown'!K278</f>
        <v>20</v>
      </c>
      <c r="H106" s="29" t="n">
        <f aca="false">'Task Breakdown'!L278</f>
        <v>0</v>
      </c>
      <c r="I106" s="29" t="n">
        <f aca="false">'Task Breakdown'!M278</f>
        <v>0</v>
      </c>
      <c r="J106" s="29" t="n">
        <f aca="false">'Task Breakdown'!N278</f>
        <v>0</v>
      </c>
      <c r="K106" s="29" t="n">
        <f aca="false">'Task Breakdown'!O278</f>
        <v>0</v>
      </c>
      <c r="L106" s="29" t="n">
        <f aca="false">'Task Breakdown'!P278</f>
        <v>0</v>
      </c>
      <c r="M106" s="29" t="n">
        <f aca="false">'Task Breakdown'!Q278</f>
        <v>0</v>
      </c>
      <c r="N106" s="29" t="n">
        <f aca="false">'Task Breakdown'!R278</f>
        <v>0</v>
      </c>
      <c r="O106" s="29" t="n">
        <f aca="false">'Task Breakdown'!S278</f>
        <v>0</v>
      </c>
      <c r="P106" s="29" t="n">
        <f aca="false">'Task Breakdown'!T278</f>
        <v>0</v>
      </c>
      <c r="Q106" s="30" t="n">
        <f aca="false">SUM(E106:P106)</f>
        <v>20</v>
      </c>
      <c r="R106" s="31" t="n">
        <f aca="false">IF($Q$183&gt;0,Q106/$Q$183,0)</f>
        <v>0.00603682463024449</v>
      </c>
    </row>
    <row r="107" customFormat="false" ht="15" hidden="false" customHeight="false" outlineLevel="0" collapsed="false">
      <c r="A107" s="26" t="str">
        <f aca="false">'Task Breakdown'!A279</f>
        <v>DR-1.04.03</v>
      </c>
      <c r="B107" s="27" t="str">
        <f aca="false">'Task Breakdown'!G279</f>
        <v>Configure lifecycle tiers (hot, cool, archive)</v>
      </c>
      <c r="C107" s="28"/>
      <c r="D107" s="28"/>
      <c r="E107" s="29" t="n">
        <f aca="false">'Task Breakdown'!I279</f>
        <v>0</v>
      </c>
      <c r="F107" s="29" t="n">
        <f aca="false">'Task Breakdown'!J279</f>
        <v>0</v>
      </c>
      <c r="G107" s="29" t="n">
        <f aca="false">'Task Breakdown'!K279</f>
        <v>12</v>
      </c>
      <c r="H107" s="29" t="n">
        <f aca="false">'Task Breakdown'!L279</f>
        <v>0</v>
      </c>
      <c r="I107" s="29" t="n">
        <f aca="false">'Task Breakdown'!M279</f>
        <v>0</v>
      </c>
      <c r="J107" s="29" t="n">
        <f aca="false">'Task Breakdown'!N279</f>
        <v>0</v>
      </c>
      <c r="K107" s="29" t="n">
        <f aca="false">'Task Breakdown'!O279</f>
        <v>0</v>
      </c>
      <c r="L107" s="29" t="n">
        <f aca="false">'Task Breakdown'!P279</f>
        <v>0</v>
      </c>
      <c r="M107" s="29" t="n">
        <f aca="false">'Task Breakdown'!Q279</f>
        <v>0</v>
      </c>
      <c r="N107" s="29" t="n">
        <f aca="false">'Task Breakdown'!R279</f>
        <v>0</v>
      </c>
      <c r="O107" s="29" t="n">
        <f aca="false">'Task Breakdown'!S279</f>
        <v>0</v>
      </c>
      <c r="P107" s="29" t="n">
        <f aca="false">'Task Breakdown'!T279</f>
        <v>0</v>
      </c>
      <c r="Q107" s="30" t="n">
        <f aca="false">SUM(E107:P107)</f>
        <v>12</v>
      </c>
      <c r="R107" s="31" t="n">
        <f aca="false">IF($Q$183&gt;0,Q107/$Q$183,0)</f>
        <v>0.0036220947781467</v>
      </c>
    </row>
    <row r="108" customFormat="false" ht="15" hidden="false" customHeight="false" outlineLevel="0" collapsed="false">
      <c r="A108" s="26" t="str">
        <f aca="false">'Task Breakdown'!A280</f>
        <v>DR-1.04.04</v>
      </c>
      <c r="B108" s="27" t="str">
        <f aca="false">'Task Breakdown'!G280</f>
        <v>Set ACLs aligned to the role model</v>
      </c>
      <c r="C108" s="28"/>
      <c r="D108" s="28"/>
      <c r="E108" s="29" t="n">
        <f aca="false">'Task Breakdown'!I280</f>
        <v>0</v>
      </c>
      <c r="F108" s="29" t="n">
        <f aca="false">'Task Breakdown'!J280</f>
        <v>0</v>
      </c>
      <c r="G108" s="29" t="n">
        <f aca="false">'Task Breakdown'!K280</f>
        <v>8</v>
      </c>
      <c r="H108" s="29" t="n">
        <f aca="false">'Task Breakdown'!L280</f>
        <v>12</v>
      </c>
      <c r="I108" s="29" t="n">
        <f aca="false">'Task Breakdown'!M280</f>
        <v>0</v>
      </c>
      <c r="J108" s="29" t="n">
        <f aca="false">'Task Breakdown'!N280</f>
        <v>0</v>
      </c>
      <c r="K108" s="29" t="n">
        <f aca="false">'Task Breakdown'!O280</f>
        <v>0</v>
      </c>
      <c r="L108" s="29" t="n">
        <f aca="false">'Task Breakdown'!P280</f>
        <v>0</v>
      </c>
      <c r="M108" s="29" t="n">
        <f aca="false">'Task Breakdown'!Q280</f>
        <v>0</v>
      </c>
      <c r="N108" s="29" t="n">
        <f aca="false">'Task Breakdown'!R280</f>
        <v>0</v>
      </c>
      <c r="O108" s="29" t="n">
        <f aca="false">'Task Breakdown'!S280</f>
        <v>0</v>
      </c>
      <c r="P108" s="29" t="n">
        <f aca="false">'Task Breakdown'!T280</f>
        <v>0</v>
      </c>
      <c r="Q108" s="30" t="n">
        <f aca="false">SUM(E108:P108)</f>
        <v>20</v>
      </c>
      <c r="R108" s="31" t="n">
        <f aca="false">IF($Q$183&gt;0,Q108/$Q$183,0)</f>
        <v>0.00603682463024449</v>
      </c>
    </row>
    <row r="109" customFormat="false" ht="15" hidden="false" customHeight="false" outlineLevel="0" collapsed="false">
      <c r="A109" s="26" t="str">
        <f aca="false">'Task Breakdown'!A281</f>
        <v>DR-1.04.05</v>
      </c>
      <c r="B109" s="27" t="str">
        <f aca="false">'Task Breakdown'!G281</f>
        <v>Enable soft delete and versioning</v>
      </c>
      <c r="C109" s="28"/>
      <c r="D109" s="28"/>
      <c r="E109" s="29" t="n">
        <f aca="false">'Task Breakdown'!I281</f>
        <v>0</v>
      </c>
      <c r="F109" s="29" t="n">
        <f aca="false">'Task Breakdown'!J281</f>
        <v>4</v>
      </c>
      <c r="G109" s="29" t="n">
        <f aca="false">'Task Breakdown'!K281</f>
        <v>8</v>
      </c>
      <c r="H109" s="29" t="n">
        <f aca="false">'Task Breakdown'!L281</f>
        <v>4</v>
      </c>
      <c r="I109" s="29" t="n">
        <f aca="false">'Task Breakdown'!M281</f>
        <v>0</v>
      </c>
      <c r="J109" s="29" t="n">
        <f aca="false">'Task Breakdown'!N281</f>
        <v>0</v>
      </c>
      <c r="K109" s="29" t="n">
        <f aca="false">'Task Breakdown'!O281</f>
        <v>0</v>
      </c>
      <c r="L109" s="29" t="n">
        <f aca="false">'Task Breakdown'!P281</f>
        <v>0</v>
      </c>
      <c r="M109" s="29" t="n">
        <f aca="false">'Task Breakdown'!Q281</f>
        <v>0</v>
      </c>
      <c r="N109" s="29" t="n">
        <f aca="false">'Task Breakdown'!R281</f>
        <v>0</v>
      </c>
      <c r="O109" s="29" t="n">
        <f aca="false">'Task Breakdown'!S281</f>
        <v>0</v>
      </c>
      <c r="P109" s="29" t="n">
        <f aca="false">'Task Breakdown'!T281</f>
        <v>0</v>
      </c>
      <c r="Q109" s="30" t="n">
        <f aca="false">SUM(E109:P109)</f>
        <v>16</v>
      </c>
      <c r="R109" s="31" t="n">
        <f aca="false">IF($Q$183&gt;0,Q109/$Q$183,0)</f>
        <v>0.00482945970419559</v>
      </c>
    </row>
    <row r="110" customFormat="false" ht="15" hidden="false" customHeight="false" outlineLevel="0" collapsed="false">
      <c r="A110" s="26" t="str">
        <f aca="false">'Task Breakdown'!A282</f>
        <v>DR-1.04.06</v>
      </c>
      <c r="B110" s="27" t="str">
        <f aca="false">'Task Breakdown'!G282</f>
        <v>Detailed design and design review</v>
      </c>
      <c r="C110" s="28"/>
      <c r="D110" s="28"/>
      <c r="E110" s="29" t="n">
        <f aca="false">'Task Breakdown'!I282</f>
        <v>0</v>
      </c>
      <c r="F110" s="29" t="n">
        <f aca="false">'Task Breakdown'!J282</f>
        <v>5</v>
      </c>
      <c r="G110" s="29" t="n">
        <f aca="false">'Task Breakdown'!K282</f>
        <v>0</v>
      </c>
      <c r="H110" s="29" t="n">
        <f aca="false">'Task Breakdown'!L282</f>
        <v>0</v>
      </c>
      <c r="I110" s="29" t="n">
        <f aca="false">'Task Breakdown'!M282</f>
        <v>0</v>
      </c>
      <c r="J110" s="29" t="n">
        <f aca="false">'Task Breakdown'!N282</f>
        <v>0</v>
      </c>
      <c r="K110" s="29" t="n">
        <f aca="false">'Task Breakdown'!O282</f>
        <v>0</v>
      </c>
      <c r="L110" s="29" t="n">
        <f aca="false">'Task Breakdown'!P282</f>
        <v>0</v>
      </c>
      <c r="M110" s="29" t="n">
        <f aca="false">'Task Breakdown'!Q282</f>
        <v>0</v>
      </c>
      <c r="N110" s="29" t="n">
        <f aca="false">'Task Breakdown'!R282</f>
        <v>0</v>
      </c>
      <c r="O110" s="29" t="n">
        <f aca="false">'Task Breakdown'!S282</f>
        <v>0</v>
      </c>
      <c r="P110" s="29" t="n">
        <f aca="false">'Task Breakdown'!T282</f>
        <v>0</v>
      </c>
      <c r="Q110" s="30" t="n">
        <f aca="false">SUM(E110:P110)</f>
        <v>5</v>
      </c>
      <c r="R110" s="31" t="n">
        <f aca="false">IF($Q$183&gt;0,Q110/$Q$183,0)</f>
        <v>0.00150920615756112</v>
      </c>
    </row>
    <row r="111" customFormat="false" ht="15" hidden="false" customHeight="false" outlineLevel="0" collapsed="false">
      <c r="A111" s="26" t="str">
        <f aca="false">'Task Breakdown'!A283</f>
        <v>DR-1.04.07</v>
      </c>
      <c r="B111" s="27" t="str">
        <f aca="false">'Task Breakdown'!G283</f>
        <v>Promote through dev / test / prod and release</v>
      </c>
      <c r="C111" s="28"/>
      <c r="D111" s="28"/>
      <c r="E111" s="29" t="n">
        <f aca="false">'Task Breakdown'!I283</f>
        <v>0</v>
      </c>
      <c r="F111" s="29" t="n">
        <f aca="false">'Task Breakdown'!J283</f>
        <v>0</v>
      </c>
      <c r="G111" s="29" t="n">
        <f aca="false">'Task Breakdown'!K283</f>
        <v>3</v>
      </c>
      <c r="H111" s="29" t="n">
        <f aca="false">'Task Breakdown'!L283</f>
        <v>0</v>
      </c>
      <c r="I111" s="29" t="n">
        <f aca="false">'Task Breakdown'!M283</f>
        <v>0</v>
      </c>
      <c r="J111" s="29" t="n">
        <f aca="false">'Task Breakdown'!N283</f>
        <v>0</v>
      </c>
      <c r="K111" s="29" t="n">
        <f aca="false">'Task Breakdown'!O283</f>
        <v>0</v>
      </c>
      <c r="L111" s="29" t="n">
        <f aca="false">'Task Breakdown'!P283</f>
        <v>0</v>
      </c>
      <c r="M111" s="29" t="n">
        <f aca="false">'Task Breakdown'!Q283</f>
        <v>0</v>
      </c>
      <c r="N111" s="29" t="n">
        <f aca="false">'Task Breakdown'!R283</f>
        <v>0</v>
      </c>
      <c r="O111" s="29" t="n">
        <f aca="false">'Task Breakdown'!S283</f>
        <v>0</v>
      </c>
      <c r="P111" s="29" t="n">
        <f aca="false">'Task Breakdown'!T283</f>
        <v>0</v>
      </c>
      <c r="Q111" s="30" t="n">
        <f aca="false">SUM(E111:P111)</f>
        <v>3</v>
      </c>
      <c r="R111" s="31" t="n">
        <f aca="false">IF($Q$183&gt;0,Q111/$Q$183,0)</f>
        <v>0.000905523694536674</v>
      </c>
    </row>
    <row r="112" customFormat="false" ht="15" hidden="false" customHeight="false" outlineLevel="0" collapsed="false">
      <c r="A112" s="26" t="str">
        <f aca="false">'Task Breakdown'!A284</f>
        <v>DR-1.04.08</v>
      </c>
      <c r="B112" s="27" t="str">
        <f aca="false">'Task Breakdown'!G284</f>
        <v>Documentation, runbook and knowledge transfer</v>
      </c>
      <c r="C112" s="28"/>
      <c r="D112" s="28"/>
      <c r="E112" s="29" t="n">
        <f aca="false">'Task Breakdown'!I284</f>
        <v>0</v>
      </c>
      <c r="F112" s="29" t="n">
        <f aca="false">'Task Breakdown'!J284</f>
        <v>0</v>
      </c>
      <c r="G112" s="29" t="n">
        <f aca="false">'Task Breakdown'!K284</f>
        <v>3</v>
      </c>
      <c r="H112" s="29" t="n">
        <f aca="false">'Task Breakdown'!L284</f>
        <v>0</v>
      </c>
      <c r="I112" s="29" t="n">
        <f aca="false">'Task Breakdown'!M284</f>
        <v>0</v>
      </c>
      <c r="J112" s="29" t="n">
        <f aca="false">'Task Breakdown'!N284</f>
        <v>0</v>
      </c>
      <c r="K112" s="29" t="n">
        <f aca="false">'Task Breakdown'!O284</f>
        <v>0</v>
      </c>
      <c r="L112" s="29" t="n">
        <f aca="false">'Task Breakdown'!P284</f>
        <v>0</v>
      </c>
      <c r="M112" s="29" t="n">
        <f aca="false">'Task Breakdown'!Q284</f>
        <v>0</v>
      </c>
      <c r="N112" s="29" t="n">
        <f aca="false">'Task Breakdown'!R284</f>
        <v>0</v>
      </c>
      <c r="O112" s="29" t="n">
        <f aca="false">'Task Breakdown'!S284</f>
        <v>0</v>
      </c>
      <c r="P112" s="29" t="n">
        <f aca="false">'Task Breakdown'!T284</f>
        <v>0</v>
      </c>
      <c r="Q112" s="30" t="n">
        <f aca="false">SUM(E112:P112)</f>
        <v>3</v>
      </c>
      <c r="R112" s="31" t="n">
        <f aca="false">IF($Q$183&gt;0,Q112/$Q$183,0)</f>
        <v>0.000905523694536674</v>
      </c>
    </row>
    <row r="113" customFormat="false" ht="15" hidden="false" customHeight="false" outlineLevel="0" collapsed="false">
      <c r="A113" s="26" t="str">
        <f aca="false">'Task Breakdown'!A285</f>
        <v>DR-1.04.09</v>
      </c>
      <c r="B113" s="27" t="str">
        <f aca="false">'Task Breakdown'!G285</f>
        <v>Defect fixing and rework after testing</v>
      </c>
      <c r="C113" s="28"/>
      <c r="D113" s="28"/>
      <c r="E113" s="29" t="n">
        <f aca="false">'Task Breakdown'!I285</f>
        <v>0</v>
      </c>
      <c r="F113" s="29" t="n">
        <f aca="false">'Task Breakdown'!J285</f>
        <v>0</v>
      </c>
      <c r="G113" s="29" t="n">
        <f aca="false">'Task Breakdown'!K285</f>
        <v>7</v>
      </c>
      <c r="H113" s="29" t="n">
        <f aca="false">'Task Breakdown'!L285</f>
        <v>0</v>
      </c>
      <c r="I113" s="29" t="n">
        <f aca="false">'Task Breakdown'!M285</f>
        <v>0</v>
      </c>
      <c r="J113" s="29" t="n">
        <f aca="false">'Task Breakdown'!N285</f>
        <v>0</v>
      </c>
      <c r="K113" s="29" t="n">
        <f aca="false">'Task Breakdown'!O285</f>
        <v>0</v>
      </c>
      <c r="L113" s="29" t="n">
        <f aca="false">'Task Breakdown'!P285</f>
        <v>0</v>
      </c>
      <c r="M113" s="29" t="n">
        <f aca="false">'Task Breakdown'!Q285</f>
        <v>0</v>
      </c>
      <c r="N113" s="29" t="n">
        <f aca="false">'Task Breakdown'!R285</f>
        <v>0</v>
      </c>
      <c r="O113" s="29" t="n">
        <f aca="false">'Task Breakdown'!S285</f>
        <v>0</v>
      </c>
      <c r="P113" s="29" t="n">
        <f aca="false">'Task Breakdown'!T285</f>
        <v>0</v>
      </c>
      <c r="Q113" s="30" t="n">
        <f aca="false">SUM(E113:P113)</f>
        <v>7</v>
      </c>
      <c r="R113" s="31" t="n">
        <f aca="false">IF($Q$183&gt;0,Q113/$Q$183,0)</f>
        <v>0.00211288862058557</v>
      </c>
    </row>
    <row r="114" customFormat="false" ht="15" hidden="false" customHeight="false" outlineLevel="0" collapsed="false">
      <c r="A114" s="23" t="s">
        <v>133</v>
      </c>
      <c r="B114" s="23" t="s">
        <v>134</v>
      </c>
      <c r="C114" s="23" t="s">
        <v>42</v>
      </c>
      <c r="D114" s="23" t="s">
        <v>135</v>
      </c>
      <c r="E114" s="24" t="n">
        <f aca="false">SUM(E115:E123)</f>
        <v>0</v>
      </c>
      <c r="F114" s="24" t="n">
        <f aca="false">SUM(F115:F123)</f>
        <v>22</v>
      </c>
      <c r="G114" s="24" t="n">
        <f aca="false">SUM(G115:G123)</f>
        <v>65</v>
      </c>
      <c r="H114" s="24" t="n">
        <f aca="false">SUM(H115:H123)</f>
        <v>0</v>
      </c>
      <c r="I114" s="24" t="n">
        <f aca="false">SUM(I115:I123)</f>
        <v>0</v>
      </c>
      <c r="J114" s="24" t="n">
        <f aca="false">SUM(J115:J123)</f>
        <v>0</v>
      </c>
      <c r="K114" s="24" t="n">
        <f aca="false">SUM(K115:K123)</f>
        <v>32</v>
      </c>
      <c r="L114" s="24" t="n">
        <f aca="false">SUM(L115:L123)</f>
        <v>0</v>
      </c>
      <c r="M114" s="24" t="n">
        <f aca="false">SUM(M115:M123)</f>
        <v>0</v>
      </c>
      <c r="N114" s="24" t="n">
        <f aca="false">SUM(N115:N123)</f>
        <v>0</v>
      </c>
      <c r="O114" s="24" t="n">
        <f aca="false">SUM(O115:O123)</f>
        <v>0</v>
      </c>
      <c r="P114" s="24" t="n">
        <f aca="false">SUM(P115:P123)</f>
        <v>0</v>
      </c>
      <c r="Q114" s="24" t="n">
        <f aca="false">SUM(Q115:Q123)</f>
        <v>119</v>
      </c>
      <c r="R114" s="25" t="n">
        <f aca="false">IF($Q$183&gt;0,Q114/$Q$183,0)</f>
        <v>0.0359191065499547</v>
      </c>
    </row>
    <row r="115" customFormat="false" ht="15" hidden="false" customHeight="false" outlineLevel="0" collapsed="false">
      <c r="A115" s="26" t="str">
        <f aca="false">'Task Breakdown'!A286</f>
        <v>DR-1.05.01</v>
      </c>
      <c r="B115" s="27" t="str">
        <f aca="false">'Task Breakdown'!G286</f>
        <v>Size and design databases (application metadata, vectors)</v>
      </c>
      <c r="C115" s="28"/>
      <c r="D115" s="28"/>
      <c r="E115" s="29" t="n">
        <f aca="false">'Task Breakdown'!I286</f>
        <v>0</v>
      </c>
      <c r="F115" s="29" t="n">
        <f aca="false">'Task Breakdown'!J286</f>
        <v>12</v>
      </c>
      <c r="G115" s="29" t="n">
        <f aca="false">'Task Breakdown'!K286</f>
        <v>0</v>
      </c>
      <c r="H115" s="29" t="n">
        <f aca="false">'Task Breakdown'!L286</f>
        <v>0</v>
      </c>
      <c r="I115" s="29" t="n">
        <f aca="false">'Task Breakdown'!M286</f>
        <v>0</v>
      </c>
      <c r="J115" s="29" t="n">
        <f aca="false">'Task Breakdown'!N286</f>
        <v>0</v>
      </c>
      <c r="K115" s="29" t="n">
        <f aca="false">'Task Breakdown'!O286</f>
        <v>8</v>
      </c>
      <c r="L115" s="29" t="n">
        <f aca="false">'Task Breakdown'!P286</f>
        <v>0</v>
      </c>
      <c r="M115" s="29" t="n">
        <f aca="false">'Task Breakdown'!Q286</f>
        <v>0</v>
      </c>
      <c r="N115" s="29" t="n">
        <f aca="false">'Task Breakdown'!R286</f>
        <v>0</v>
      </c>
      <c r="O115" s="29" t="n">
        <f aca="false">'Task Breakdown'!S286</f>
        <v>0</v>
      </c>
      <c r="P115" s="29" t="n">
        <f aca="false">'Task Breakdown'!T286</f>
        <v>0</v>
      </c>
      <c r="Q115" s="30" t="n">
        <f aca="false">SUM(E115:P115)</f>
        <v>20</v>
      </c>
      <c r="R115" s="31" t="n">
        <f aca="false">IF($Q$183&gt;0,Q115/$Q$183,0)</f>
        <v>0.00603682463024449</v>
      </c>
    </row>
    <row r="116" customFormat="false" ht="15" hidden="false" customHeight="false" outlineLevel="0" collapsed="false">
      <c r="A116" s="26" t="str">
        <f aca="false">'Task Breakdown'!A287</f>
        <v>DR-1.05.02</v>
      </c>
      <c r="B116" s="27" t="str">
        <f aca="false">'Task Breakdown'!G287</f>
        <v>Deploy Azure SQL and PostgreSQL Flexible Server</v>
      </c>
      <c r="C116" s="28"/>
      <c r="D116" s="28"/>
      <c r="E116" s="29" t="n">
        <f aca="false">'Task Breakdown'!I287</f>
        <v>0</v>
      </c>
      <c r="F116" s="29" t="n">
        <f aca="false">'Task Breakdown'!J287</f>
        <v>0</v>
      </c>
      <c r="G116" s="29" t="n">
        <f aca="false">'Task Breakdown'!K287</f>
        <v>25</v>
      </c>
      <c r="H116" s="29" t="n">
        <f aca="false">'Task Breakdown'!L287</f>
        <v>0</v>
      </c>
      <c r="I116" s="29" t="n">
        <f aca="false">'Task Breakdown'!M287</f>
        <v>0</v>
      </c>
      <c r="J116" s="29" t="n">
        <f aca="false">'Task Breakdown'!N287</f>
        <v>0</v>
      </c>
      <c r="K116" s="29" t="n">
        <f aca="false">'Task Breakdown'!O287</f>
        <v>0</v>
      </c>
      <c r="L116" s="29" t="n">
        <f aca="false">'Task Breakdown'!P287</f>
        <v>0</v>
      </c>
      <c r="M116" s="29" t="n">
        <f aca="false">'Task Breakdown'!Q287</f>
        <v>0</v>
      </c>
      <c r="N116" s="29" t="n">
        <f aca="false">'Task Breakdown'!R287</f>
        <v>0</v>
      </c>
      <c r="O116" s="29" t="n">
        <f aca="false">'Task Breakdown'!S287</f>
        <v>0</v>
      </c>
      <c r="P116" s="29" t="n">
        <f aca="false">'Task Breakdown'!T287</f>
        <v>0</v>
      </c>
      <c r="Q116" s="30" t="n">
        <f aca="false">SUM(E116:P116)</f>
        <v>25</v>
      </c>
      <c r="R116" s="31" t="n">
        <f aca="false">IF($Q$183&gt;0,Q116/$Q$183,0)</f>
        <v>0.00754603078780562</v>
      </c>
    </row>
    <row r="117" customFormat="false" ht="15" hidden="false" customHeight="false" outlineLevel="0" collapsed="false">
      <c r="A117" s="26" t="str">
        <f aca="false">'Task Breakdown'!A288</f>
        <v>DR-1.05.03</v>
      </c>
      <c r="B117" s="27" t="str">
        <f aca="false">'Task Breakdown'!G288</f>
        <v>Enable pgvector extension and create schemas</v>
      </c>
      <c r="C117" s="28"/>
      <c r="D117" s="28"/>
      <c r="E117" s="29" t="n">
        <f aca="false">'Task Breakdown'!I288</f>
        <v>0</v>
      </c>
      <c r="F117" s="29" t="n">
        <f aca="false">'Task Breakdown'!J288</f>
        <v>0</v>
      </c>
      <c r="G117" s="29" t="n">
        <f aca="false">'Task Breakdown'!K288</f>
        <v>0</v>
      </c>
      <c r="H117" s="29" t="n">
        <f aca="false">'Task Breakdown'!L288</f>
        <v>0</v>
      </c>
      <c r="I117" s="29" t="n">
        <f aca="false">'Task Breakdown'!M288</f>
        <v>0</v>
      </c>
      <c r="J117" s="29" t="n">
        <f aca="false">'Task Breakdown'!N288</f>
        <v>0</v>
      </c>
      <c r="K117" s="29" t="n">
        <f aca="false">'Task Breakdown'!O288</f>
        <v>16</v>
      </c>
      <c r="L117" s="29" t="n">
        <f aca="false">'Task Breakdown'!P288</f>
        <v>0</v>
      </c>
      <c r="M117" s="29" t="n">
        <f aca="false">'Task Breakdown'!Q288</f>
        <v>0</v>
      </c>
      <c r="N117" s="29" t="n">
        <f aca="false">'Task Breakdown'!R288</f>
        <v>0</v>
      </c>
      <c r="O117" s="29" t="n">
        <f aca="false">'Task Breakdown'!S288</f>
        <v>0</v>
      </c>
      <c r="P117" s="29" t="n">
        <f aca="false">'Task Breakdown'!T288</f>
        <v>0</v>
      </c>
      <c r="Q117" s="30" t="n">
        <f aca="false">SUM(E117:P117)</f>
        <v>16</v>
      </c>
      <c r="R117" s="31" t="n">
        <f aca="false">IF($Q$183&gt;0,Q117/$Q$183,0)</f>
        <v>0.00482945970419559</v>
      </c>
    </row>
    <row r="118" customFormat="false" ht="15" hidden="false" customHeight="false" outlineLevel="0" collapsed="false">
      <c r="A118" s="26" t="str">
        <f aca="false">'Task Breakdown'!A289</f>
        <v>DR-1.05.04</v>
      </c>
      <c r="B118" s="27" t="str">
        <f aca="false">'Task Breakdown'!G289</f>
        <v>Configure high availability, backups and private access</v>
      </c>
      <c r="C118" s="28"/>
      <c r="D118" s="28"/>
      <c r="E118" s="29" t="n">
        <f aca="false">'Task Breakdown'!I289</f>
        <v>0</v>
      </c>
      <c r="F118" s="29" t="n">
        <f aca="false">'Task Breakdown'!J289</f>
        <v>4</v>
      </c>
      <c r="G118" s="29" t="n">
        <f aca="false">'Task Breakdown'!K289</f>
        <v>16</v>
      </c>
      <c r="H118" s="29" t="n">
        <f aca="false">'Task Breakdown'!L289</f>
        <v>0</v>
      </c>
      <c r="I118" s="29" t="n">
        <f aca="false">'Task Breakdown'!M289</f>
        <v>0</v>
      </c>
      <c r="J118" s="29" t="n">
        <f aca="false">'Task Breakdown'!N289</f>
        <v>0</v>
      </c>
      <c r="K118" s="29" t="n">
        <f aca="false">'Task Breakdown'!O289</f>
        <v>0</v>
      </c>
      <c r="L118" s="29" t="n">
        <f aca="false">'Task Breakdown'!P289</f>
        <v>0</v>
      </c>
      <c r="M118" s="29" t="n">
        <f aca="false">'Task Breakdown'!Q289</f>
        <v>0</v>
      </c>
      <c r="N118" s="29" t="n">
        <f aca="false">'Task Breakdown'!R289</f>
        <v>0</v>
      </c>
      <c r="O118" s="29" t="n">
        <f aca="false">'Task Breakdown'!S289</f>
        <v>0</v>
      </c>
      <c r="P118" s="29" t="n">
        <f aca="false">'Task Breakdown'!T289</f>
        <v>0</v>
      </c>
      <c r="Q118" s="30" t="n">
        <f aca="false">SUM(E118:P118)</f>
        <v>20</v>
      </c>
      <c r="R118" s="31" t="n">
        <f aca="false">IF($Q$183&gt;0,Q118/$Q$183,0)</f>
        <v>0.00603682463024449</v>
      </c>
    </row>
    <row r="119" customFormat="false" ht="15" hidden="false" customHeight="false" outlineLevel="0" collapsed="false">
      <c r="A119" s="26" t="str">
        <f aca="false">'Task Breakdown'!A290</f>
        <v>DR-1.05.05</v>
      </c>
      <c r="B119" s="27" t="str">
        <f aca="false">'Task Breakdown'!G290</f>
        <v>Set up schema migration tooling (Flyway / Liquibase)</v>
      </c>
      <c r="C119" s="28"/>
      <c r="D119" s="28"/>
      <c r="E119" s="29" t="n">
        <f aca="false">'Task Breakdown'!I290</f>
        <v>0</v>
      </c>
      <c r="F119" s="29" t="n">
        <f aca="false">'Task Breakdown'!J290</f>
        <v>0</v>
      </c>
      <c r="G119" s="29" t="n">
        <f aca="false">'Task Breakdown'!K290</f>
        <v>8</v>
      </c>
      <c r="H119" s="29" t="n">
        <f aca="false">'Task Breakdown'!L290</f>
        <v>0</v>
      </c>
      <c r="I119" s="29" t="n">
        <f aca="false">'Task Breakdown'!M290</f>
        <v>0</v>
      </c>
      <c r="J119" s="29" t="n">
        <f aca="false">'Task Breakdown'!N290</f>
        <v>0</v>
      </c>
      <c r="K119" s="29" t="n">
        <f aca="false">'Task Breakdown'!O290</f>
        <v>8</v>
      </c>
      <c r="L119" s="29" t="n">
        <f aca="false">'Task Breakdown'!P290</f>
        <v>0</v>
      </c>
      <c r="M119" s="29" t="n">
        <f aca="false">'Task Breakdown'!Q290</f>
        <v>0</v>
      </c>
      <c r="N119" s="29" t="n">
        <f aca="false">'Task Breakdown'!R290</f>
        <v>0</v>
      </c>
      <c r="O119" s="29" t="n">
        <f aca="false">'Task Breakdown'!S290</f>
        <v>0</v>
      </c>
      <c r="P119" s="29" t="n">
        <f aca="false">'Task Breakdown'!T290</f>
        <v>0</v>
      </c>
      <c r="Q119" s="30" t="n">
        <f aca="false">SUM(E119:P119)</f>
        <v>16</v>
      </c>
      <c r="R119" s="31" t="n">
        <f aca="false">IF($Q$183&gt;0,Q119/$Q$183,0)</f>
        <v>0.00482945970419559</v>
      </c>
    </row>
    <row r="120" customFormat="false" ht="15" hidden="false" customHeight="false" outlineLevel="0" collapsed="false">
      <c r="A120" s="26" t="str">
        <f aca="false">'Task Breakdown'!A291</f>
        <v>DR-1.05.06</v>
      </c>
      <c r="B120" s="27" t="str">
        <f aca="false">'Task Breakdown'!G291</f>
        <v>Detailed design and design review</v>
      </c>
      <c r="C120" s="28"/>
      <c r="D120" s="28"/>
      <c r="E120" s="29" t="n">
        <f aca="false">'Task Breakdown'!I291</f>
        <v>0</v>
      </c>
      <c r="F120" s="29" t="n">
        <f aca="false">'Task Breakdown'!J291</f>
        <v>6</v>
      </c>
      <c r="G120" s="29" t="n">
        <f aca="false">'Task Breakdown'!K291</f>
        <v>0</v>
      </c>
      <c r="H120" s="29" t="n">
        <f aca="false">'Task Breakdown'!L291</f>
        <v>0</v>
      </c>
      <c r="I120" s="29" t="n">
        <f aca="false">'Task Breakdown'!M291</f>
        <v>0</v>
      </c>
      <c r="J120" s="29" t="n">
        <f aca="false">'Task Breakdown'!N291</f>
        <v>0</v>
      </c>
      <c r="K120" s="29" t="n">
        <f aca="false">'Task Breakdown'!O291</f>
        <v>0</v>
      </c>
      <c r="L120" s="29" t="n">
        <f aca="false">'Task Breakdown'!P291</f>
        <v>0</v>
      </c>
      <c r="M120" s="29" t="n">
        <f aca="false">'Task Breakdown'!Q291</f>
        <v>0</v>
      </c>
      <c r="N120" s="29" t="n">
        <f aca="false">'Task Breakdown'!R291</f>
        <v>0</v>
      </c>
      <c r="O120" s="29" t="n">
        <f aca="false">'Task Breakdown'!S291</f>
        <v>0</v>
      </c>
      <c r="P120" s="29" t="n">
        <f aca="false">'Task Breakdown'!T291</f>
        <v>0</v>
      </c>
      <c r="Q120" s="30" t="n">
        <f aca="false">SUM(E120:P120)</f>
        <v>6</v>
      </c>
      <c r="R120" s="31" t="n">
        <f aca="false">IF($Q$183&gt;0,Q120/$Q$183,0)</f>
        <v>0.00181104738907335</v>
      </c>
    </row>
    <row r="121" customFormat="false" ht="15" hidden="false" customHeight="false" outlineLevel="0" collapsed="false">
      <c r="A121" s="26" t="str">
        <f aca="false">'Task Breakdown'!A292</f>
        <v>DR-1.05.07</v>
      </c>
      <c r="B121" s="27" t="str">
        <f aca="false">'Task Breakdown'!G292</f>
        <v>Promote through dev / test / prod and release</v>
      </c>
      <c r="C121" s="28"/>
      <c r="D121" s="28"/>
      <c r="E121" s="29" t="n">
        <f aca="false">'Task Breakdown'!I292</f>
        <v>0</v>
      </c>
      <c r="F121" s="29" t="n">
        <f aca="false">'Task Breakdown'!J292</f>
        <v>0</v>
      </c>
      <c r="G121" s="29" t="n">
        <f aca="false">'Task Breakdown'!K292</f>
        <v>4</v>
      </c>
      <c r="H121" s="29" t="n">
        <f aca="false">'Task Breakdown'!L292</f>
        <v>0</v>
      </c>
      <c r="I121" s="29" t="n">
        <f aca="false">'Task Breakdown'!M292</f>
        <v>0</v>
      </c>
      <c r="J121" s="29" t="n">
        <f aca="false">'Task Breakdown'!N292</f>
        <v>0</v>
      </c>
      <c r="K121" s="29" t="n">
        <f aca="false">'Task Breakdown'!O292</f>
        <v>0</v>
      </c>
      <c r="L121" s="29" t="n">
        <f aca="false">'Task Breakdown'!P292</f>
        <v>0</v>
      </c>
      <c r="M121" s="29" t="n">
        <f aca="false">'Task Breakdown'!Q292</f>
        <v>0</v>
      </c>
      <c r="N121" s="29" t="n">
        <f aca="false">'Task Breakdown'!R292</f>
        <v>0</v>
      </c>
      <c r="O121" s="29" t="n">
        <f aca="false">'Task Breakdown'!S292</f>
        <v>0</v>
      </c>
      <c r="P121" s="29" t="n">
        <f aca="false">'Task Breakdown'!T292</f>
        <v>0</v>
      </c>
      <c r="Q121" s="30" t="n">
        <f aca="false">SUM(E121:P121)</f>
        <v>4</v>
      </c>
      <c r="R121" s="31" t="n">
        <f aca="false">IF($Q$183&gt;0,Q121/$Q$183,0)</f>
        <v>0.0012073649260489</v>
      </c>
    </row>
    <row r="122" customFormat="false" ht="15" hidden="false" customHeight="false" outlineLevel="0" collapsed="false">
      <c r="A122" s="26" t="str">
        <f aca="false">'Task Breakdown'!A293</f>
        <v>DR-1.05.08</v>
      </c>
      <c r="B122" s="27" t="str">
        <f aca="false">'Task Breakdown'!G293</f>
        <v>Documentation, runbook and knowledge transfer</v>
      </c>
      <c r="C122" s="28"/>
      <c r="D122" s="28"/>
      <c r="E122" s="29" t="n">
        <f aca="false">'Task Breakdown'!I293</f>
        <v>0</v>
      </c>
      <c r="F122" s="29" t="n">
        <f aca="false">'Task Breakdown'!J293</f>
        <v>0</v>
      </c>
      <c r="G122" s="29" t="n">
        <f aca="false">'Task Breakdown'!K293</f>
        <v>4</v>
      </c>
      <c r="H122" s="29" t="n">
        <f aca="false">'Task Breakdown'!L293</f>
        <v>0</v>
      </c>
      <c r="I122" s="29" t="n">
        <f aca="false">'Task Breakdown'!M293</f>
        <v>0</v>
      </c>
      <c r="J122" s="29" t="n">
        <f aca="false">'Task Breakdown'!N293</f>
        <v>0</v>
      </c>
      <c r="K122" s="29" t="n">
        <f aca="false">'Task Breakdown'!O293</f>
        <v>0</v>
      </c>
      <c r="L122" s="29" t="n">
        <f aca="false">'Task Breakdown'!P293</f>
        <v>0</v>
      </c>
      <c r="M122" s="29" t="n">
        <f aca="false">'Task Breakdown'!Q293</f>
        <v>0</v>
      </c>
      <c r="N122" s="29" t="n">
        <f aca="false">'Task Breakdown'!R293</f>
        <v>0</v>
      </c>
      <c r="O122" s="29" t="n">
        <f aca="false">'Task Breakdown'!S293</f>
        <v>0</v>
      </c>
      <c r="P122" s="29" t="n">
        <f aca="false">'Task Breakdown'!T293</f>
        <v>0</v>
      </c>
      <c r="Q122" s="30" t="n">
        <f aca="false">SUM(E122:P122)</f>
        <v>4</v>
      </c>
      <c r="R122" s="31" t="n">
        <f aca="false">IF($Q$183&gt;0,Q122/$Q$183,0)</f>
        <v>0.0012073649260489</v>
      </c>
    </row>
    <row r="123" customFormat="false" ht="15" hidden="false" customHeight="false" outlineLevel="0" collapsed="false">
      <c r="A123" s="26" t="str">
        <f aca="false">'Task Breakdown'!A294</f>
        <v>DR-1.05.09</v>
      </c>
      <c r="B123" s="27" t="str">
        <f aca="false">'Task Breakdown'!G294</f>
        <v>Defect fixing and rework after testing</v>
      </c>
      <c r="C123" s="28"/>
      <c r="D123" s="28"/>
      <c r="E123" s="29" t="n">
        <f aca="false">'Task Breakdown'!I294</f>
        <v>0</v>
      </c>
      <c r="F123" s="29" t="n">
        <f aca="false">'Task Breakdown'!J294</f>
        <v>0</v>
      </c>
      <c r="G123" s="29" t="n">
        <f aca="false">'Task Breakdown'!K294</f>
        <v>8</v>
      </c>
      <c r="H123" s="29" t="n">
        <f aca="false">'Task Breakdown'!L294</f>
        <v>0</v>
      </c>
      <c r="I123" s="29" t="n">
        <f aca="false">'Task Breakdown'!M294</f>
        <v>0</v>
      </c>
      <c r="J123" s="29" t="n">
        <f aca="false">'Task Breakdown'!N294</f>
        <v>0</v>
      </c>
      <c r="K123" s="29" t="n">
        <f aca="false">'Task Breakdown'!O294</f>
        <v>0</v>
      </c>
      <c r="L123" s="29" t="n">
        <f aca="false">'Task Breakdown'!P294</f>
        <v>0</v>
      </c>
      <c r="M123" s="29" t="n">
        <f aca="false">'Task Breakdown'!Q294</f>
        <v>0</v>
      </c>
      <c r="N123" s="29" t="n">
        <f aca="false">'Task Breakdown'!R294</f>
        <v>0</v>
      </c>
      <c r="O123" s="29" t="n">
        <f aca="false">'Task Breakdown'!S294</f>
        <v>0</v>
      </c>
      <c r="P123" s="29" t="n">
        <f aca="false">'Task Breakdown'!T294</f>
        <v>0</v>
      </c>
      <c r="Q123" s="30" t="n">
        <f aca="false">SUM(E123:P123)</f>
        <v>8</v>
      </c>
      <c r="R123" s="31" t="n">
        <f aca="false">IF($Q$183&gt;0,Q123/$Q$183,0)</f>
        <v>0.0024147298520978</v>
      </c>
    </row>
    <row r="124" customFormat="false" ht="15" hidden="false" customHeight="false" outlineLevel="0" collapsed="false">
      <c r="A124" s="23" t="s">
        <v>136</v>
      </c>
      <c r="B124" s="23" t="s">
        <v>137</v>
      </c>
      <c r="C124" s="23" t="s">
        <v>44</v>
      </c>
      <c r="D124" s="23" t="s">
        <v>138</v>
      </c>
      <c r="E124" s="24" t="n">
        <f aca="false">SUM(E125:E131)</f>
        <v>0</v>
      </c>
      <c r="F124" s="24" t="n">
        <f aca="false">SUM(F125:F131)</f>
        <v>0</v>
      </c>
      <c r="G124" s="24" t="n">
        <f aca="false">SUM(G125:G131)</f>
        <v>0</v>
      </c>
      <c r="H124" s="24" t="n">
        <f aca="false">SUM(H125:H131)</f>
        <v>20</v>
      </c>
      <c r="I124" s="24" t="n">
        <f aca="false">SUM(I125:I131)</f>
        <v>0</v>
      </c>
      <c r="J124" s="24" t="n">
        <f aca="false">SUM(J125:J131)</f>
        <v>0</v>
      </c>
      <c r="K124" s="24" t="n">
        <f aca="false">SUM(K125:K131)</f>
        <v>41</v>
      </c>
      <c r="L124" s="24" t="n">
        <f aca="false">SUM(L125:L131)</f>
        <v>118</v>
      </c>
      <c r="M124" s="24" t="n">
        <f aca="false">SUM(M125:M131)</f>
        <v>0</v>
      </c>
      <c r="N124" s="24" t="n">
        <f aca="false">SUM(N125:N131)</f>
        <v>0</v>
      </c>
      <c r="O124" s="24" t="n">
        <f aca="false">SUM(O125:O131)</f>
        <v>0</v>
      </c>
      <c r="P124" s="24" t="n">
        <f aca="false">SUM(P125:P131)</f>
        <v>0</v>
      </c>
      <c r="Q124" s="24" t="n">
        <f aca="false">SUM(Q125:Q131)</f>
        <v>179</v>
      </c>
      <c r="R124" s="25" t="n">
        <f aca="false">IF($Q$183&gt;0,Q124/$Q$183,0)</f>
        <v>0.0540295804406882</v>
      </c>
    </row>
    <row r="125" customFormat="false" ht="15" hidden="false" customHeight="false" outlineLevel="0" collapsed="false">
      <c r="A125" s="26" t="str">
        <f aca="false">'Task Breakdown'!A295</f>
        <v>DR-1.06.01</v>
      </c>
      <c r="B125" s="27" t="str">
        <f aca="false">'Task Breakdown'!G295</f>
        <v>Deploy Purview Unified Catalog and register sources</v>
      </c>
      <c r="C125" s="28"/>
      <c r="D125" s="28"/>
      <c r="E125" s="29" t="n">
        <f aca="false">'Task Breakdown'!I295</f>
        <v>0</v>
      </c>
      <c r="F125" s="29" t="n">
        <f aca="false">'Task Breakdown'!J295</f>
        <v>0</v>
      </c>
      <c r="G125" s="29" t="n">
        <f aca="false">'Task Breakdown'!K295</f>
        <v>0</v>
      </c>
      <c r="H125" s="29" t="n">
        <f aca="false">'Task Breakdown'!L295</f>
        <v>0</v>
      </c>
      <c r="I125" s="29" t="n">
        <f aca="false">'Task Breakdown'!M295</f>
        <v>0</v>
      </c>
      <c r="J125" s="29" t="n">
        <f aca="false">'Task Breakdown'!N295</f>
        <v>0</v>
      </c>
      <c r="K125" s="29" t="n">
        <f aca="false">'Task Breakdown'!O295</f>
        <v>10</v>
      </c>
      <c r="L125" s="29" t="n">
        <f aca="false">'Task Breakdown'!P295</f>
        <v>20</v>
      </c>
      <c r="M125" s="29" t="n">
        <f aca="false">'Task Breakdown'!Q295</f>
        <v>0</v>
      </c>
      <c r="N125" s="29" t="n">
        <f aca="false">'Task Breakdown'!R295</f>
        <v>0</v>
      </c>
      <c r="O125" s="29" t="n">
        <f aca="false">'Task Breakdown'!S295</f>
        <v>0</v>
      </c>
      <c r="P125" s="29" t="n">
        <f aca="false">'Task Breakdown'!T295</f>
        <v>0</v>
      </c>
      <c r="Q125" s="30" t="n">
        <f aca="false">SUM(E125:P125)</f>
        <v>30</v>
      </c>
      <c r="R125" s="31" t="n">
        <f aca="false">IF($Q$183&gt;0,Q125/$Q$183,0)</f>
        <v>0.00905523694536674</v>
      </c>
    </row>
    <row r="126" customFormat="false" ht="15" hidden="false" customHeight="false" outlineLevel="0" collapsed="false">
      <c r="A126" s="26" t="str">
        <f aca="false">'Task Breakdown'!A296</f>
        <v>DR-1.06.02</v>
      </c>
      <c r="B126" s="27" t="str">
        <f aca="false">'Task Breakdown'!G296</f>
        <v>Configure scans for SAP, SQL, ADLS and SharePoint</v>
      </c>
      <c r="C126" s="28"/>
      <c r="D126" s="28"/>
      <c r="E126" s="29" t="n">
        <f aca="false">'Task Breakdown'!I296</f>
        <v>0</v>
      </c>
      <c r="F126" s="29" t="n">
        <f aca="false">'Task Breakdown'!J296</f>
        <v>0</v>
      </c>
      <c r="G126" s="29" t="n">
        <f aca="false">'Task Breakdown'!K296</f>
        <v>0</v>
      </c>
      <c r="H126" s="29" t="n">
        <f aca="false">'Task Breakdown'!L296</f>
        <v>0</v>
      </c>
      <c r="I126" s="29" t="n">
        <f aca="false">'Task Breakdown'!M296</f>
        <v>0</v>
      </c>
      <c r="J126" s="29" t="n">
        <f aca="false">'Task Breakdown'!N296</f>
        <v>0</v>
      </c>
      <c r="K126" s="29" t="n">
        <f aca="false">'Task Breakdown'!O296</f>
        <v>31</v>
      </c>
      <c r="L126" s="29" t="n">
        <f aca="false">'Task Breakdown'!P296</f>
        <v>0</v>
      </c>
      <c r="M126" s="29" t="n">
        <f aca="false">'Task Breakdown'!Q296</f>
        <v>0</v>
      </c>
      <c r="N126" s="29" t="n">
        <f aca="false">'Task Breakdown'!R296</f>
        <v>0</v>
      </c>
      <c r="O126" s="29" t="n">
        <f aca="false">'Task Breakdown'!S296</f>
        <v>0</v>
      </c>
      <c r="P126" s="29" t="n">
        <f aca="false">'Task Breakdown'!T296</f>
        <v>0</v>
      </c>
      <c r="Q126" s="30" t="n">
        <f aca="false">SUM(E126:P126)</f>
        <v>31</v>
      </c>
      <c r="R126" s="31" t="n">
        <f aca="false">IF($Q$183&gt;0,Q126/$Q$183,0)</f>
        <v>0.00935707817687896</v>
      </c>
    </row>
    <row r="127" customFormat="false" ht="15" hidden="false" customHeight="false" outlineLevel="0" collapsed="false">
      <c r="A127" s="26" t="str">
        <f aca="false">'Task Breakdown'!A297</f>
        <v>DR-1.06.03</v>
      </c>
      <c r="B127" s="27" t="str">
        <f aca="false">'Task Breakdown'!G297</f>
        <v>Build business glossary of manufacturing terms</v>
      </c>
      <c r="C127" s="28"/>
      <c r="D127" s="28"/>
      <c r="E127" s="29" t="n">
        <f aca="false">'Task Breakdown'!I297</f>
        <v>0</v>
      </c>
      <c r="F127" s="29" t="n">
        <f aca="false">'Task Breakdown'!J297</f>
        <v>0</v>
      </c>
      <c r="G127" s="29" t="n">
        <f aca="false">'Task Breakdown'!K297</f>
        <v>0</v>
      </c>
      <c r="H127" s="29" t="n">
        <f aca="false">'Task Breakdown'!L297</f>
        <v>0</v>
      </c>
      <c r="I127" s="29" t="n">
        <f aca="false">'Task Breakdown'!M297</f>
        <v>0</v>
      </c>
      <c r="J127" s="29" t="n">
        <f aca="false">'Task Breakdown'!N297</f>
        <v>0</v>
      </c>
      <c r="K127" s="29" t="n">
        <f aca="false">'Task Breakdown'!O297</f>
        <v>0</v>
      </c>
      <c r="L127" s="29" t="n">
        <f aca="false">'Task Breakdown'!P297</f>
        <v>41</v>
      </c>
      <c r="M127" s="29" t="n">
        <f aca="false">'Task Breakdown'!Q297</f>
        <v>0</v>
      </c>
      <c r="N127" s="29" t="n">
        <f aca="false">'Task Breakdown'!R297</f>
        <v>0</v>
      </c>
      <c r="O127" s="29" t="n">
        <f aca="false">'Task Breakdown'!S297</f>
        <v>0</v>
      </c>
      <c r="P127" s="29" t="n">
        <f aca="false">'Task Breakdown'!T297</f>
        <v>0</v>
      </c>
      <c r="Q127" s="30" t="n">
        <f aca="false">SUM(E127:P127)</f>
        <v>41</v>
      </c>
      <c r="R127" s="31" t="n">
        <f aca="false">IF($Q$183&gt;0,Q127/$Q$183,0)</f>
        <v>0.0123754904920012</v>
      </c>
    </row>
    <row r="128" customFormat="false" ht="15" hidden="false" customHeight="false" outlineLevel="0" collapsed="false">
      <c r="A128" s="26" t="str">
        <f aca="false">'Task Breakdown'!A298</f>
        <v>DR-1.06.04</v>
      </c>
      <c r="B128" s="27" t="str">
        <f aca="false">'Task Breakdown'!G298</f>
        <v>Set up catalog collections and access</v>
      </c>
      <c r="C128" s="28"/>
      <c r="D128" s="28"/>
      <c r="E128" s="29" t="n">
        <f aca="false">'Task Breakdown'!I298</f>
        <v>0</v>
      </c>
      <c r="F128" s="29" t="n">
        <f aca="false">'Task Breakdown'!J298</f>
        <v>0</v>
      </c>
      <c r="G128" s="29" t="n">
        <f aca="false">'Task Breakdown'!K298</f>
        <v>0</v>
      </c>
      <c r="H128" s="29" t="n">
        <f aca="false">'Task Breakdown'!L298</f>
        <v>10</v>
      </c>
      <c r="I128" s="29" t="n">
        <f aca="false">'Task Breakdown'!M298</f>
        <v>0</v>
      </c>
      <c r="J128" s="29" t="n">
        <f aca="false">'Task Breakdown'!N298</f>
        <v>0</v>
      </c>
      <c r="K128" s="29" t="n">
        <f aca="false">'Task Breakdown'!O298</f>
        <v>0</v>
      </c>
      <c r="L128" s="29" t="n">
        <f aca="false">'Task Breakdown'!P298</f>
        <v>20</v>
      </c>
      <c r="M128" s="29" t="n">
        <f aca="false">'Task Breakdown'!Q298</f>
        <v>0</v>
      </c>
      <c r="N128" s="29" t="n">
        <f aca="false">'Task Breakdown'!R298</f>
        <v>0</v>
      </c>
      <c r="O128" s="29" t="n">
        <f aca="false">'Task Breakdown'!S298</f>
        <v>0</v>
      </c>
      <c r="P128" s="29" t="n">
        <f aca="false">'Task Breakdown'!T298</f>
        <v>0</v>
      </c>
      <c r="Q128" s="30" t="n">
        <f aca="false">SUM(E128:P128)</f>
        <v>30</v>
      </c>
      <c r="R128" s="31" t="n">
        <f aca="false">IF($Q$183&gt;0,Q128/$Q$183,0)</f>
        <v>0.00905523694536674</v>
      </c>
    </row>
    <row r="129" customFormat="false" ht="15" hidden="false" customHeight="false" outlineLevel="0" collapsed="false">
      <c r="A129" s="26" t="str">
        <f aca="false">'Task Breakdown'!A299</f>
        <v>DR-1.06.05</v>
      </c>
      <c r="B129" s="27" t="str">
        <f aca="false">'Task Breakdown'!G299</f>
        <v>Capture baseline lineage</v>
      </c>
      <c r="C129" s="28"/>
      <c r="D129" s="28"/>
      <c r="E129" s="29" t="n">
        <f aca="false">'Task Breakdown'!I299</f>
        <v>0</v>
      </c>
      <c r="F129" s="29" t="n">
        <f aca="false">'Task Breakdown'!J299</f>
        <v>0</v>
      </c>
      <c r="G129" s="29" t="n">
        <f aca="false">'Task Breakdown'!K299</f>
        <v>0</v>
      </c>
      <c r="H129" s="29" t="n">
        <f aca="false">'Task Breakdown'!L299</f>
        <v>10</v>
      </c>
      <c r="I129" s="29" t="n">
        <f aca="false">'Task Breakdown'!M299</f>
        <v>0</v>
      </c>
      <c r="J129" s="29" t="n">
        <f aca="false">'Task Breakdown'!N299</f>
        <v>0</v>
      </c>
      <c r="K129" s="29" t="n">
        <f aca="false">'Task Breakdown'!O299</f>
        <v>0</v>
      </c>
      <c r="L129" s="29" t="n">
        <f aca="false">'Task Breakdown'!P299</f>
        <v>20</v>
      </c>
      <c r="M129" s="29" t="n">
        <f aca="false">'Task Breakdown'!Q299</f>
        <v>0</v>
      </c>
      <c r="N129" s="29" t="n">
        <f aca="false">'Task Breakdown'!R299</f>
        <v>0</v>
      </c>
      <c r="O129" s="29" t="n">
        <f aca="false">'Task Breakdown'!S299</f>
        <v>0</v>
      </c>
      <c r="P129" s="29" t="n">
        <f aca="false">'Task Breakdown'!T299</f>
        <v>0</v>
      </c>
      <c r="Q129" s="30" t="n">
        <f aca="false">SUM(E129:P129)</f>
        <v>30</v>
      </c>
      <c r="R129" s="31" t="n">
        <f aca="false">IF($Q$183&gt;0,Q129/$Q$183,0)</f>
        <v>0.00905523694536674</v>
      </c>
    </row>
    <row r="130" customFormat="false" ht="15" hidden="false" customHeight="false" outlineLevel="0" collapsed="false">
      <c r="A130" s="26" t="str">
        <f aca="false">'Task Breakdown'!A300</f>
        <v>DR-1.06.06</v>
      </c>
      <c r="B130" s="27" t="str">
        <f aca="false">'Task Breakdown'!G300</f>
        <v>Detailed design and design review</v>
      </c>
      <c r="C130" s="28"/>
      <c r="D130" s="28"/>
      <c r="E130" s="29" t="n">
        <f aca="false">'Task Breakdown'!I300</f>
        <v>0</v>
      </c>
      <c r="F130" s="29" t="n">
        <f aca="false">'Task Breakdown'!J300</f>
        <v>0</v>
      </c>
      <c r="G130" s="29" t="n">
        <f aca="false">'Task Breakdown'!K300</f>
        <v>0</v>
      </c>
      <c r="H130" s="29" t="n">
        <f aca="false">'Task Breakdown'!L300</f>
        <v>0</v>
      </c>
      <c r="I130" s="29" t="n">
        <f aca="false">'Task Breakdown'!M300</f>
        <v>0</v>
      </c>
      <c r="J130" s="29" t="n">
        <f aca="false">'Task Breakdown'!N300</f>
        <v>0</v>
      </c>
      <c r="K130" s="29" t="n">
        <f aca="false">'Task Breakdown'!O300</f>
        <v>0</v>
      </c>
      <c r="L130" s="29" t="n">
        <f aca="false">'Task Breakdown'!P300</f>
        <v>10</v>
      </c>
      <c r="M130" s="29" t="n">
        <f aca="false">'Task Breakdown'!Q300</f>
        <v>0</v>
      </c>
      <c r="N130" s="29" t="n">
        <f aca="false">'Task Breakdown'!R300</f>
        <v>0</v>
      </c>
      <c r="O130" s="29" t="n">
        <f aca="false">'Task Breakdown'!S300</f>
        <v>0</v>
      </c>
      <c r="P130" s="29" t="n">
        <f aca="false">'Task Breakdown'!T300</f>
        <v>0</v>
      </c>
      <c r="Q130" s="30" t="n">
        <f aca="false">SUM(E130:P130)</f>
        <v>10</v>
      </c>
      <c r="R130" s="31" t="n">
        <f aca="false">IF($Q$183&gt;0,Q130/$Q$183,0)</f>
        <v>0.00301841231512225</v>
      </c>
    </row>
    <row r="131" customFormat="false" ht="15" hidden="false" customHeight="false" outlineLevel="0" collapsed="false">
      <c r="A131" s="26" t="str">
        <f aca="false">'Task Breakdown'!A301</f>
        <v>DR-1.06.07</v>
      </c>
      <c r="B131" s="27" t="str">
        <f aca="false">'Task Breakdown'!G301</f>
        <v>Documentation, runbook and knowledge transfer</v>
      </c>
      <c r="C131" s="28"/>
      <c r="D131" s="28"/>
      <c r="E131" s="29" t="n">
        <f aca="false">'Task Breakdown'!I301</f>
        <v>0</v>
      </c>
      <c r="F131" s="29" t="n">
        <f aca="false">'Task Breakdown'!J301</f>
        <v>0</v>
      </c>
      <c r="G131" s="29" t="n">
        <f aca="false">'Task Breakdown'!K301</f>
        <v>0</v>
      </c>
      <c r="H131" s="29" t="n">
        <f aca="false">'Task Breakdown'!L301</f>
        <v>0</v>
      </c>
      <c r="I131" s="29" t="n">
        <f aca="false">'Task Breakdown'!M301</f>
        <v>0</v>
      </c>
      <c r="J131" s="29" t="n">
        <f aca="false">'Task Breakdown'!N301</f>
        <v>0</v>
      </c>
      <c r="K131" s="29" t="n">
        <f aca="false">'Task Breakdown'!O301</f>
        <v>0</v>
      </c>
      <c r="L131" s="29" t="n">
        <f aca="false">'Task Breakdown'!P301</f>
        <v>7</v>
      </c>
      <c r="M131" s="29" t="n">
        <f aca="false">'Task Breakdown'!Q301</f>
        <v>0</v>
      </c>
      <c r="N131" s="29" t="n">
        <f aca="false">'Task Breakdown'!R301</f>
        <v>0</v>
      </c>
      <c r="O131" s="29" t="n">
        <f aca="false">'Task Breakdown'!S301</f>
        <v>0</v>
      </c>
      <c r="P131" s="29" t="n">
        <f aca="false">'Task Breakdown'!T301</f>
        <v>0</v>
      </c>
      <c r="Q131" s="30" t="n">
        <f aca="false">SUM(E131:P131)</f>
        <v>7</v>
      </c>
      <c r="R131" s="31" t="n">
        <f aca="false">IF($Q$183&gt;0,Q131/$Q$183,0)</f>
        <v>0.00211288862058557</v>
      </c>
    </row>
    <row r="132" customFormat="false" ht="15" hidden="false" customHeight="false" outlineLevel="0" collapsed="false">
      <c r="A132" s="9"/>
      <c r="B132" s="10" t="s">
        <v>139</v>
      </c>
      <c r="C132" s="9"/>
      <c r="D132" s="9"/>
      <c r="E132" s="32" t="n">
        <f aca="false">E82+E89+E97+E104+E114+E124</f>
        <v>16</v>
      </c>
      <c r="F132" s="32" t="n">
        <f aca="false">F82+F89+F97+F104+F114+F124</f>
        <v>43</v>
      </c>
      <c r="G132" s="32" t="n">
        <f aca="false">G82+G89+G97+G104+G114+G124</f>
        <v>126</v>
      </c>
      <c r="H132" s="32" t="n">
        <f aca="false">H82+H89+H97+H104+H114+H124</f>
        <v>76</v>
      </c>
      <c r="I132" s="32" t="n">
        <f aca="false">I82+I89+I97+I104+I114+I124</f>
        <v>0</v>
      </c>
      <c r="J132" s="32" t="n">
        <f aca="false">J82+J89+J97+J104+J114+J124</f>
        <v>0</v>
      </c>
      <c r="K132" s="32" t="n">
        <f aca="false">K82+K89+K97+K104+K114+K124</f>
        <v>142</v>
      </c>
      <c r="L132" s="32" t="n">
        <f aca="false">L82+L89+L97+L104+L114+L124</f>
        <v>330</v>
      </c>
      <c r="M132" s="32" t="n">
        <f aca="false">M82+M89+M97+M104+M114+M124</f>
        <v>0</v>
      </c>
      <c r="N132" s="32" t="n">
        <f aca="false">N82+N89+N97+N104+N114+N124</f>
        <v>109</v>
      </c>
      <c r="O132" s="32" t="n">
        <f aca="false">O82+O89+O97+O104+O114+O124</f>
        <v>0</v>
      </c>
      <c r="P132" s="32" t="n">
        <f aca="false">P82+P89+P97+P104+P114+P124</f>
        <v>16</v>
      </c>
      <c r="Q132" s="32" t="n">
        <f aca="false">Q82+Q89+Q97+Q104+Q114+Q124</f>
        <v>858</v>
      </c>
      <c r="R132" s="33" t="n">
        <f aca="false">IF($Q$183&gt;0,Q132/$Q$183,0)</f>
        <v>0.258979776637489</v>
      </c>
    </row>
    <row r="134" customFormat="false" ht="15" hidden="false" customHeight="false" outlineLevel="0" collapsed="false">
      <c r="A134" s="21" t="s">
        <v>140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</row>
    <row r="135" customFormat="false" ht="15" hidden="false" customHeight="false" outlineLevel="0" collapsed="false">
      <c r="A135" s="23" t="s">
        <v>141</v>
      </c>
      <c r="B135" s="23" t="s">
        <v>142</v>
      </c>
      <c r="C135" s="23" t="s">
        <v>45</v>
      </c>
      <c r="D135" s="23" t="s">
        <v>143</v>
      </c>
      <c r="E135" s="24" t="n">
        <f aca="false">SUM(E136:E141)</f>
        <v>40</v>
      </c>
      <c r="F135" s="24" t="n">
        <f aca="false">SUM(F136:F141)</f>
        <v>0</v>
      </c>
      <c r="G135" s="24" t="n">
        <f aca="false">SUM(G136:G141)</f>
        <v>0</v>
      </c>
      <c r="H135" s="24" t="n">
        <f aca="false">SUM(H136:H141)</f>
        <v>0</v>
      </c>
      <c r="I135" s="24" t="n">
        <f aca="false">SUM(I136:I141)</f>
        <v>20</v>
      </c>
      <c r="J135" s="24" t="n">
        <f aca="false">SUM(J136:J141)</f>
        <v>0</v>
      </c>
      <c r="K135" s="24" t="n">
        <f aca="false">SUM(K136:K141)</f>
        <v>0</v>
      </c>
      <c r="L135" s="24" t="n">
        <f aca="false">SUM(L136:L141)</f>
        <v>0</v>
      </c>
      <c r="M135" s="24" t="n">
        <f aca="false">SUM(M136:M141)</f>
        <v>0</v>
      </c>
      <c r="N135" s="24" t="n">
        <f aca="false">SUM(N136:N141)</f>
        <v>119</v>
      </c>
      <c r="O135" s="24" t="n">
        <f aca="false">SUM(O136:O141)</f>
        <v>0</v>
      </c>
      <c r="P135" s="24" t="n">
        <f aca="false">SUM(P136:P141)</f>
        <v>0</v>
      </c>
      <c r="Q135" s="24" t="n">
        <f aca="false">SUM(Q136:Q141)</f>
        <v>179</v>
      </c>
      <c r="R135" s="25" t="n">
        <f aca="false">IF($Q$183&gt;0,Q135/$Q$183,0)</f>
        <v>0.0540295804406882</v>
      </c>
    </row>
    <row r="136" customFormat="false" ht="15" hidden="false" customHeight="false" outlineLevel="0" collapsed="false">
      <c r="A136" s="26" t="str">
        <f aca="false">'Task Breakdown'!A457</f>
        <v>UC-1.01.01</v>
      </c>
      <c r="B136" s="27" t="str">
        <f aca="false">'Task Breakdown'!G457</f>
        <v>Plan and run discovery workshops at plants and functions</v>
      </c>
      <c r="C136" s="28"/>
      <c r="D136" s="28"/>
      <c r="E136" s="29" t="n">
        <f aca="false">'Task Breakdown'!I457</f>
        <v>20</v>
      </c>
      <c r="F136" s="29" t="n">
        <f aca="false">'Task Breakdown'!J457</f>
        <v>0</v>
      </c>
      <c r="G136" s="29" t="n">
        <f aca="false">'Task Breakdown'!K457</f>
        <v>0</v>
      </c>
      <c r="H136" s="29" t="n">
        <f aca="false">'Task Breakdown'!L457</f>
        <v>0</v>
      </c>
      <c r="I136" s="29" t="n">
        <f aca="false">'Task Breakdown'!M457</f>
        <v>0</v>
      </c>
      <c r="J136" s="29" t="n">
        <f aca="false">'Task Breakdown'!N457</f>
        <v>0</v>
      </c>
      <c r="K136" s="29" t="n">
        <f aca="false">'Task Breakdown'!O457</f>
        <v>0</v>
      </c>
      <c r="L136" s="29" t="n">
        <f aca="false">'Task Breakdown'!P457</f>
        <v>0</v>
      </c>
      <c r="M136" s="29" t="n">
        <f aca="false">'Task Breakdown'!Q457</f>
        <v>0</v>
      </c>
      <c r="N136" s="29" t="n">
        <f aca="false">'Task Breakdown'!R457</f>
        <v>41</v>
      </c>
      <c r="O136" s="29" t="n">
        <f aca="false">'Task Breakdown'!S457</f>
        <v>0</v>
      </c>
      <c r="P136" s="29" t="n">
        <f aca="false">'Task Breakdown'!T457</f>
        <v>0</v>
      </c>
      <c r="Q136" s="30" t="n">
        <f aca="false">SUM(E136:P136)</f>
        <v>61</v>
      </c>
      <c r="R136" s="31" t="n">
        <f aca="false">IF($Q$183&gt;0,Q136/$Q$183,0)</f>
        <v>0.0184123151222457</v>
      </c>
    </row>
    <row r="137" customFormat="false" ht="15" hidden="false" customHeight="false" outlineLevel="0" collapsed="false">
      <c r="A137" s="26" t="str">
        <f aca="false">'Task Breakdown'!A458</f>
        <v>UC-1.01.02</v>
      </c>
      <c r="B137" s="27" t="str">
        <f aca="false">'Task Breakdown'!G458</f>
        <v>Capture pain points and ideas in a standard template</v>
      </c>
      <c r="C137" s="28"/>
      <c r="D137" s="28"/>
      <c r="E137" s="29" t="n">
        <f aca="false">'Task Breakdown'!I458</f>
        <v>0</v>
      </c>
      <c r="F137" s="29" t="n">
        <f aca="false">'Task Breakdown'!J458</f>
        <v>0</v>
      </c>
      <c r="G137" s="29" t="n">
        <f aca="false">'Task Breakdown'!K458</f>
        <v>0</v>
      </c>
      <c r="H137" s="29" t="n">
        <f aca="false">'Task Breakdown'!L458</f>
        <v>0</v>
      </c>
      <c r="I137" s="29" t="n">
        <f aca="false">'Task Breakdown'!M458</f>
        <v>0</v>
      </c>
      <c r="J137" s="29" t="n">
        <f aca="false">'Task Breakdown'!N458</f>
        <v>0</v>
      </c>
      <c r="K137" s="29" t="n">
        <f aca="false">'Task Breakdown'!O458</f>
        <v>0</v>
      </c>
      <c r="L137" s="29" t="n">
        <f aca="false">'Task Breakdown'!P458</f>
        <v>0</v>
      </c>
      <c r="M137" s="29" t="n">
        <f aca="false">'Task Breakdown'!Q458</f>
        <v>0</v>
      </c>
      <c r="N137" s="29" t="n">
        <f aca="false">'Task Breakdown'!R458</f>
        <v>41</v>
      </c>
      <c r="O137" s="29" t="n">
        <f aca="false">'Task Breakdown'!S458</f>
        <v>0</v>
      </c>
      <c r="P137" s="29" t="n">
        <f aca="false">'Task Breakdown'!T458</f>
        <v>0</v>
      </c>
      <c r="Q137" s="30" t="n">
        <f aca="false">SUM(E137:P137)</f>
        <v>41</v>
      </c>
      <c r="R137" s="31" t="n">
        <f aca="false">IF($Q$183&gt;0,Q137/$Q$183,0)</f>
        <v>0.0123754904920012</v>
      </c>
    </row>
    <row r="138" customFormat="false" ht="15" hidden="false" customHeight="false" outlineLevel="0" collapsed="false">
      <c r="A138" s="26" t="str">
        <f aca="false">'Task Breakdown'!A459</f>
        <v>UC-1.01.03</v>
      </c>
      <c r="B138" s="27" t="str">
        <f aca="false">'Task Breakdown'!G459</f>
        <v>Map ideas to agent types and architecture</v>
      </c>
      <c r="C138" s="28"/>
      <c r="D138" s="28"/>
      <c r="E138" s="29" t="n">
        <f aca="false">'Task Breakdown'!I459</f>
        <v>0</v>
      </c>
      <c r="F138" s="29" t="n">
        <f aca="false">'Task Breakdown'!J459</f>
        <v>0</v>
      </c>
      <c r="G138" s="29" t="n">
        <f aca="false">'Task Breakdown'!K459</f>
        <v>0</v>
      </c>
      <c r="H138" s="29" t="n">
        <f aca="false">'Task Breakdown'!L459</f>
        <v>0</v>
      </c>
      <c r="I138" s="29" t="n">
        <f aca="false">'Task Breakdown'!M459</f>
        <v>20</v>
      </c>
      <c r="J138" s="29" t="n">
        <f aca="false">'Task Breakdown'!N459</f>
        <v>0</v>
      </c>
      <c r="K138" s="29" t="n">
        <f aca="false">'Task Breakdown'!O459</f>
        <v>0</v>
      </c>
      <c r="L138" s="29" t="n">
        <f aca="false">'Task Breakdown'!P459</f>
        <v>0</v>
      </c>
      <c r="M138" s="29" t="n">
        <f aca="false">'Task Breakdown'!Q459</f>
        <v>0</v>
      </c>
      <c r="N138" s="29" t="n">
        <f aca="false">'Task Breakdown'!R459</f>
        <v>0</v>
      </c>
      <c r="O138" s="29" t="n">
        <f aca="false">'Task Breakdown'!S459</f>
        <v>0</v>
      </c>
      <c r="P138" s="29" t="n">
        <f aca="false">'Task Breakdown'!T459</f>
        <v>0</v>
      </c>
      <c r="Q138" s="30" t="n">
        <f aca="false">SUM(E138:P138)</f>
        <v>20</v>
      </c>
      <c r="R138" s="31" t="n">
        <f aca="false">IF($Q$183&gt;0,Q138/$Q$183,0)</f>
        <v>0.00603682463024449</v>
      </c>
    </row>
    <row r="139" customFormat="false" ht="15" hidden="false" customHeight="false" outlineLevel="0" collapsed="false">
      <c r="A139" s="26" t="str">
        <f aca="false">'Task Breakdown'!A460</f>
        <v>UC-1.01.04</v>
      </c>
      <c r="B139" s="27" t="str">
        <f aca="false">'Task Breakdown'!G460</f>
        <v>Consolidate the backlog</v>
      </c>
      <c r="C139" s="28"/>
      <c r="D139" s="28"/>
      <c r="E139" s="29" t="n">
        <f aca="false">'Task Breakdown'!I460</f>
        <v>20</v>
      </c>
      <c r="F139" s="29" t="n">
        <f aca="false">'Task Breakdown'!J460</f>
        <v>0</v>
      </c>
      <c r="G139" s="29" t="n">
        <f aca="false">'Task Breakdown'!K460</f>
        <v>0</v>
      </c>
      <c r="H139" s="29" t="n">
        <f aca="false">'Task Breakdown'!L460</f>
        <v>0</v>
      </c>
      <c r="I139" s="29" t="n">
        <f aca="false">'Task Breakdown'!M460</f>
        <v>0</v>
      </c>
      <c r="J139" s="29" t="n">
        <f aca="false">'Task Breakdown'!N460</f>
        <v>0</v>
      </c>
      <c r="K139" s="29" t="n">
        <f aca="false">'Task Breakdown'!O460</f>
        <v>0</v>
      </c>
      <c r="L139" s="29" t="n">
        <f aca="false">'Task Breakdown'!P460</f>
        <v>0</v>
      </c>
      <c r="M139" s="29" t="n">
        <f aca="false">'Task Breakdown'!Q460</f>
        <v>0</v>
      </c>
      <c r="N139" s="29" t="n">
        <f aca="false">'Task Breakdown'!R460</f>
        <v>20</v>
      </c>
      <c r="O139" s="29" t="n">
        <f aca="false">'Task Breakdown'!S460</f>
        <v>0</v>
      </c>
      <c r="P139" s="29" t="n">
        <f aca="false">'Task Breakdown'!T460</f>
        <v>0</v>
      </c>
      <c r="Q139" s="30" t="n">
        <f aca="false">SUM(E139:P139)</f>
        <v>40</v>
      </c>
      <c r="R139" s="31" t="n">
        <f aca="false">IF($Q$183&gt;0,Q139/$Q$183,0)</f>
        <v>0.012073649260489</v>
      </c>
    </row>
    <row r="140" customFormat="false" ht="15" hidden="false" customHeight="false" outlineLevel="0" collapsed="false">
      <c r="A140" s="26" t="str">
        <f aca="false">'Task Breakdown'!A461</f>
        <v>UC-1.01.05</v>
      </c>
      <c r="B140" s="27" t="str">
        <f aca="false">'Task Breakdown'!G461</f>
        <v>Detailed design and design review</v>
      </c>
      <c r="C140" s="28"/>
      <c r="D140" s="28"/>
      <c r="E140" s="29" t="n">
        <f aca="false">'Task Breakdown'!I461</f>
        <v>0</v>
      </c>
      <c r="F140" s="29" t="n">
        <f aca="false">'Task Breakdown'!J461</f>
        <v>0</v>
      </c>
      <c r="G140" s="29" t="n">
        <f aca="false">'Task Breakdown'!K461</f>
        <v>0</v>
      </c>
      <c r="H140" s="29" t="n">
        <f aca="false">'Task Breakdown'!L461</f>
        <v>0</v>
      </c>
      <c r="I140" s="29" t="n">
        <f aca="false">'Task Breakdown'!M461</f>
        <v>0</v>
      </c>
      <c r="J140" s="29" t="n">
        <f aca="false">'Task Breakdown'!N461</f>
        <v>0</v>
      </c>
      <c r="K140" s="29" t="n">
        <f aca="false">'Task Breakdown'!O461</f>
        <v>0</v>
      </c>
      <c r="L140" s="29" t="n">
        <f aca="false">'Task Breakdown'!P461</f>
        <v>0</v>
      </c>
      <c r="M140" s="29" t="n">
        <f aca="false">'Task Breakdown'!Q461</f>
        <v>0</v>
      </c>
      <c r="N140" s="29" t="n">
        <f aca="false">'Task Breakdown'!R461</f>
        <v>10</v>
      </c>
      <c r="O140" s="29" t="n">
        <f aca="false">'Task Breakdown'!S461</f>
        <v>0</v>
      </c>
      <c r="P140" s="29" t="n">
        <f aca="false">'Task Breakdown'!T461</f>
        <v>0</v>
      </c>
      <c r="Q140" s="30" t="n">
        <f aca="false">SUM(E140:P140)</f>
        <v>10</v>
      </c>
      <c r="R140" s="31" t="n">
        <f aca="false">IF($Q$183&gt;0,Q140/$Q$183,0)</f>
        <v>0.00301841231512225</v>
      </c>
    </row>
    <row r="141" customFormat="false" ht="15" hidden="false" customHeight="false" outlineLevel="0" collapsed="false">
      <c r="A141" s="26" t="str">
        <f aca="false">'Task Breakdown'!A462</f>
        <v>UC-1.01.06</v>
      </c>
      <c r="B141" s="27" t="str">
        <f aca="false">'Task Breakdown'!G462</f>
        <v>Documentation, runbook and knowledge transfer</v>
      </c>
      <c r="C141" s="28"/>
      <c r="D141" s="28"/>
      <c r="E141" s="29" t="n">
        <f aca="false">'Task Breakdown'!I462</f>
        <v>0</v>
      </c>
      <c r="F141" s="29" t="n">
        <f aca="false">'Task Breakdown'!J462</f>
        <v>0</v>
      </c>
      <c r="G141" s="29" t="n">
        <f aca="false">'Task Breakdown'!K462</f>
        <v>0</v>
      </c>
      <c r="H141" s="29" t="n">
        <f aca="false">'Task Breakdown'!L462</f>
        <v>0</v>
      </c>
      <c r="I141" s="29" t="n">
        <f aca="false">'Task Breakdown'!M462</f>
        <v>0</v>
      </c>
      <c r="J141" s="29" t="n">
        <f aca="false">'Task Breakdown'!N462</f>
        <v>0</v>
      </c>
      <c r="K141" s="29" t="n">
        <f aca="false">'Task Breakdown'!O462</f>
        <v>0</v>
      </c>
      <c r="L141" s="29" t="n">
        <f aca="false">'Task Breakdown'!P462</f>
        <v>0</v>
      </c>
      <c r="M141" s="29" t="n">
        <f aca="false">'Task Breakdown'!Q462</f>
        <v>0</v>
      </c>
      <c r="N141" s="29" t="n">
        <f aca="false">'Task Breakdown'!R462</f>
        <v>7</v>
      </c>
      <c r="O141" s="29" t="n">
        <f aca="false">'Task Breakdown'!S462</f>
        <v>0</v>
      </c>
      <c r="P141" s="29" t="n">
        <f aca="false">'Task Breakdown'!T462</f>
        <v>0</v>
      </c>
      <c r="Q141" s="30" t="n">
        <f aca="false">SUM(E141:P141)</f>
        <v>7</v>
      </c>
      <c r="R141" s="31" t="n">
        <f aca="false">IF($Q$183&gt;0,Q141/$Q$183,0)</f>
        <v>0.00211288862058557</v>
      </c>
    </row>
    <row r="142" customFormat="false" ht="15" hidden="false" customHeight="false" outlineLevel="0" collapsed="false">
      <c r="A142" s="23" t="s">
        <v>144</v>
      </c>
      <c r="B142" s="23" t="s">
        <v>145</v>
      </c>
      <c r="C142" s="23" t="s">
        <v>45</v>
      </c>
      <c r="D142" s="23" t="s">
        <v>146</v>
      </c>
      <c r="E142" s="24" t="n">
        <f aca="false">SUM(E143:E147)</f>
        <v>16</v>
      </c>
      <c r="F142" s="24" t="n">
        <f aca="false">SUM(F143:F147)</f>
        <v>0</v>
      </c>
      <c r="G142" s="24" t="n">
        <f aca="false">SUM(G143:G147)</f>
        <v>0</v>
      </c>
      <c r="H142" s="24" t="n">
        <f aca="false">SUM(H143:H147)</f>
        <v>0</v>
      </c>
      <c r="I142" s="24" t="n">
        <f aca="false">SUM(I143:I147)</f>
        <v>16</v>
      </c>
      <c r="J142" s="24" t="n">
        <f aca="false">SUM(J143:J147)</f>
        <v>0</v>
      </c>
      <c r="K142" s="24" t="n">
        <f aca="false">SUM(K143:K147)</f>
        <v>0</v>
      </c>
      <c r="L142" s="24" t="n">
        <f aca="false">SUM(L143:L147)</f>
        <v>16</v>
      </c>
      <c r="M142" s="24" t="n">
        <f aca="false">SUM(M143:M147)</f>
        <v>0</v>
      </c>
      <c r="N142" s="24" t="n">
        <f aca="false">SUM(N143:N147)</f>
        <v>58</v>
      </c>
      <c r="O142" s="24" t="n">
        <f aca="false">SUM(O143:O147)</f>
        <v>0</v>
      </c>
      <c r="P142" s="24" t="n">
        <f aca="false">SUM(P143:P147)</f>
        <v>0</v>
      </c>
      <c r="Q142" s="24" t="n">
        <f aca="false">SUM(Q143:Q147)</f>
        <v>106</v>
      </c>
      <c r="R142" s="25" t="n">
        <f aca="false">IF($Q$183&gt;0,Q142/$Q$183,0)</f>
        <v>0.0319951705402958</v>
      </c>
    </row>
    <row r="143" customFormat="false" ht="15" hidden="false" customHeight="false" outlineLevel="0" collapsed="false">
      <c r="A143" s="26" t="str">
        <f aca="false">'Task Breakdown'!A463</f>
        <v>UC-1.02.01</v>
      </c>
      <c r="B143" s="27" t="str">
        <f aca="false">'Task Breakdown'!G463</f>
        <v>Define scoring (value, feasibility, data readiness, risk)</v>
      </c>
      <c r="C143" s="28"/>
      <c r="D143" s="28"/>
      <c r="E143" s="29" t="n">
        <f aca="false">'Task Breakdown'!I463</f>
        <v>8</v>
      </c>
      <c r="F143" s="29" t="n">
        <f aca="false">'Task Breakdown'!J463</f>
        <v>0</v>
      </c>
      <c r="G143" s="29" t="n">
        <f aca="false">'Task Breakdown'!K463</f>
        <v>0</v>
      </c>
      <c r="H143" s="29" t="n">
        <f aca="false">'Task Breakdown'!L463</f>
        <v>0</v>
      </c>
      <c r="I143" s="29" t="n">
        <f aca="false">'Task Breakdown'!M463</f>
        <v>0</v>
      </c>
      <c r="J143" s="29" t="n">
        <f aca="false">'Task Breakdown'!N463</f>
        <v>0</v>
      </c>
      <c r="K143" s="29" t="n">
        <f aca="false">'Task Breakdown'!O463</f>
        <v>0</v>
      </c>
      <c r="L143" s="29" t="n">
        <f aca="false">'Task Breakdown'!P463</f>
        <v>0</v>
      </c>
      <c r="M143" s="29" t="n">
        <f aca="false">'Task Breakdown'!Q463</f>
        <v>0</v>
      </c>
      <c r="N143" s="29" t="n">
        <f aca="false">'Task Breakdown'!R463</f>
        <v>16</v>
      </c>
      <c r="O143" s="29" t="n">
        <f aca="false">'Task Breakdown'!S463</f>
        <v>0</v>
      </c>
      <c r="P143" s="29" t="n">
        <f aca="false">'Task Breakdown'!T463</f>
        <v>0</v>
      </c>
      <c r="Q143" s="30" t="n">
        <f aca="false">SUM(E143:P143)</f>
        <v>24</v>
      </c>
      <c r="R143" s="31" t="n">
        <f aca="false">IF($Q$183&gt;0,Q143/$Q$183,0)</f>
        <v>0.00724418955629339</v>
      </c>
    </row>
    <row r="144" customFormat="false" ht="15" hidden="false" customHeight="false" outlineLevel="0" collapsed="false">
      <c r="A144" s="26" t="str">
        <f aca="false">'Task Breakdown'!A464</f>
        <v>UC-1.02.02</v>
      </c>
      <c r="B144" s="27" t="str">
        <f aca="false">'Task Breakdown'!G464</f>
        <v>Score each use case</v>
      </c>
      <c r="C144" s="28"/>
      <c r="D144" s="28"/>
      <c r="E144" s="29" t="n">
        <f aca="false">'Task Breakdown'!I464</f>
        <v>0</v>
      </c>
      <c r="F144" s="29" t="n">
        <f aca="false">'Task Breakdown'!J464</f>
        <v>0</v>
      </c>
      <c r="G144" s="29" t="n">
        <f aca="false">'Task Breakdown'!K464</f>
        <v>0</v>
      </c>
      <c r="H144" s="29" t="n">
        <f aca="false">'Task Breakdown'!L464</f>
        <v>0</v>
      </c>
      <c r="I144" s="29" t="n">
        <f aca="false">'Task Breakdown'!M464</f>
        <v>16</v>
      </c>
      <c r="J144" s="29" t="n">
        <f aca="false">'Task Breakdown'!N464</f>
        <v>0</v>
      </c>
      <c r="K144" s="29" t="n">
        <f aca="false">'Task Breakdown'!O464</f>
        <v>0</v>
      </c>
      <c r="L144" s="29" t="n">
        <f aca="false">'Task Breakdown'!P464</f>
        <v>16</v>
      </c>
      <c r="M144" s="29" t="n">
        <f aca="false">'Task Breakdown'!Q464</f>
        <v>0</v>
      </c>
      <c r="N144" s="29" t="n">
        <f aca="false">'Task Breakdown'!R464</f>
        <v>24</v>
      </c>
      <c r="O144" s="29" t="n">
        <f aca="false">'Task Breakdown'!S464</f>
        <v>0</v>
      </c>
      <c r="P144" s="29" t="n">
        <f aca="false">'Task Breakdown'!T464</f>
        <v>0</v>
      </c>
      <c r="Q144" s="30" t="n">
        <f aca="false">SUM(E144:P144)</f>
        <v>56</v>
      </c>
      <c r="R144" s="31" t="n">
        <f aca="false">IF($Q$183&gt;0,Q144/$Q$183,0)</f>
        <v>0.0169031089646846</v>
      </c>
    </row>
    <row r="145" customFormat="false" ht="15" hidden="false" customHeight="false" outlineLevel="0" collapsed="false">
      <c r="A145" s="26" t="str">
        <f aca="false">'Task Breakdown'!A465</f>
        <v>UC-1.02.03</v>
      </c>
      <c r="B145" s="27" t="str">
        <f aca="false">'Task Breakdown'!G465</f>
        <v>Leadership prioritization session</v>
      </c>
      <c r="C145" s="28"/>
      <c r="D145" s="28"/>
      <c r="E145" s="29" t="n">
        <f aca="false">'Task Breakdown'!I465</f>
        <v>8</v>
      </c>
      <c r="F145" s="29" t="n">
        <f aca="false">'Task Breakdown'!J465</f>
        <v>0</v>
      </c>
      <c r="G145" s="29" t="n">
        <f aca="false">'Task Breakdown'!K465</f>
        <v>0</v>
      </c>
      <c r="H145" s="29" t="n">
        <f aca="false">'Task Breakdown'!L465</f>
        <v>0</v>
      </c>
      <c r="I145" s="29" t="n">
        <f aca="false">'Task Breakdown'!M465</f>
        <v>0</v>
      </c>
      <c r="J145" s="29" t="n">
        <f aca="false">'Task Breakdown'!N465</f>
        <v>0</v>
      </c>
      <c r="K145" s="29" t="n">
        <f aca="false">'Task Breakdown'!O465</f>
        <v>0</v>
      </c>
      <c r="L145" s="29" t="n">
        <f aca="false">'Task Breakdown'!P465</f>
        <v>0</v>
      </c>
      <c r="M145" s="29" t="n">
        <f aca="false">'Task Breakdown'!Q465</f>
        <v>0</v>
      </c>
      <c r="N145" s="29" t="n">
        <f aca="false">'Task Breakdown'!R465</f>
        <v>8</v>
      </c>
      <c r="O145" s="29" t="n">
        <f aca="false">'Task Breakdown'!S465</f>
        <v>0</v>
      </c>
      <c r="P145" s="29" t="n">
        <f aca="false">'Task Breakdown'!T465</f>
        <v>0</v>
      </c>
      <c r="Q145" s="30" t="n">
        <f aca="false">SUM(E145:P145)</f>
        <v>16</v>
      </c>
      <c r="R145" s="31" t="n">
        <f aca="false">IF($Q$183&gt;0,Q145/$Q$183,0)</f>
        <v>0.00482945970419559</v>
      </c>
    </row>
    <row r="146" customFormat="false" ht="15" hidden="false" customHeight="false" outlineLevel="0" collapsed="false">
      <c r="A146" s="26" t="str">
        <f aca="false">'Task Breakdown'!A466</f>
        <v>UC-1.02.04</v>
      </c>
      <c r="B146" s="27" t="str">
        <f aca="false">'Task Breakdown'!G466</f>
        <v>Detailed design and design review</v>
      </c>
      <c r="C146" s="28"/>
      <c r="D146" s="28"/>
      <c r="E146" s="29" t="n">
        <f aca="false">'Task Breakdown'!I466</f>
        <v>0</v>
      </c>
      <c r="F146" s="29" t="n">
        <f aca="false">'Task Breakdown'!J466</f>
        <v>0</v>
      </c>
      <c r="G146" s="29" t="n">
        <f aca="false">'Task Breakdown'!K466</f>
        <v>0</v>
      </c>
      <c r="H146" s="29" t="n">
        <f aca="false">'Task Breakdown'!L466</f>
        <v>0</v>
      </c>
      <c r="I146" s="29" t="n">
        <f aca="false">'Task Breakdown'!M466</f>
        <v>0</v>
      </c>
      <c r="J146" s="29" t="n">
        <f aca="false">'Task Breakdown'!N466</f>
        <v>0</v>
      </c>
      <c r="K146" s="29" t="n">
        <f aca="false">'Task Breakdown'!O466</f>
        <v>0</v>
      </c>
      <c r="L146" s="29" t="n">
        <f aca="false">'Task Breakdown'!P466</f>
        <v>0</v>
      </c>
      <c r="M146" s="29" t="n">
        <f aca="false">'Task Breakdown'!Q466</f>
        <v>0</v>
      </c>
      <c r="N146" s="29" t="n">
        <f aca="false">'Task Breakdown'!R466</f>
        <v>6</v>
      </c>
      <c r="O146" s="29" t="n">
        <f aca="false">'Task Breakdown'!S466</f>
        <v>0</v>
      </c>
      <c r="P146" s="29" t="n">
        <f aca="false">'Task Breakdown'!T466</f>
        <v>0</v>
      </c>
      <c r="Q146" s="30" t="n">
        <f aca="false">SUM(E146:P146)</f>
        <v>6</v>
      </c>
      <c r="R146" s="31" t="n">
        <f aca="false">IF($Q$183&gt;0,Q146/$Q$183,0)</f>
        <v>0.00181104738907335</v>
      </c>
    </row>
    <row r="147" customFormat="false" ht="15" hidden="false" customHeight="false" outlineLevel="0" collapsed="false">
      <c r="A147" s="26" t="str">
        <f aca="false">'Task Breakdown'!A467</f>
        <v>UC-1.02.05</v>
      </c>
      <c r="B147" s="27" t="str">
        <f aca="false">'Task Breakdown'!G467</f>
        <v>Documentation, runbook and knowledge transfer</v>
      </c>
      <c r="C147" s="28"/>
      <c r="D147" s="28"/>
      <c r="E147" s="29" t="n">
        <f aca="false">'Task Breakdown'!I467</f>
        <v>0</v>
      </c>
      <c r="F147" s="29" t="n">
        <f aca="false">'Task Breakdown'!J467</f>
        <v>0</v>
      </c>
      <c r="G147" s="29" t="n">
        <f aca="false">'Task Breakdown'!K467</f>
        <v>0</v>
      </c>
      <c r="H147" s="29" t="n">
        <f aca="false">'Task Breakdown'!L467</f>
        <v>0</v>
      </c>
      <c r="I147" s="29" t="n">
        <f aca="false">'Task Breakdown'!M467</f>
        <v>0</v>
      </c>
      <c r="J147" s="29" t="n">
        <f aca="false">'Task Breakdown'!N467</f>
        <v>0</v>
      </c>
      <c r="K147" s="29" t="n">
        <f aca="false">'Task Breakdown'!O467</f>
        <v>0</v>
      </c>
      <c r="L147" s="29" t="n">
        <f aca="false">'Task Breakdown'!P467</f>
        <v>0</v>
      </c>
      <c r="M147" s="29" t="n">
        <f aca="false">'Task Breakdown'!Q467</f>
        <v>0</v>
      </c>
      <c r="N147" s="29" t="n">
        <f aca="false">'Task Breakdown'!R467</f>
        <v>4</v>
      </c>
      <c r="O147" s="29" t="n">
        <f aca="false">'Task Breakdown'!S467</f>
        <v>0</v>
      </c>
      <c r="P147" s="29" t="n">
        <f aca="false">'Task Breakdown'!T467</f>
        <v>0</v>
      </c>
      <c r="Q147" s="30" t="n">
        <f aca="false">SUM(E147:P147)</f>
        <v>4</v>
      </c>
      <c r="R147" s="31" t="n">
        <f aca="false">IF($Q$183&gt;0,Q147/$Q$183,0)</f>
        <v>0.0012073649260489</v>
      </c>
    </row>
    <row r="148" customFormat="false" ht="15" hidden="false" customHeight="false" outlineLevel="0" collapsed="false">
      <c r="A148" s="23" t="s">
        <v>147</v>
      </c>
      <c r="B148" s="23" t="s">
        <v>148</v>
      </c>
      <c r="C148" s="23" t="s">
        <v>45</v>
      </c>
      <c r="D148" s="23" t="s">
        <v>149</v>
      </c>
      <c r="E148" s="24" t="n">
        <f aca="false">SUM(E149:E153)</f>
        <v>0</v>
      </c>
      <c r="F148" s="24" t="n">
        <f aca="false">SUM(F149:F153)</f>
        <v>0</v>
      </c>
      <c r="G148" s="24" t="n">
        <f aca="false">SUM(G149:G153)</f>
        <v>0</v>
      </c>
      <c r="H148" s="24" t="n">
        <f aca="false">SUM(H149:H153)</f>
        <v>0</v>
      </c>
      <c r="I148" s="24" t="n">
        <f aca="false">SUM(I149:I153)</f>
        <v>0</v>
      </c>
      <c r="J148" s="24" t="n">
        <f aca="false">SUM(J149:J153)</f>
        <v>0</v>
      </c>
      <c r="K148" s="24" t="n">
        <f aca="false">SUM(K149:K153)</f>
        <v>20</v>
      </c>
      <c r="L148" s="24" t="n">
        <f aca="false">SUM(L149:L153)</f>
        <v>0</v>
      </c>
      <c r="M148" s="24" t="n">
        <f aca="false">SUM(M149:M153)</f>
        <v>0</v>
      </c>
      <c r="N148" s="24" t="n">
        <f aca="false">SUM(N149:N153)</f>
        <v>91</v>
      </c>
      <c r="O148" s="24" t="n">
        <f aca="false">SUM(O149:O153)</f>
        <v>0</v>
      </c>
      <c r="P148" s="24" t="n">
        <f aca="false">SUM(P149:P153)</f>
        <v>0</v>
      </c>
      <c r="Q148" s="24" t="n">
        <f aca="false">SUM(Q149:Q153)</f>
        <v>111</v>
      </c>
      <c r="R148" s="25" t="n">
        <f aca="false">IF($Q$183&gt;0,Q148/$Q$183,0)</f>
        <v>0.0335043766978569</v>
      </c>
    </row>
    <row r="149" customFormat="false" ht="15" hidden="false" customHeight="false" outlineLevel="0" collapsed="false">
      <c r="A149" s="26" t="str">
        <f aca="false">'Task Breakdown'!A468</f>
        <v>UC-1.03.01</v>
      </c>
      <c r="B149" s="27" t="str">
        <f aca="false">'Task Breakdown'!G468</f>
        <v>Define KPIs per use case (MTTR, OEE, scrap, time saved)</v>
      </c>
      <c r="C149" s="28"/>
      <c r="D149" s="28"/>
      <c r="E149" s="29" t="n">
        <f aca="false">'Task Breakdown'!I468</f>
        <v>0</v>
      </c>
      <c r="F149" s="29" t="n">
        <f aca="false">'Task Breakdown'!J468</f>
        <v>0</v>
      </c>
      <c r="G149" s="29" t="n">
        <f aca="false">'Task Breakdown'!K468</f>
        <v>0</v>
      </c>
      <c r="H149" s="29" t="n">
        <f aca="false">'Task Breakdown'!L468</f>
        <v>0</v>
      </c>
      <c r="I149" s="29" t="n">
        <f aca="false">'Task Breakdown'!M468</f>
        <v>0</v>
      </c>
      <c r="J149" s="29" t="n">
        <f aca="false">'Task Breakdown'!N468</f>
        <v>0</v>
      </c>
      <c r="K149" s="29" t="n">
        <f aca="false">'Task Breakdown'!O468</f>
        <v>0</v>
      </c>
      <c r="L149" s="29" t="n">
        <f aca="false">'Task Breakdown'!P468</f>
        <v>0</v>
      </c>
      <c r="M149" s="29" t="n">
        <f aca="false">'Task Breakdown'!Q468</f>
        <v>0</v>
      </c>
      <c r="N149" s="29" t="n">
        <f aca="false">'Task Breakdown'!R468</f>
        <v>41</v>
      </c>
      <c r="O149" s="29" t="n">
        <f aca="false">'Task Breakdown'!S468</f>
        <v>0</v>
      </c>
      <c r="P149" s="29" t="n">
        <f aca="false">'Task Breakdown'!T468</f>
        <v>0</v>
      </c>
      <c r="Q149" s="30" t="n">
        <f aca="false">SUM(E149:P149)</f>
        <v>41</v>
      </c>
      <c r="R149" s="31" t="n">
        <f aca="false">IF($Q$183&gt;0,Q149/$Q$183,0)</f>
        <v>0.0123754904920012</v>
      </c>
    </row>
    <row r="150" customFormat="false" ht="15" hidden="false" customHeight="false" outlineLevel="0" collapsed="false">
      <c r="A150" s="26" t="str">
        <f aca="false">'Task Breakdown'!A469</f>
        <v>UC-1.03.02</v>
      </c>
      <c r="B150" s="27" t="str">
        <f aca="false">'Task Breakdown'!G469</f>
        <v>Collect baseline data</v>
      </c>
      <c r="C150" s="28"/>
      <c r="D150" s="28"/>
      <c r="E150" s="29" t="n">
        <f aca="false">'Task Breakdown'!I469</f>
        <v>0</v>
      </c>
      <c r="F150" s="29" t="n">
        <f aca="false">'Task Breakdown'!J469</f>
        <v>0</v>
      </c>
      <c r="G150" s="29" t="n">
        <f aca="false">'Task Breakdown'!K469</f>
        <v>0</v>
      </c>
      <c r="H150" s="29" t="n">
        <f aca="false">'Task Breakdown'!L469</f>
        <v>0</v>
      </c>
      <c r="I150" s="29" t="n">
        <f aca="false">'Task Breakdown'!M469</f>
        <v>0</v>
      </c>
      <c r="J150" s="29" t="n">
        <f aca="false">'Task Breakdown'!N469</f>
        <v>0</v>
      </c>
      <c r="K150" s="29" t="n">
        <f aca="false">'Task Breakdown'!O469</f>
        <v>20</v>
      </c>
      <c r="L150" s="29" t="n">
        <f aca="false">'Task Breakdown'!P469</f>
        <v>0</v>
      </c>
      <c r="M150" s="29" t="n">
        <f aca="false">'Task Breakdown'!Q469</f>
        <v>0</v>
      </c>
      <c r="N150" s="29" t="n">
        <f aca="false">'Task Breakdown'!R469</f>
        <v>20</v>
      </c>
      <c r="O150" s="29" t="n">
        <f aca="false">'Task Breakdown'!S469</f>
        <v>0</v>
      </c>
      <c r="P150" s="29" t="n">
        <f aca="false">'Task Breakdown'!T469</f>
        <v>0</v>
      </c>
      <c r="Q150" s="30" t="n">
        <f aca="false">SUM(E150:P150)</f>
        <v>40</v>
      </c>
      <c r="R150" s="31" t="n">
        <f aca="false">IF($Q$183&gt;0,Q150/$Q$183,0)</f>
        <v>0.012073649260489</v>
      </c>
    </row>
    <row r="151" customFormat="false" ht="15" hidden="false" customHeight="false" outlineLevel="0" collapsed="false">
      <c r="A151" s="26" t="str">
        <f aca="false">'Task Breakdown'!A470</f>
        <v>UC-1.03.03</v>
      </c>
      <c r="B151" s="27" t="str">
        <f aca="false">'Task Breakdown'!G470</f>
        <v>KPI sign-off with owners</v>
      </c>
      <c r="C151" s="28"/>
      <c r="D151" s="28"/>
      <c r="E151" s="29" t="n">
        <f aca="false">'Task Breakdown'!I470</f>
        <v>0</v>
      </c>
      <c r="F151" s="29" t="n">
        <f aca="false">'Task Breakdown'!J470</f>
        <v>0</v>
      </c>
      <c r="G151" s="29" t="n">
        <f aca="false">'Task Breakdown'!K470</f>
        <v>0</v>
      </c>
      <c r="H151" s="29" t="n">
        <f aca="false">'Task Breakdown'!L470</f>
        <v>0</v>
      </c>
      <c r="I151" s="29" t="n">
        <f aca="false">'Task Breakdown'!M470</f>
        <v>0</v>
      </c>
      <c r="J151" s="29" t="n">
        <f aca="false">'Task Breakdown'!N470</f>
        <v>0</v>
      </c>
      <c r="K151" s="29" t="n">
        <f aca="false">'Task Breakdown'!O470</f>
        <v>0</v>
      </c>
      <c r="L151" s="29" t="n">
        <f aca="false">'Task Breakdown'!P470</f>
        <v>0</v>
      </c>
      <c r="M151" s="29" t="n">
        <f aca="false">'Task Breakdown'!Q470</f>
        <v>0</v>
      </c>
      <c r="N151" s="29" t="n">
        <f aca="false">'Task Breakdown'!R470</f>
        <v>20</v>
      </c>
      <c r="O151" s="29" t="n">
        <f aca="false">'Task Breakdown'!S470</f>
        <v>0</v>
      </c>
      <c r="P151" s="29" t="n">
        <f aca="false">'Task Breakdown'!T470</f>
        <v>0</v>
      </c>
      <c r="Q151" s="30" t="n">
        <f aca="false">SUM(E151:P151)</f>
        <v>20</v>
      </c>
      <c r="R151" s="31" t="n">
        <f aca="false">IF($Q$183&gt;0,Q151/$Q$183,0)</f>
        <v>0.00603682463024449</v>
      </c>
    </row>
    <row r="152" customFormat="false" ht="15" hidden="false" customHeight="false" outlineLevel="0" collapsed="false">
      <c r="A152" s="26" t="str">
        <f aca="false">'Task Breakdown'!A471</f>
        <v>UC-1.03.04</v>
      </c>
      <c r="B152" s="27" t="str">
        <f aca="false">'Task Breakdown'!G471</f>
        <v>Detailed design and design review</v>
      </c>
      <c r="C152" s="28"/>
      <c r="D152" s="28"/>
      <c r="E152" s="29" t="n">
        <f aca="false">'Task Breakdown'!I471</f>
        <v>0</v>
      </c>
      <c r="F152" s="29" t="n">
        <f aca="false">'Task Breakdown'!J471</f>
        <v>0</v>
      </c>
      <c r="G152" s="29" t="n">
        <f aca="false">'Task Breakdown'!K471</f>
        <v>0</v>
      </c>
      <c r="H152" s="29" t="n">
        <f aca="false">'Task Breakdown'!L471</f>
        <v>0</v>
      </c>
      <c r="I152" s="29" t="n">
        <f aca="false">'Task Breakdown'!M471</f>
        <v>0</v>
      </c>
      <c r="J152" s="29" t="n">
        <f aca="false">'Task Breakdown'!N471</f>
        <v>0</v>
      </c>
      <c r="K152" s="29" t="n">
        <f aca="false">'Task Breakdown'!O471</f>
        <v>0</v>
      </c>
      <c r="L152" s="29" t="n">
        <f aca="false">'Task Breakdown'!P471</f>
        <v>0</v>
      </c>
      <c r="M152" s="29" t="n">
        <f aca="false">'Task Breakdown'!Q471</f>
        <v>0</v>
      </c>
      <c r="N152" s="29" t="n">
        <f aca="false">'Task Breakdown'!R471</f>
        <v>6</v>
      </c>
      <c r="O152" s="29" t="n">
        <f aca="false">'Task Breakdown'!S471</f>
        <v>0</v>
      </c>
      <c r="P152" s="29" t="n">
        <f aca="false">'Task Breakdown'!T471</f>
        <v>0</v>
      </c>
      <c r="Q152" s="30" t="n">
        <f aca="false">SUM(E152:P152)</f>
        <v>6</v>
      </c>
      <c r="R152" s="31" t="n">
        <f aca="false">IF($Q$183&gt;0,Q152/$Q$183,0)</f>
        <v>0.00181104738907335</v>
      </c>
    </row>
    <row r="153" customFormat="false" ht="15" hidden="false" customHeight="false" outlineLevel="0" collapsed="false">
      <c r="A153" s="26" t="str">
        <f aca="false">'Task Breakdown'!A472</f>
        <v>UC-1.03.05</v>
      </c>
      <c r="B153" s="27" t="str">
        <f aca="false">'Task Breakdown'!G472</f>
        <v>Documentation, runbook and knowledge transfer</v>
      </c>
      <c r="C153" s="28"/>
      <c r="D153" s="28"/>
      <c r="E153" s="29" t="n">
        <f aca="false">'Task Breakdown'!I472</f>
        <v>0</v>
      </c>
      <c r="F153" s="29" t="n">
        <f aca="false">'Task Breakdown'!J472</f>
        <v>0</v>
      </c>
      <c r="G153" s="29" t="n">
        <f aca="false">'Task Breakdown'!K472</f>
        <v>0</v>
      </c>
      <c r="H153" s="29" t="n">
        <f aca="false">'Task Breakdown'!L472</f>
        <v>0</v>
      </c>
      <c r="I153" s="29" t="n">
        <f aca="false">'Task Breakdown'!M472</f>
        <v>0</v>
      </c>
      <c r="J153" s="29" t="n">
        <f aca="false">'Task Breakdown'!N472</f>
        <v>0</v>
      </c>
      <c r="K153" s="29" t="n">
        <f aca="false">'Task Breakdown'!O472</f>
        <v>0</v>
      </c>
      <c r="L153" s="29" t="n">
        <f aca="false">'Task Breakdown'!P472</f>
        <v>0</v>
      </c>
      <c r="M153" s="29" t="n">
        <f aca="false">'Task Breakdown'!Q472</f>
        <v>0</v>
      </c>
      <c r="N153" s="29" t="n">
        <f aca="false">'Task Breakdown'!R472</f>
        <v>4</v>
      </c>
      <c r="O153" s="29" t="n">
        <f aca="false">'Task Breakdown'!S472</f>
        <v>0</v>
      </c>
      <c r="P153" s="29" t="n">
        <f aca="false">'Task Breakdown'!T472</f>
        <v>0</v>
      </c>
      <c r="Q153" s="30" t="n">
        <f aca="false">SUM(E153:P153)</f>
        <v>4</v>
      </c>
      <c r="R153" s="31" t="n">
        <f aca="false">IF($Q$183&gt;0,Q153/$Q$183,0)</f>
        <v>0.0012073649260489</v>
      </c>
    </row>
    <row r="154" customFormat="false" ht="15" hidden="false" customHeight="false" outlineLevel="0" collapsed="false">
      <c r="A154" s="23" t="s">
        <v>150</v>
      </c>
      <c r="B154" s="23" t="s">
        <v>151</v>
      </c>
      <c r="C154" s="23" t="s">
        <v>45</v>
      </c>
      <c r="D154" s="23" t="s">
        <v>152</v>
      </c>
      <c r="E154" s="24" t="n">
        <f aca="false">SUM(E155:E159)</f>
        <v>16</v>
      </c>
      <c r="F154" s="24" t="n">
        <f aca="false">SUM(F155:F159)</f>
        <v>0</v>
      </c>
      <c r="G154" s="24" t="n">
        <f aca="false">SUM(G155:G159)</f>
        <v>0</v>
      </c>
      <c r="H154" s="24" t="n">
        <f aca="false">SUM(H155:H159)</f>
        <v>0</v>
      </c>
      <c r="I154" s="24" t="n">
        <f aca="false">SUM(I155:I159)</f>
        <v>16</v>
      </c>
      <c r="J154" s="24" t="n">
        <f aca="false">SUM(J155:J159)</f>
        <v>0</v>
      </c>
      <c r="K154" s="24" t="n">
        <f aca="false">SUM(K155:K159)</f>
        <v>0</v>
      </c>
      <c r="L154" s="24" t="n">
        <f aca="false">SUM(L155:L159)</f>
        <v>0</v>
      </c>
      <c r="M154" s="24" t="n">
        <f aca="false">SUM(M155:M159)</f>
        <v>0</v>
      </c>
      <c r="N154" s="24" t="n">
        <f aca="false">SUM(N155:N159)</f>
        <v>39</v>
      </c>
      <c r="O154" s="24" t="n">
        <f aca="false">SUM(O155:O159)</f>
        <v>0</v>
      </c>
      <c r="P154" s="24" t="n">
        <f aca="false">SUM(P155:P159)</f>
        <v>0</v>
      </c>
      <c r="Q154" s="24" t="n">
        <f aca="false">SUM(Q155:Q159)</f>
        <v>71</v>
      </c>
      <c r="R154" s="25" t="n">
        <f aca="false">IF($Q$183&gt;0,Q154/$Q$183,0)</f>
        <v>0.0214307274373679</v>
      </c>
    </row>
    <row r="155" customFormat="false" ht="15" hidden="false" customHeight="false" outlineLevel="0" collapsed="false">
      <c r="A155" s="26" t="str">
        <f aca="false">'Task Breakdown'!A473</f>
        <v>UC-1.04.01</v>
      </c>
      <c r="B155" s="27" t="str">
        <f aca="false">'Task Breakdown'!G473</f>
        <v>Confirm pilot plants and users</v>
      </c>
      <c r="C155" s="28"/>
      <c r="D155" s="28"/>
      <c r="E155" s="29" t="n">
        <f aca="false">'Task Breakdown'!I473</f>
        <v>8</v>
      </c>
      <c r="F155" s="29" t="n">
        <f aca="false">'Task Breakdown'!J473</f>
        <v>0</v>
      </c>
      <c r="G155" s="29" t="n">
        <f aca="false">'Task Breakdown'!K473</f>
        <v>0</v>
      </c>
      <c r="H155" s="29" t="n">
        <f aca="false">'Task Breakdown'!L473</f>
        <v>0</v>
      </c>
      <c r="I155" s="29" t="n">
        <f aca="false">'Task Breakdown'!M473</f>
        <v>0</v>
      </c>
      <c r="J155" s="29" t="n">
        <f aca="false">'Task Breakdown'!N473</f>
        <v>0</v>
      </c>
      <c r="K155" s="29" t="n">
        <f aca="false">'Task Breakdown'!O473</f>
        <v>0</v>
      </c>
      <c r="L155" s="29" t="n">
        <f aca="false">'Task Breakdown'!P473</f>
        <v>0</v>
      </c>
      <c r="M155" s="29" t="n">
        <f aca="false">'Task Breakdown'!Q473</f>
        <v>0</v>
      </c>
      <c r="N155" s="29" t="n">
        <f aca="false">'Task Breakdown'!R473</f>
        <v>12</v>
      </c>
      <c r="O155" s="29" t="n">
        <f aca="false">'Task Breakdown'!S473</f>
        <v>0</v>
      </c>
      <c r="P155" s="29" t="n">
        <f aca="false">'Task Breakdown'!T473</f>
        <v>0</v>
      </c>
      <c r="Q155" s="30" t="n">
        <f aca="false">SUM(E155:P155)</f>
        <v>20</v>
      </c>
      <c r="R155" s="31" t="n">
        <f aca="false">IF($Q$183&gt;0,Q155/$Q$183,0)</f>
        <v>0.00603682463024449</v>
      </c>
    </row>
    <row r="156" customFormat="false" ht="15" hidden="false" customHeight="false" outlineLevel="0" collapsed="false">
      <c r="A156" s="26" t="str">
        <f aca="false">'Task Breakdown'!A474</f>
        <v>UC-1.04.02</v>
      </c>
      <c r="B156" s="27" t="str">
        <f aca="false">'Task Breakdown'!G474</f>
        <v>Write pilot charters (scope, KPIs, team, success criteria)</v>
      </c>
      <c r="C156" s="28"/>
      <c r="D156" s="28"/>
      <c r="E156" s="29" t="n">
        <f aca="false">'Task Breakdown'!I474</f>
        <v>8</v>
      </c>
      <c r="F156" s="29" t="n">
        <f aca="false">'Task Breakdown'!J474</f>
        <v>0</v>
      </c>
      <c r="G156" s="29" t="n">
        <f aca="false">'Task Breakdown'!K474</f>
        <v>0</v>
      </c>
      <c r="H156" s="29" t="n">
        <f aca="false">'Task Breakdown'!L474</f>
        <v>0</v>
      </c>
      <c r="I156" s="29" t="n">
        <f aca="false">'Task Breakdown'!M474</f>
        <v>0</v>
      </c>
      <c r="J156" s="29" t="n">
        <f aca="false">'Task Breakdown'!N474</f>
        <v>0</v>
      </c>
      <c r="K156" s="29" t="n">
        <f aca="false">'Task Breakdown'!O474</f>
        <v>0</v>
      </c>
      <c r="L156" s="29" t="n">
        <f aca="false">'Task Breakdown'!P474</f>
        <v>0</v>
      </c>
      <c r="M156" s="29" t="n">
        <f aca="false">'Task Breakdown'!Q474</f>
        <v>0</v>
      </c>
      <c r="N156" s="29" t="n">
        <f aca="false">'Task Breakdown'!R474</f>
        <v>20</v>
      </c>
      <c r="O156" s="29" t="n">
        <f aca="false">'Task Breakdown'!S474</f>
        <v>0</v>
      </c>
      <c r="P156" s="29" t="n">
        <f aca="false">'Task Breakdown'!T474</f>
        <v>0</v>
      </c>
      <c r="Q156" s="30" t="n">
        <f aca="false">SUM(E156:P156)</f>
        <v>28</v>
      </c>
      <c r="R156" s="31" t="n">
        <f aca="false">IF($Q$183&gt;0,Q156/$Q$183,0)</f>
        <v>0.00845155448234229</v>
      </c>
    </row>
    <row r="157" customFormat="false" ht="15" hidden="false" customHeight="false" outlineLevel="0" collapsed="false">
      <c r="A157" s="26" t="str">
        <f aca="false">'Task Breakdown'!A475</f>
        <v>UC-1.04.03</v>
      </c>
      <c r="B157" s="27" t="str">
        <f aca="false">'Task Breakdown'!G475</f>
        <v>Solution outline for Analyst and Spec agents</v>
      </c>
      <c r="C157" s="28"/>
      <c r="D157" s="28"/>
      <c r="E157" s="29" t="n">
        <f aca="false">'Task Breakdown'!I475</f>
        <v>0</v>
      </c>
      <c r="F157" s="29" t="n">
        <f aca="false">'Task Breakdown'!J475</f>
        <v>0</v>
      </c>
      <c r="G157" s="29" t="n">
        <f aca="false">'Task Breakdown'!K475</f>
        <v>0</v>
      </c>
      <c r="H157" s="29" t="n">
        <f aca="false">'Task Breakdown'!L475</f>
        <v>0</v>
      </c>
      <c r="I157" s="29" t="n">
        <f aca="false">'Task Breakdown'!M475</f>
        <v>16</v>
      </c>
      <c r="J157" s="29" t="n">
        <f aca="false">'Task Breakdown'!N475</f>
        <v>0</v>
      </c>
      <c r="K157" s="29" t="n">
        <f aca="false">'Task Breakdown'!O475</f>
        <v>0</v>
      </c>
      <c r="L157" s="29" t="n">
        <f aca="false">'Task Breakdown'!P475</f>
        <v>0</v>
      </c>
      <c r="M157" s="29" t="n">
        <f aca="false">'Task Breakdown'!Q475</f>
        <v>0</v>
      </c>
      <c r="N157" s="29" t="n">
        <f aca="false">'Task Breakdown'!R475</f>
        <v>0</v>
      </c>
      <c r="O157" s="29" t="n">
        <f aca="false">'Task Breakdown'!S475</f>
        <v>0</v>
      </c>
      <c r="P157" s="29" t="n">
        <f aca="false">'Task Breakdown'!T475</f>
        <v>0</v>
      </c>
      <c r="Q157" s="30" t="n">
        <f aca="false">SUM(E157:P157)</f>
        <v>16</v>
      </c>
      <c r="R157" s="31" t="n">
        <f aca="false">IF($Q$183&gt;0,Q157/$Q$183,0)</f>
        <v>0.00482945970419559</v>
      </c>
    </row>
    <row r="158" customFormat="false" ht="15" hidden="false" customHeight="false" outlineLevel="0" collapsed="false">
      <c r="A158" s="26" t="str">
        <f aca="false">'Task Breakdown'!A476</f>
        <v>UC-1.04.04</v>
      </c>
      <c r="B158" s="27" t="str">
        <f aca="false">'Task Breakdown'!G476</f>
        <v>Detailed design and design review</v>
      </c>
      <c r="C158" s="28"/>
      <c r="D158" s="28"/>
      <c r="E158" s="29" t="n">
        <f aca="false">'Task Breakdown'!I476</f>
        <v>0</v>
      </c>
      <c r="F158" s="29" t="n">
        <f aca="false">'Task Breakdown'!J476</f>
        <v>0</v>
      </c>
      <c r="G158" s="29" t="n">
        <f aca="false">'Task Breakdown'!K476</f>
        <v>0</v>
      </c>
      <c r="H158" s="29" t="n">
        <f aca="false">'Task Breakdown'!L476</f>
        <v>0</v>
      </c>
      <c r="I158" s="29" t="n">
        <f aca="false">'Task Breakdown'!M476</f>
        <v>0</v>
      </c>
      <c r="J158" s="29" t="n">
        <f aca="false">'Task Breakdown'!N476</f>
        <v>0</v>
      </c>
      <c r="K158" s="29" t="n">
        <f aca="false">'Task Breakdown'!O476</f>
        <v>0</v>
      </c>
      <c r="L158" s="29" t="n">
        <f aca="false">'Task Breakdown'!P476</f>
        <v>0</v>
      </c>
      <c r="M158" s="29" t="n">
        <f aca="false">'Task Breakdown'!Q476</f>
        <v>0</v>
      </c>
      <c r="N158" s="29" t="n">
        <f aca="false">'Task Breakdown'!R476</f>
        <v>4</v>
      </c>
      <c r="O158" s="29" t="n">
        <f aca="false">'Task Breakdown'!S476</f>
        <v>0</v>
      </c>
      <c r="P158" s="29" t="n">
        <f aca="false">'Task Breakdown'!T476</f>
        <v>0</v>
      </c>
      <c r="Q158" s="30" t="n">
        <f aca="false">SUM(E158:P158)</f>
        <v>4</v>
      </c>
      <c r="R158" s="31" t="n">
        <f aca="false">IF($Q$183&gt;0,Q158/$Q$183,0)</f>
        <v>0.0012073649260489</v>
      </c>
    </row>
    <row r="159" customFormat="false" ht="15" hidden="false" customHeight="false" outlineLevel="0" collapsed="false">
      <c r="A159" s="26" t="str">
        <f aca="false">'Task Breakdown'!A477</f>
        <v>UC-1.04.05</v>
      </c>
      <c r="B159" s="27" t="str">
        <f aca="false">'Task Breakdown'!G477</f>
        <v>Documentation, runbook and knowledge transfer</v>
      </c>
      <c r="C159" s="28"/>
      <c r="D159" s="28"/>
      <c r="E159" s="29" t="n">
        <f aca="false">'Task Breakdown'!I477</f>
        <v>0</v>
      </c>
      <c r="F159" s="29" t="n">
        <f aca="false">'Task Breakdown'!J477</f>
        <v>0</v>
      </c>
      <c r="G159" s="29" t="n">
        <f aca="false">'Task Breakdown'!K477</f>
        <v>0</v>
      </c>
      <c r="H159" s="29" t="n">
        <f aca="false">'Task Breakdown'!L477</f>
        <v>0</v>
      </c>
      <c r="I159" s="29" t="n">
        <f aca="false">'Task Breakdown'!M477</f>
        <v>0</v>
      </c>
      <c r="J159" s="29" t="n">
        <f aca="false">'Task Breakdown'!N477</f>
        <v>0</v>
      </c>
      <c r="K159" s="29" t="n">
        <f aca="false">'Task Breakdown'!O477</f>
        <v>0</v>
      </c>
      <c r="L159" s="29" t="n">
        <f aca="false">'Task Breakdown'!P477</f>
        <v>0</v>
      </c>
      <c r="M159" s="29" t="n">
        <f aca="false">'Task Breakdown'!Q477</f>
        <v>0</v>
      </c>
      <c r="N159" s="29" t="n">
        <f aca="false">'Task Breakdown'!R477</f>
        <v>3</v>
      </c>
      <c r="O159" s="29" t="n">
        <f aca="false">'Task Breakdown'!S477</f>
        <v>0</v>
      </c>
      <c r="P159" s="29" t="n">
        <f aca="false">'Task Breakdown'!T477</f>
        <v>0</v>
      </c>
      <c r="Q159" s="30" t="n">
        <f aca="false">SUM(E159:P159)</f>
        <v>3</v>
      </c>
      <c r="R159" s="31" t="n">
        <f aca="false">IF($Q$183&gt;0,Q159/$Q$183,0)</f>
        <v>0.000905523694536674</v>
      </c>
    </row>
    <row r="160" customFormat="false" ht="15" hidden="false" customHeight="false" outlineLevel="0" collapsed="false">
      <c r="A160" s="23" t="s">
        <v>153</v>
      </c>
      <c r="B160" s="23" t="s">
        <v>154</v>
      </c>
      <c r="C160" s="23" t="s">
        <v>45</v>
      </c>
      <c r="D160" s="23" t="s">
        <v>155</v>
      </c>
      <c r="E160" s="24" t="n">
        <f aca="false">SUM(E161:E165)</f>
        <v>0</v>
      </c>
      <c r="F160" s="24" t="n">
        <f aca="false">SUM(F161:F165)</f>
        <v>0</v>
      </c>
      <c r="G160" s="24" t="n">
        <f aca="false">SUM(G161:G165)</f>
        <v>0</v>
      </c>
      <c r="H160" s="24" t="n">
        <f aca="false">SUM(H161:H165)</f>
        <v>16</v>
      </c>
      <c r="I160" s="24" t="n">
        <f aca="false">SUM(I161:I165)</f>
        <v>16</v>
      </c>
      <c r="J160" s="24" t="n">
        <f aca="false">SUM(J161:J165)</f>
        <v>0</v>
      </c>
      <c r="K160" s="24" t="n">
        <f aca="false">SUM(K161:K165)</f>
        <v>0</v>
      </c>
      <c r="L160" s="24" t="n">
        <f aca="false">SUM(L161:L165)</f>
        <v>0</v>
      </c>
      <c r="M160" s="24" t="n">
        <f aca="false">SUM(M161:M165)</f>
        <v>0</v>
      </c>
      <c r="N160" s="24" t="n">
        <f aca="false">SUM(N161:N165)</f>
        <v>39</v>
      </c>
      <c r="O160" s="24" t="n">
        <f aca="false">SUM(O161:O165)</f>
        <v>0</v>
      </c>
      <c r="P160" s="24" t="n">
        <f aca="false">SUM(P161:P165)</f>
        <v>0</v>
      </c>
      <c r="Q160" s="24" t="n">
        <f aca="false">SUM(Q161:Q165)</f>
        <v>71</v>
      </c>
      <c r="R160" s="25" t="n">
        <f aca="false">IF($Q$183&gt;0,Q160/$Q$183,0)</f>
        <v>0.0214307274373679</v>
      </c>
    </row>
    <row r="161" customFormat="false" ht="15" hidden="false" customHeight="false" outlineLevel="0" collapsed="false">
      <c r="A161" s="26" t="str">
        <f aca="false">'Task Breakdown'!A478</f>
        <v>UC-1.05.01</v>
      </c>
      <c r="B161" s="27" t="str">
        <f aca="false">'Task Breakdown'!G478</f>
        <v>Classify agent actions by risk (read, recommend, act)</v>
      </c>
      <c r="C161" s="28"/>
      <c r="D161" s="28"/>
      <c r="E161" s="29" t="n">
        <f aca="false">'Task Breakdown'!I478</f>
        <v>0</v>
      </c>
      <c r="F161" s="29" t="n">
        <f aca="false">'Task Breakdown'!J478</f>
        <v>0</v>
      </c>
      <c r="G161" s="29" t="n">
        <f aca="false">'Task Breakdown'!K478</f>
        <v>0</v>
      </c>
      <c r="H161" s="29" t="n">
        <f aca="false">'Task Breakdown'!L478</f>
        <v>0</v>
      </c>
      <c r="I161" s="29" t="n">
        <f aca="false">'Task Breakdown'!M478</f>
        <v>8</v>
      </c>
      <c r="J161" s="29" t="n">
        <f aca="false">'Task Breakdown'!N478</f>
        <v>0</v>
      </c>
      <c r="K161" s="29" t="n">
        <f aca="false">'Task Breakdown'!O478</f>
        <v>0</v>
      </c>
      <c r="L161" s="29" t="n">
        <f aca="false">'Task Breakdown'!P478</f>
        <v>0</v>
      </c>
      <c r="M161" s="29" t="n">
        <f aca="false">'Task Breakdown'!Q478</f>
        <v>0</v>
      </c>
      <c r="N161" s="29" t="n">
        <f aca="false">'Task Breakdown'!R478</f>
        <v>16</v>
      </c>
      <c r="O161" s="29" t="n">
        <f aca="false">'Task Breakdown'!S478</f>
        <v>0</v>
      </c>
      <c r="P161" s="29" t="n">
        <f aca="false">'Task Breakdown'!T478</f>
        <v>0</v>
      </c>
      <c r="Q161" s="30" t="n">
        <f aca="false">SUM(E161:P161)</f>
        <v>24</v>
      </c>
      <c r="R161" s="31" t="n">
        <f aca="false">IF($Q$183&gt;0,Q161/$Q$183,0)</f>
        <v>0.00724418955629339</v>
      </c>
    </row>
    <row r="162" customFormat="false" ht="15" hidden="false" customHeight="false" outlineLevel="0" collapsed="false">
      <c r="A162" s="26" t="str">
        <f aca="false">'Task Breakdown'!A479</f>
        <v>UC-1.05.02</v>
      </c>
      <c r="B162" s="27" t="str">
        <f aca="false">'Task Breakdown'!G479</f>
        <v>Define approvers and thresholds</v>
      </c>
      <c r="C162" s="28"/>
      <c r="D162" s="28"/>
      <c r="E162" s="29" t="n">
        <f aca="false">'Task Breakdown'!I479</f>
        <v>0</v>
      </c>
      <c r="F162" s="29" t="n">
        <f aca="false">'Task Breakdown'!J479</f>
        <v>0</v>
      </c>
      <c r="G162" s="29" t="n">
        <f aca="false">'Task Breakdown'!K479</f>
        <v>0</v>
      </c>
      <c r="H162" s="29" t="n">
        <f aca="false">'Task Breakdown'!L479</f>
        <v>0</v>
      </c>
      <c r="I162" s="29" t="n">
        <f aca="false">'Task Breakdown'!M479</f>
        <v>0</v>
      </c>
      <c r="J162" s="29" t="n">
        <f aca="false">'Task Breakdown'!N479</f>
        <v>0</v>
      </c>
      <c r="K162" s="29" t="n">
        <f aca="false">'Task Breakdown'!O479</f>
        <v>0</v>
      </c>
      <c r="L162" s="29" t="n">
        <f aca="false">'Task Breakdown'!P479</f>
        <v>0</v>
      </c>
      <c r="M162" s="29" t="n">
        <f aca="false">'Task Breakdown'!Q479</f>
        <v>0</v>
      </c>
      <c r="N162" s="29" t="n">
        <f aca="false">'Task Breakdown'!R479</f>
        <v>16</v>
      </c>
      <c r="O162" s="29" t="n">
        <f aca="false">'Task Breakdown'!S479</f>
        <v>0</v>
      </c>
      <c r="P162" s="29" t="n">
        <f aca="false">'Task Breakdown'!T479</f>
        <v>0</v>
      </c>
      <c r="Q162" s="30" t="n">
        <f aca="false">SUM(E162:P162)</f>
        <v>16</v>
      </c>
      <c r="R162" s="31" t="n">
        <f aca="false">IF($Q$183&gt;0,Q162/$Q$183,0)</f>
        <v>0.00482945970419559</v>
      </c>
    </row>
    <row r="163" customFormat="false" ht="15" hidden="false" customHeight="false" outlineLevel="0" collapsed="false">
      <c r="A163" s="26" t="str">
        <f aca="false">'Task Breakdown'!A480</f>
        <v>UC-1.05.03</v>
      </c>
      <c r="B163" s="27" t="str">
        <f aca="false">'Task Breakdown'!G480</f>
        <v>Security and audit requirements</v>
      </c>
      <c r="C163" s="28"/>
      <c r="D163" s="28"/>
      <c r="E163" s="29" t="n">
        <f aca="false">'Task Breakdown'!I480</f>
        <v>0</v>
      </c>
      <c r="F163" s="29" t="n">
        <f aca="false">'Task Breakdown'!J480</f>
        <v>0</v>
      </c>
      <c r="G163" s="29" t="n">
        <f aca="false">'Task Breakdown'!K480</f>
        <v>0</v>
      </c>
      <c r="H163" s="29" t="n">
        <f aca="false">'Task Breakdown'!L480</f>
        <v>16</v>
      </c>
      <c r="I163" s="29" t="n">
        <f aca="false">'Task Breakdown'!M480</f>
        <v>8</v>
      </c>
      <c r="J163" s="29" t="n">
        <f aca="false">'Task Breakdown'!N480</f>
        <v>0</v>
      </c>
      <c r="K163" s="29" t="n">
        <f aca="false">'Task Breakdown'!O480</f>
        <v>0</v>
      </c>
      <c r="L163" s="29" t="n">
        <f aca="false">'Task Breakdown'!P480</f>
        <v>0</v>
      </c>
      <c r="M163" s="29" t="n">
        <f aca="false">'Task Breakdown'!Q480</f>
        <v>0</v>
      </c>
      <c r="N163" s="29" t="n">
        <f aca="false">'Task Breakdown'!R480</f>
        <v>0</v>
      </c>
      <c r="O163" s="29" t="n">
        <f aca="false">'Task Breakdown'!S480</f>
        <v>0</v>
      </c>
      <c r="P163" s="29" t="n">
        <f aca="false">'Task Breakdown'!T480</f>
        <v>0</v>
      </c>
      <c r="Q163" s="30" t="n">
        <f aca="false">SUM(E163:P163)</f>
        <v>24</v>
      </c>
      <c r="R163" s="31" t="n">
        <f aca="false">IF($Q$183&gt;0,Q163/$Q$183,0)</f>
        <v>0.00724418955629339</v>
      </c>
    </row>
    <row r="164" customFormat="false" ht="15" hidden="false" customHeight="false" outlineLevel="0" collapsed="false">
      <c r="A164" s="26" t="str">
        <f aca="false">'Task Breakdown'!A481</f>
        <v>UC-1.05.04</v>
      </c>
      <c r="B164" s="27" t="str">
        <f aca="false">'Task Breakdown'!G481</f>
        <v>Detailed design and design review</v>
      </c>
      <c r="C164" s="28"/>
      <c r="D164" s="28"/>
      <c r="E164" s="29" t="n">
        <f aca="false">'Task Breakdown'!I481</f>
        <v>0</v>
      </c>
      <c r="F164" s="29" t="n">
        <f aca="false">'Task Breakdown'!J481</f>
        <v>0</v>
      </c>
      <c r="G164" s="29" t="n">
        <f aca="false">'Task Breakdown'!K481</f>
        <v>0</v>
      </c>
      <c r="H164" s="29" t="n">
        <f aca="false">'Task Breakdown'!L481</f>
        <v>0</v>
      </c>
      <c r="I164" s="29" t="n">
        <f aca="false">'Task Breakdown'!M481</f>
        <v>0</v>
      </c>
      <c r="J164" s="29" t="n">
        <f aca="false">'Task Breakdown'!N481</f>
        <v>0</v>
      </c>
      <c r="K164" s="29" t="n">
        <f aca="false">'Task Breakdown'!O481</f>
        <v>0</v>
      </c>
      <c r="L164" s="29" t="n">
        <f aca="false">'Task Breakdown'!P481</f>
        <v>0</v>
      </c>
      <c r="M164" s="29" t="n">
        <f aca="false">'Task Breakdown'!Q481</f>
        <v>0</v>
      </c>
      <c r="N164" s="29" t="n">
        <f aca="false">'Task Breakdown'!R481</f>
        <v>4</v>
      </c>
      <c r="O164" s="29" t="n">
        <f aca="false">'Task Breakdown'!S481</f>
        <v>0</v>
      </c>
      <c r="P164" s="29" t="n">
        <f aca="false">'Task Breakdown'!T481</f>
        <v>0</v>
      </c>
      <c r="Q164" s="30" t="n">
        <f aca="false">SUM(E164:P164)</f>
        <v>4</v>
      </c>
      <c r="R164" s="31" t="n">
        <f aca="false">IF($Q$183&gt;0,Q164/$Q$183,0)</f>
        <v>0.0012073649260489</v>
      </c>
    </row>
    <row r="165" customFormat="false" ht="15" hidden="false" customHeight="false" outlineLevel="0" collapsed="false">
      <c r="A165" s="26" t="str">
        <f aca="false">'Task Breakdown'!A482</f>
        <v>UC-1.05.05</v>
      </c>
      <c r="B165" s="27" t="str">
        <f aca="false">'Task Breakdown'!G482</f>
        <v>Documentation, runbook and knowledge transfer</v>
      </c>
      <c r="C165" s="28"/>
      <c r="D165" s="28"/>
      <c r="E165" s="29" t="n">
        <f aca="false">'Task Breakdown'!I482</f>
        <v>0</v>
      </c>
      <c r="F165" s="29" t="n">
        <f aca="false">'Task Breakdown'!J482</f>
        <v>0</v>
      </c>
      <c r="G165" s="29" t="n">
        <f aca="false">'Task Breakdown'!K482</f>
        <v>0</v>
      </c>
      <c r="H165" s="29" t="n">
        <f aca="false">'Task Breakdown'!L482</f>
        <v>0</v>
      </c>
      <c r="I165" s="29" t="n">
        <f aca="false">'Task Breakdown'!M482</f>
        <v>0</v>
      </c>
      <c r="J165" s="29" t="n">
        <f aca="false">'Task Breakdown'!N482</f>
        <v>0</v>
      </c>
      <c r="K165" s="29" t="n">
        <f aca="false">'Task Breakdown'!O482</f>
        <v>0</v>
      </c>
      <c r="L165" s="29" t="n">
        <f aca="false">'Task Breakdown'!P482</f>
        <v>0</v>
      </c>
      <c r="M165" s="29" t="n">
        <f aca="false">'Task Breakdown'!Q482</f>
        <v>0</v>
      </c>
      <c r="N165" s="29" t="n">
        <f aca="false">'Task Breakdown'!R482</f>
        <v>3</v>
      </c>
      <c r="O165" s="29" t="n">
        <f aca="false">'Task Breakdown'!S482</f>
        <v>0</v>
      </c>
      <c r="P165" s="29" t="n">
        <f aca="false">'Task Breakdown'!T482</f>
        <v>0</v>
      </c>
      <c r="Q165" s="30" t="n">
        <f aca="false">SUM(E165:P165)</f>
        <v>3</v>
      </c>
      <c r="R165" s="31" t="n">
        <f aca="false">IF($Q$183&gt;0,Q165/$Q$183,0)</f>
        <v>0.000905523694536674</v>
      </c>
    </row>
    <row r="166" customFormat="false" ht="15" hidden="false" customHeight="false" outlineLevel="0" collapsed="false">
      <c r="A166" s="23" t="s">
        <v>156</v>
      </c>
      <c r="B166" s="23" t="s">
        <v>157</v>
      </c>
      <c r="C166" s="23" t="s">
        <v>43</v>
      </c>
      <c r="D166" s="23" t="s">
        <v>158</v>
      </c>
      <c r="E166" s="24" t="n">
        <f aca="false">SUM(E167:E171)</f>
        <v>0</v>
      </c>
      <c r="F166" s="24" t="n">
        <f aca="false">SUM(F167:F171)</f>
        <v>0</v>
      </c>
      <c r="G166" s="24" t="n">
        <f aca="false">SUM(G167:G171)</f>
        <v>0</v>
      </c>
      <c r="H166" s="24" t="n">
        <f aca="false">SUM(H167:H171)</f>
        <v>16</v>
      </c>
      <c r="I166" s="24" t="n">
        <f aca="false">SUM(I167:I171)</f>
        <v>39</v>
      </c>
      <c r="J166" s="24" t="n">
        <f aca="false">SUM(J167:J171)</f>
        <v>0</v>
      </c>
      <c r="K166" s="24" t="n">
        <f aca="false">SUM(K167:K171)</f>
        <v>0</v>
      </c>
      <c r="L166" s="24" t="n">
        <f aca="false">SUM(L167:L171)</f>
        <v>0</v>
      </c>
      <c r="M166" s="24" t="n">
        <f aca="false">SUM(M167:M171)</f>
        <v>0</v>
      </c>
      <c r="N166" s="24" t="n">
        <f aca="false">SUM(N167:N171)</f>
        <v>16</v>
      </c>
      <c r="O166" s="24" t="n">
        <f aca="false">SUM(O167:O171)</f>
        <v>0</v>
      </c>
      <c r="P166" s="24" t="n">
        <f aca="false">SUM(P167:P171)</f>
        <v>0</v>
      </c>
      <c r="Q166" s="24" t="n">
        <f aca="false">SUM(Q167:Q171)</f>
        <v>71</v>
      </c>
      <c r="R166" s="25" t="n">
        <f aca="false">IF($Q$183&gt;0,Q166/$Q$183,0)</f>
        <v>0.0214307274373679</v>
      </c>
    </row>
    <row r="167" customFormat="false" ht="15" hidden="false" customHeight="false" outlineLevel="0" collapsed="false">
      <c r="A167" s="26" t="str">
        <f aca="false">'Task Breakdown'!A483</f>
        <v>UC-1.06.01</v>
      </c>
      <c r="B167" s="27" t="str">
        <f aca="false">'Task Breakdown'!G483</f>
        <v>Complete Responsible-AI impact assessment</v>
      </c>
      <c r="C167" s="28"/>
      <c r="D167" s="28"/>
      <c r="E167" s="29" t="n">
        <f aca="false">'Task Breakdown'!I483</f>
        <v>0</v>
      </c>
      <c r="F167" s="29" t="n">
        <f aca="false">'Task Breakdown'!J483</f>
        <v>0</v>
      </c>
      <c r="G167" s="29" t="n">
        <f aca="false">'Task Breakdown'!K483</f>
        <v>0</v>
      </c>
      <c r="H167" s="29" t="n">
        <f aca="false">'Task Breakdown'!L483</f>
        <v>0</v>
      </c>
      <c r="I167" s="29" t="n">
        <f aca="false">'Task Breakdown'!M483</f>
        <v>16</v>
      </c>
      <c r="J167" s="29" t="n">
        <f aca="false">'Task Breakdown'!N483</f>
        <v>0</v>
      </c>
      <c r="K167" s="29" t="n">
        <f aca="false">'Task Breakdown'!O483</f>
        <v>0</v>
      </c>
      <c r="L167" s="29" t="n">
        <f aca="false">'Task Breakdown'!P483</f>
        <v>0</v>
      </c>
      <c r="M167" s="29" t="n">
        <f aca="false">'Task Breakdown'!Q483</f>
        <v>0</v>
      </c>
      <c r="N167" s="29" t="n">
        <f aca="false">'Task Breakdown'!R483</f>
        <v>8</v>
      </c>
      <c r="O167" s="29" t="n">
        <f aca="false">'Task Breakdown'!S483</f>
        <v>0</v>
      </c>
      <c r="P167" s="29" t="n">
        <f aca="false">'Task Breakdown'!T483</f>
        <v>0</v>
      </c>
      <c r="Q167" s="30" t="n">
        <f aca="false">SUM(E167:P167)</f>
        <v>24</v>
      </c>
      <c r="R167" s="31" t="n">
        <f aca="false">IF($Q$183&gt;0,Q167/$Q$183,0)</f>
        <v>0.00724418955629339</v>
      </c>
    </row>
    <row r="168" customFormat="false" ht="15" hidden="false" customHeight="false" outlineLevel="0" collapsed="false">
      <c r="A168" s="26" t="str">
        <f aca="false">'Task Breakdown'!A484</f>
        <v>UC-1.06.02</v>
      </c>
      <c r="B168" s="27" t="str">
        <f aca="false">'Task Breakdown'!G484</f>
        <v>Privacy and security review</v>
      </c>
      <c r="C168" s="28"/>
      <c r="D168" s="28"/>
      <c r="E168" s="29" t="n">
        <f aca="false">'Task Breakdown'!I484</f>
        <v>0</v>
      </c>
      <c r="F168" s="29" t="n">
        <f aca="false">'Task Breakdown'!J484</f>
        <v>0</v>
      </c>
      <c r="G168" s="29" t="n">
        <f aca="false">'Task Breakdown'!K484</f>
        <v>0</v>
      </c>
      <c r="H168" s="29" t="n">
        <f aca="false">'Task Breakdown'!L484</f>
        <v>16</v>
      </c>
      <c r="I168" s="29" t="n">
        <f aca="false">'Task Breakdown'!M484</f>
        <v>0</v>
      </c>
      <c r="J168" s="29" t="n">
        <f aca="false">'Task Breakdown'!N484</f>
        <v>0</v>
      </c>
      <c r="K168" s="29" t="n">
        <f aca="false">'Task Breakdown'!O484</f>
        <v>0</v>
      </c>
      <c r="L168" s="29" t="n">
        <f aca="false">'Task Breakdown'!P484</f>
        <v>0</v>
      </c>
      <c r="M168" s="29" t="n">
        <f aca="false">'Task Breakdown'!Q484</f>
        <v>0</v>
      </c>
      <c r="N168" s="29" t="n">
        <f aca="false">'Task Breakdown'!R484</f>
        <v>0</v>
      </c>
      <c r="O168" s="29" t="n">
        <f aca="false">'Task Breakdown'!S484</f>
        <v>0</v>
      </c>
      <c r="P168" s="29" t="n">
        <f aca="false">'Task Breakdown'!T484</f>
        <v>0</v>
      </c>
      <c r="Q168" s="30" t="n">
        <f aca="false">SUM(E168:P168)</f>
        <v>16</v>
      </c>
      <c r="R168" s="31" t="n">
        <f aca="false">IF($Q$183&gt;0,Q168/$Q$183,0)</f>
        <v>0.00482945970419559</v>
      </c>
    </row>
    <row r="169" customFormat="false" ht="15" hidden="false" customHeight="false" outlineLevel="0" collapsed="false">
      <c r="A169" s="26" t="str">
        <f aca="false">'Task Breakdown'!A485</f>
        <v>UC-1.06.03</v>
      </c>
      <c r="B169" s="27" t="str">
        <f aca="false">'Task Breakdown'!G485</f>
        <v>Agree mitigations and sign-off</v>
      </c>
      <c r="C169" s="28"/>
      <c r="D169" s="28"/>
      <c r="E169" s="29" t="n">
        <f aca="false">'Task Breakdown'!I485</f>
        <v>0</v>
      </c>
      <c r="F169" s="29" t="n">
        <f aca="false">'Task Breakdown'!J485</f>
        <v>0</v>
      </c>
      <c r="G169" s="29" t="n">
        <f aca="false">'Task Breakdown'!K485</f>
        <v>0</v>
      </c>
      <c r="H169" s="29" t="n">
        <f aca="false">'Task Breakdown'!L485</f>
        <v>0</v>
      </c>
      <c r="I169" s="29" t="n">
        <f aca="false">'Task Breakdown'!M485</f>
        <v>16</v>
      </c>
      <c r="J169" s="29" t="n">
        <f aca="false">'Task Breakdown'!N485</f>
        <v>0</v>
      </c>
      <c r="K169" s="29" t="n">
        <f aca="false">'Task Breakdown'!O485</f>
        <v>0</v>
      </c>
      <c r="L169" s="29" t="n">
        <f aca="false">'Task Breakdown'!P485</f>
        <v>0</v>
      </c>
      <c r="M169" s="29" t="n">
        <f aca="false">'Task Breakdown'!Q485</f>
        <v>0</v>
      </c>
      <c r="N169" s="29" t="n">
        <f aca="false">'Task Breakdown'!R485</f>
        <v>8</v>
      </c>
      <c r="O169" s="29" t="n">
        <f aca="false">'Task Breakdown'!S485</f>
        <v>0</v>
      </c>
      <c r="P169" s="29" t="n">
        <f aca="false">'Task Breakdown'!T485</f>
        <v>0</v>
      </c>
      <c r="Q169" s="30" t="n">
        <f aca="false">SUM(E169:P169)</f>
        <v>24</v>
      </c>
      <c r="R169" s="31" t="n">
        <f aca="false">IF($Q$183&gt;0,Q169/$Q$183,0)</f>
        <v>0.00724418955629339</v>
      </c>
    </row>
    <row r="170" customFormat="false" ht="15" hidden="false" customHeight="false" outlineLevel="0" collapsed="false">
      <c r="A170" s="26" t="str">
        <f aca="false">'Task Breakdown'!A486</f>
        <v>UC-1.06.04</v>
      </c>
      <c r="B170" s="27" t="str">
        <f aca="false">'Task Breakdown'!G486</f>
        <v>Detailed design and design review</v>
      </c>
      <c r="C170" s="28"/>
      <c r="D170" s="28"/>
      <c r="E170" s="29" t="n">
        <f aca="false">'Task Breakdown'!I486</f>
        <v>0</v>
      </c>
      <c r="F170" s="29" t="n">
        <f aca="false">'Task Breakdown'!J486</f>
        <v>0</v>
      </c>
      <c r="G170" s="29" t="n">
        <f aca="false">'Task Breakdown'!K486</f>
        <v>0</v>
      </c>
      <c r="H170" s="29" t="n">
        <f aca="false">'Task Breakdown'!L486</f>
        <v>0</v>
      </c>
      <c r="I170" s="29" t="n">
        <f aca="false">'Task Breakdown'!M486</f>
        <v>4</v>
      </c>
      <c r="J170" s="29" t="n">
        <f aca="false">'Task Breakdown'!N486</f>
        <v>0</v>
      </c>
      <c r="K170" s="29" t="n">
        <f aca="false">'Task Breakdown'!O486</f>
        <v>0</v>
      </c>
      <c r="L170" s="29" t="n">
        <f aca="false">'Task Breakdown'!P486</f>
        <v>0</v>
      </c>
      <c r="M170" s="29" t="n">
        <f aca="false">'Task Breakdown'!Q486</f>
        <v>0</v>
      </c>
      <c r="N170" s="29" t="n">
        <f aca="false">'Task Breakdown'!R486</f>
        <v>0</v>
      </c>
      <c r="O170" s="29" t="n">
        <f aca="false">'Task Breakdown'!S486</f>
        <v>0</v>
      </c>
      <c r="P170" s="29" t="n">
        <f aca="false">'Task Breakdown'!T486</f>
        <v>0</v>
      </c>
      <c r="Q170" s="30" t="n">
        <f aca="false">SUM(E170:P170)</f>
        <v>4</v>
      </c>
      <c r="R170" s="31" t="n">
        <f aca="false">IF($Q$183&gt;0,Q170/$Q$183,0)</f>
        <v>0.0012073649260489</v>
      </c>
    </row>
    <row r="171" customFormat="false" ht="15" hidden="false" customHeight="false" outlineLevel="0" collapsed="false">
      <c r="A171" s="26" t="str">
        <f aca="false">'Task Breakdown'!A487</f>
        <v>UC-1.06.05</v>
      </c>
      <c r="B171" s="27" t="str">
        <f aca="false">'Task Breakdown'!G487</f>
        <v>Documentation, runbook and knowledge transfer</v>
      </c>
      <c r="C171" s="28"/>
      <c r="D171" s="28"/>
      <c r="E171" s="29" t="n">
        <f aca="false">'Task Breakdown'!I487</f>
        <v>0</v>
      </c>
      <c r="F171" s="29" t="n">
        <f aca="false">'Task Breakdown'!J487</f>
        <v>0</v>
      </c>
      <c r="G171" s="29" t="n">
        <f aca="false">'Task Breakdown'!K487</f>
        <v>0</v>
      </c>
      <c r="H171" s="29" t="n">
        <f aca="false">'Task Breakdown'!L487</f>
        <v>0</v>
      </c>
      <c r="I171" s="29" t="n">
        <f aca="false">'Task Breakdown'!M487</f>
        <v>3</v>
      </c>
      <c r="J171" s="29" t="n">
        <f aca="false">'Task Breakdown'!N487</f>
        <v>0</v>
      </c>
      <c r="K171" s="29" t="n">
        <f aca="false">'Task Breakdown'!O487</f>
        <v>0</v>
      </c>
      <c r="L171" s="29" t="n">
        <f aca="false">'Task Breakdown'!P487</f>
        <v>0</v>
      </c>
      <c r="M171" s="29" t="n">
        <f aca="false">'Task Breakdown'!Q487</f>
        <v>0</v>
      </c>
      <c r="N171" s="29" t="n">
        <f aca="false">'Task Breakdown'!R487</f>
        <v>0</v>
      </c>
      <c r="O171" s="29" t="n">
        <f aca="false">'Task Breakdown'!S487</f>
        <v>0</v>
      </c>
      <c r="P171" s="29" t="n">
        <f aca="false">'Task Breakdown'!T487</f>
        <v>0</v>
      </c>
      <c r="Q171" s="30" t="n">
        <f aca="false">SUM(E171:P171)</f>
        <v>3</v>
      </c>
      <c r="R171" s="31" t="n">
        <f aca="false">IF($Q$183&gt;0,Q171/$Q$183,0)</f>
        <v>0.000905523694536674</v>
      </c>
    </row>
    <row r="172" customFormat="false" ht="15" hidden="false" customHeight="false" outlineLevel="0" collapsed="false">
      <c r="A172" s="9"/>
      <c r="B172" s="10" t="s">
        <v>159</v>
      </c>
      <c r="C172" s="9"/>
      <c r="D172" s="9"/>
      <c r="E172" s="32" t="n">
        <f aca="false">E135+E142+E148+E154+E160+E166</f>
        <v>72</v>
      </c>
      <c r="F172" s="32" t="n">
        <f aca="false">F135+F142+F148+F154+F160+F166</f>
        <v>0</v>
      </c>
      <c r="G172" s="32" t="n">
        <f aca="false">G135+G142+G148+G154+G160+G166</f>
        <v>0</v>
      </c>
      <c r="H172" s="32" t="n">
        <f aca="false">H135+H142+H148+H154+H160+H166</f>
        <v>32</v>
      </c>
      <c r="I172" s="32" t="n">
        <f aca="false">I135+I142+I148+I154+I160+I166</f>
        <v>107</v>
      </c>
      <c r="J172" s="32" t="n">
        <f aca="false">J135+J142+J148+J154+J160+J166</f>
        <v>0</v>
      </c>
      <c r="K172" s="32" t="n">
        <f aca="false">K135+K142+K148+K154+K160+K166</f>
        <v>20</v>
      </c>
      <c r="L172" s="32" t="n">
        <f aca="false">L135+L142+L148+L154+L160+L166</f>
        <v>16</v>
      </c>
      <c r="M172" s="32" t="n">
        <f aca="false">M135+M142+M148+M154+M160+M166</f>
        <v>0</v>
      </c>
      <c r="N172" s="32" t="n">
        <f aca="false">N135+N142+N148+N154+N160+N166</f>
        <v>362</v>
      </c>
      <c r="O172" s="32" t="n">
        <f aca="false">O135+O142+O148+O154+O160+O166</f>
        <v>0</v>
      </c>
      <c r="P172" s="32" t="n">
        <f aca="false">P135+P142+P148+P154+P160+P166</f>
        <v>0</v>
      </c>
      <c r="Q172" s="32" t="n">
        <f aca="false">Q135+Q142+Q148+Q154+Q160+Q166</f>
        <v>609</v>
      </c>
      <c r="R172" s="33" t="n">
        <f aca="false">IF($Q$183&gt;0,Q172/$Q$183,0)</f>
        <v>0.183821309990945</v>
      </c>
    </row>
    <row r="174" customFormat="false" ht="15" hidden="false" customHeight="false" outlineLevel="0" collapsed="false">
      <c r="A174" s="21" t="s">
        <v>160</v>
      </c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</row>
    <row r="175" customFormat="false" ht="15" hidden="false" customHeight="false" outlineLevel="0" collapsed="false">
      <c r="A175" s="23" t="s">
        <v>161</v>
      </c>
      <c r="B175" s="23" t="s">
        <v>162</v>
      </c>
      <c r="C175" s="23" t="s">
        <v>46</v>
      </c>
      <c r="D175" s="23" t="s">
        <v>163</v>
      </c>
      <c r="E175" s="24" t="n">
        <f aca="false">SUM(E176:E180)</f>
        <v>366</v>
      </c>
      <c r="F175" s="24" t="n">
        <f aca="false">SUM(F176:F180)</f>
        <v>24</v>
      </c>
      <c r="G175" s="24" t="n">
        <f aca="false">SUM(G176:G180)</f>
        <v>0</v>
      </c>
      <c r="H175" s="24" t="n">
        <f aca="false">SUM(H176:H180)</f>
        <v>0</v>
      </c>
      <c r="I175" s="24" t="n">
        <f aca="false">SUM(I176:I180)</f>
        <v>24</v>
      </c>
      <c r="J175" s="24" t="n">
        <f aca="false">SUM(J176:J180)</f>
        <v>0</v>
      </c>
      <c r="K175" s="24" t="n">
        <f aca="false">SUM(K176:K180)</f>
        <v>0</v>
      </c>
      <c r="L175" s="24" t="n">
        <f aca="false">SUM(L176:L180)</f>
        <v>0</v>
      </c>
      <c r="M175" s="24" t="n">
        <f aca="false">SUM(M176:M180)</f>
        <v>0</v>
      </c>
      <c r="N175" s="24" t="n">
        <f aca="false">SUM(N176:N180)</f>
        <v>0</v>
      </c>
      <c r="O175" s="24" t="n">
        <f aca="false">SUM(O176:O180)</f>
        <v>0</v>
      </c>
      <c r="P175" s="24" t="n">
        <f aca="false">SUM(P176:P180)</f>
        <v>0</v>
      </c>
      <c r="Q175" s="24" t="n">
        <f aca="false">SUM(Q176:Q180)</f>
        <v>414</v>
      </c>
      <c r="R175" s="25" t="n">
        <f aca="false">IF($Q$183&gt;0,Q175/$Q$183,0)</f>
        <v>0.124962269846061</v>
      </c>
    </row>
    <row r="176" customFormat="false" ht="15" hidden="false" customHeight="false" outlineLevel="0" collapsed="false">
      <c r="A176" s="26" t="str">
        <f aca="false">'Task Breakdown'!A641</f>
        <v>PM-1.01.01</v>
      </c>
      <c r="B176" s="27" t="str">
        <f aca="false">'Task Breakdown'!G641</f>
        <v>Phase plan and schedule</v>
      </c>
      <c r="C176" s="28"/>
      <c r="D176" s="28"/>
      <c r="E176" s="29" t="n">
        <f aca="false">'Task Breakdown'!I641</f>
        <v>73</v>
      </c>
      <c r="F176" s="29" t="n">
        <f aca="false">'Task Breakdown'!J641</f>
        <v>0</v>
      </c>
      <c r="G176" s="29" t="n">
        <f aca="false">'Task Breakdown'!K641</f>
        <v>0</v>
      </c>
      <c r="H176" s="29" t="n">
        <f aca="false">'Task Breakdown'!L641</f>
        <v>0</v>
      </c>
      <c r="I176" s="29" t="n">
        <f aca="false">'Task Breakdown'!M641</f>
        <v>0</v>
      </c>
      <c r="J176" s="29" t="n">
        <f aca="false">'Task Breakdown'!N641</f>
        <v>0</v>
      </c>
      <c r="K176" s="29" t="n">
        <f aca="false">'Task Breakdown'!O641</f>
        <v>0</v>
      </c>
      <c r="L176" s="29" t="n">
        <f aca="false">'Task Breakdown'!P641</f>
        <v>0</v>
      </c>
      <c r="M176" s="29" t="n">
        <f aca="false">'Task Breakdown'!Q641</f>
        <v>0</v>
      </c>
      <c r="N176" s="29" t="n">
        <f aca="false">'Task Breakdown'!R641</f>
        <v>0</v>
      </c>
      <c r="O176" s="29" t="n">
        <f aca="false">'Task Breakdown'!S641</f>
        <v>0</v>
      </c>
      <c r="P176" s="29" t="n">
        <f aca="false">'Task Breakdown'!T641</f>
        <v>0</v>
      </c>
      <c r="Q176" s="30" t="n">
        <f aca="false">SUM(E176:P176)</f>
        <v>73</v>
      </c>
      <c r="R176" s="31" t="n">
        <f aca="false">IF($Q$183&gt;0,Q176/$Q$183,0)</f>
        <v>0.0220344099003924</v>
      </c>
    </row>
    <row r="177" customFormat="false" ht="15" hidden="false" customHeight="false" outlineLevel="0" collapsed="false">
      <c r="A177" s="26" t="str">
        <f aca="false">'Task Breakdown'!A642</f>
        <v>PM-1.01.02</v>
      </c>
      <c r="B177" s="27" t="str">
        <f aca="false">'Task Breakdown'!G642</f>
        <v>Weekly status reporting and RAID log</v>
      </c>
      <c r="C177" s="28"/>
      <c r="D177" s="28"/>
      <c r="E177" s="29" t="n">
        <f aca="false">'Task Breakdown'!I642</f>
        <v>122</v>
      </c>
      <c r="F177" s="29" t="n">
        <f aca="false">'Task Breakdown'!J642</f>
        <v>0</v>
      </c>
      <c r="G177" s="29" t="n">
        <f aca="false">'Task Breakdown'!K642</f>
        <v>0</v>
      </c>
      <c r="H177" s="29" t="n">
        <f aca="false">'Task Breakdown'!L642</f>
        <v>0</v>
      </c>
      <c r="I177" s="29" t="n">
        <f aca="false">'Task Breakdown'!M642</f>
        <v>0</v>
      </c>
      <c r="J177" s="29" t="n">
        <f aca="false">'Task Breakdown'!N642</f>
        <v>0</v>
      </c>
      <c r="K177" s="29" t="n">
        <f aca="false">'Task Breakdown'!O642</f>
        <v>0</v>
      </c>
      <c r="L177" s="29" t="n">
        <f aca="false">'Task Breakdown'!P642</f>
        <v>0</v>
      </c>
      <c r="M177" s="29" t="n">
        <f aca="false">'Task Breakdown'!Q642</f>
        <v>0</v>
      </c>
      <c r="N177" s="29" t="n">
        <f aca="false">'Task Breakdown'!R642</f>
        <v>0</v>
      </c>
      <c r="O177" s="29" t="n">
        <f aca="false">'Task Breakdown'!S642</f>
        <v>0</v>
      </c>
      <c r="P177" s="29" t="n">
        <f aca="false">'Task Breakdown'!T642</f>
        <v>0</v>
      </c>
      <c r="Q177" s="30" t="n">
        <f aca="false">SUM(E177:P177)</f>
        <v>122</v>
      </c>
      <c r="R177" s="31" t="n">
        <f aca="false">IF($Q$183&gt;0,Q177/$Q$183,0)</f>
        <v>0.0368246302444914</v>
      </c>
    </row>
    <row r="178" customFormat="false" ht="15" hidden="false" customHeight="false" outlineLevel="0" collapsed="false">
      <c r="A178" s="26" t="str">
        <f aca="false">'Task Breakdown'!A643</f>
        <v>PM-1.01.03</v>
      </c>
      <c r="B178" s="27" t="str">
        <f aca="false">'Task Breakdown'!G643</f>
        <v>Steering committee preparation</v>
      </c>
      <c r="C178" s="28"/>
      <c r="D178" s="28"/>
      <c r="E178" s="29" t="n">
        <f aca="false">'Task Breakdown'!I643</f>
        <v>73</v>
      </c>
      <c r="F178" s="29" t="n">
        <f aca="false">'Task Breakdown'!J643</f>
        <v>0</v>
      </c>
      <c r="G178" s="29" t="n">
        <f aca="false">'Task Breakdown'!K643</f>
        <v>0</v>
      </c>
      <c r="H178" s="29" t="n">
        <f aca="false">'Task Breakdown'!L643</f>
        <v>0</v>
      </c>
      <c r="I178" s="29" t="n">
        <f aca="false">'Task Breakdown'!M643</f>
        <v>0</v>
      </c>
      <c r="J178" s="29" t="n">
        <f aca="false">'Task Breakdown'!N643</f>
        <v>0</v>
      </c>
      <c r="K178" s="29" t="n">
        <f aca="false">'Task Breakdown'!O643</f>
        <v>0</v>
      </c>
      <c r="L178" s="29" t="n">
        <f aca="false">'Task Breakdown'!P643</f>
        <v>0</v>
      </c>
      <c r="M178" s="29" t="n">
        <f aca="false">'Task Breakdown'!Q643</f>
        <v>0</v>
      </c>
      <c r="N178" s="29" t="n">
        <f aca="false">'Task Breakdown'!R643</f>
        <v>0</v>
      </c>
      <c r="O178" s="29" t="n">
        <f aca="false">'Task Breakdown'!S643</f>
        <v>0</v>
      </c>
      <c r="P178" s="29" t="n">
        <f aca="false">'Task Breakdown'!T643</f>
        <v>0</v>
      </c>
      <c r="Q178" s="30" t="n">
        <f aca="false">SUM(E178:P178)</f>
        <v>73</v>
      </c>
      <c r="R178" s="31" t="n">
        <f aca="false">IF($Q$183&gt;0,Q178/$Q$183,0)</f>
        <v>0.0220344099003924</v>
      </c>
    </row>
    <row r="179" customFormat="false" ht="15" hidden="false" customHeight="false" outlineLevel="0" collapsed="false">
      <c r="A179" s="26" t="str">
        <f aca="false">'Task Breakdown'!A644</f>
        <v>PM-1.01.04</v>
      </c>
      <c r="B179" s="27" t="str">
        <f aca="false">'Task Breakdown'!G644</f>
        <v>Architecture design authority reviews</v>
      </c>
      <c r="C179" s="28"/>
      <c r="D179" s="28"/>
      <c r="E179" s="29" t="n">
        <f aca="false">'Task Breakdown'!I644</f>
        <v>0</v>
      </c>
      <c r="F179" s="29" t="n">
        <f aca="false">'Task Breakdown'!J644</f>
        <v>24</v>
      </c>
      <c r="G179" s="29" t="n">
        <f aca="false">'Task Breakdown'!K644</f>
        <v>0</v>
      </c>
      <c r="H179" s="29" t="n">
        <f aca="false">'Task Breakdown'!L644</f>
        <v>0</v>
      </c>
      <c r="I179" s="29" t="n">
        <f aca="false">'Task Breakdown'!M644</f>
        <v>24</v>
      </c>
      <c r="J179" s="29" t="n">
        <f aca="false">'Task Breakdown'!N644</f>
        <v>0</v>
      </c>
      <c r="K179" s="29" t="n">
        <f aca="false">'Task Breakdown'!O644</f>
        <v>0</v>
      </c>
      <c r="L179" s="29" t="n">
        <f aca="false">'Task Breakdown'!P644</f>
        <v>0</v>
      </c>
      <c r="M179" s="29" t="n">
        <f aca="false">'Task Breakdown'!Q644</f>
        <v>0</v>
      </c>
      <c r="N179" s="29" t="n">
        <f aca="false">'Task Breakdown'!R644</f>
        <v>0</v>
      </c>
      <c r="O179" s="29" t="n">
        <f aca="false">'Task Breakdown'!S644</f>
        <v>0</v>
      </c>
      <c r="P179" s="29" t="n">
        <f aca="false">'Task Breakdown'!T644</f>
        <v>0</v>
      </c>
      <c r="Q179" s="30" t="n">
        <f aca="false">SUM(E179:P179)</f>
        <v>48</v>
      </c>
      <c r="R179" s="31" t="n">
        <f aca="false">IF($Q$183&gt;0,Q179/$Q$183,0)</f>
        <v>0.0144883791125868</v>
      </c>
    </row>
    <row r="180" customFormat="false" ht="15" hidden="false" customHeight="false" outlineLevel="0" collapsed="false">
      <c r="A180" s="26" t="str">
        <f aca="false">'Task Breakdown'!A645</f>
        <v>PM-1.01.05</v>
      </c>
      <c r="B180" s="27" t="str">
        <f aca="false">'Task Breakdown'!G645</f>
        <v>Resource and vendor coordination</v>
      </c>
      <c r="C180" s="28"/>
      <c r="D180" s="28"/>
      <c r="E180" s="29" t="n">
        <f aca="false">'Task Breakdown'!I645</f>
        <v>98</v>
      </c>
      <c r="F180" s="29" t="n">
        <f aca="false">'Task Breakdown'!J645</f>
        <v>0</v>
      </c>
      <c r="G180" s="29" t="n">
        <f aca="false">'Task Breakdown'!K645</f>
        <v>0</v>
      </c>
      <c r="H180" s="29" t="n">
        <f aca="false">'Task Breakdown'!L645</f>
        <v>0</v>
      </c>
      <c r="I180" s="29" t="n">
        <f aca="false">'Task Breakdown'!M645</f>
        <v>0</v>
      </c>
      <c r="J180" s="29" t="n">
        <f aca="false">'Task Breakdown'!N645</f>
        <v>0</v>
      </c>
      <c r="K180" s="29" t="n">
        <f aca="false">'Task Breakdown'!O645</f>
        <v>0</v>
      </c>
      <c r="L180" s="29" t="n">
        <f aca="false">'Task Breakdown'!P645</f>
        <v>0</v>
      </c>
      <c r="M180" s="29" t="n">
        <f aca="false">'Task Breakdown'!Q645</f>
        <v>0</v>
      </c>
      <c r="N180" s="29" t="n">
        <f aca="false">'Task Breakdown'!R645</f>
        <v>0</v>
      </c>
      <c r="O180" s="29" t="n">
        <f aca="false">'Task Breakdown'!S645</f>
        <v>0</v>
      </c>
      <c r="P180" s="29" t="n">
        <f aca="false">'Task Breakdown'!T645</f>
        <v>0</v>
      </c>
      <c r="Q180" s="30" t="n">
        <f aca="false">SUM(E180:P180)</f>
        <v>98</v>
      </c>
      <c r="R180" s="31" t="n">
        <f aca="false">IF($Q$183&gt;0,Q180/$Q$183,0)</f>
        <v>0.029580440688198</v>
      </c>
    </row>
    <row r="181" customFormat="false" ht="15" hidden="false" customHeight="false" outlineLevel="0" collapsed="false">
      <c r="A181" s="9"/>
      <c r="B181" s="10" t="s">
        <v>164</v>
      </c>
      <c r="C181" s="9"/>
      <c r="D181" s="9"/>
      <c r="E181" s="32" t="n">
        <f aca="false">E175</f>
        <v>366</v>
      </c>
      <c r="F181" s="32" t="n">
        <f aca="false">F175</f>
        <v>24</v>
      </c>
      <c r="G181" s="32" t="n">
        <f aca="false">G175</f>
        <v>0</v>
      </c>
      <c r="H181" s="32" t="n">
        <f aca="false">H175</f>
        <v>0</v>
      </c>
      <c r="I181" s="32" t="n">
        <f aca="false">I175</f>
        <v>24</v>
      </c>
      <c r="J181" s="32" t="n">
        <f aca="false">J175</f>
        <v>0</v>
      </c>
      <c r="K181" s="32" t="n">
        <f aca="false">K175</f>
        <v>0</v>
      </c>
      <c r="L181" s="32" t="n">
        <f aca="false">L175</f>
        <v>0</v>
      </c>
      <c r="M181" s="32" t="n">
        <f aca="false">M175</f>
        <v>0</v>
      </c>
      <c r="N181" s="32" t="n">
        <f aca="false">N175</f>
        <v>0</v>
      </c>
      <c r="O181" s="32" t="n">
        <f aca="false">O175</f>
        <v>0</v>
      </c>
      <c r="P181" s="32" t="n">
        <f aca="false">P175</f>
        <v>0</v>
      </c>
      <c r="Q181" s="32" t="n">
        <f aca="false">Q175</f>
        <v>414</v>
      </c>
      <c r="R181" s="33" t="n">
        <f aca="false">IF($Q$183&gt;0,Q181/$Q$183,0)</f>
        <v>0.124962269846061</v>
      </c>
    </row>
    <row r="183" customFormat="false" ht="15" hidden="false" customHeight="false" outlineLevel="0" collapsed="false">
      <c r="A183" s="34"/>
      <c r="B183" s="35" t="s">
        <v>165</v>
      </c>
      <c r="C183" s="34"/>
      <c r="D183" s="34"/>
      <c r="E183" s="36" t="n">
        <f aca="false">E79+E132+E172+E181</f>
        <v>454</v>
      </c>
      <c r="F183" s="36" t="n">
        <f aca="false">F79+F132+F172+F181</f>
        <v>306</v>
      </c>
      <c r="G183" s="36" t="n">
        <f aca="false">G79+G132+G172+G181</f>
        <v>917</v>
      </c>
      <c r="H183" s="36" t="n">
        <f aca="false">H79+H132+H172+H181</f>
        <v>414</v>
      </c>
      <c r="I183" s="36" t="n">
        <f aca="false">I79+I132+I172+I181</f>
        <v>131</v>
      </c>
      <c r="J183" s="36" t="n">
        <f aca="false">J79+J132+J172+J181</f>
        <v>0</v>
      </c>
      <c r="K183" s="36" t="n">
        <f aca="false">K79+K132+K172+K181</f>
        <v>162</v>
      </c>
      <c r="L183" s="36" t="n">
        <f aca="false">L79+L132+L172+L181</f>
        <v>346</v>
      </c>
      <c r="M183" s="36" t="n">
        <f aca="false">M79+M132+M172+M181</f>
        <v>0</v>
      </c>
      <c r="N183" s="36" t="n">
        <f aca="false">N79+N132+N172+N181</f>
        <v>491</v>
      </c>
      <c r="O183" s="36" t="n">
        <f aca="false">O79+O132+O172+O181</f>
        <v>76</v>
      </c>
      <c r="P183" s="36" t="n">
        <f aca="false">P79+P132+P172+P181</f>
        <v>16</v>
      </c>
      <c r="Q183" s="36" t="n">
        <f aca="false">Q79+Q132+Q172+Q181</f>
        <v>3313</v>
      </c>
      <c r="R183" s="37" t="n">
        <f aca="false">IF($Q$183&gt;0,Q183/$Q$183,0)</f>
        <v>1</v>
      </c>
    </row>
    <row r="185" customFormat="false" ht="15" hidden="false" customHeight="false" outlineLevel="0" collapsed="false">
      <c r="B185" s="38" t="s">
        <v>166</v>
      </c>
      <c r="Q185" s="39" t="n">
        <f aca="false">IF(Resources!$B$3&gt;0,Q183/Resources!$B$3,0)</f>
        <v>82.825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16" min="5" style="0" width="7"/>
    <col collapsed="false" customWidth="true" hidden="false" outlineLevel="0" max="17" min="17" style="0" width="11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11</v>
      </c>
      <c r="F4" s="4" t="s">
        <v>13</v>
      </c>
      <c r="G4" s="4" t="s">
        <v>15</v>
      </c>
      <c r="H4" s="4" t="s">
        <v>17</v>
      </c>
      <c r="I4" s="4" t="s">
        <v>19</v>
      </c>
      <c r="J4" s="4" t="s">
        <v>21</v>
      </c>
      <c r="K4" s="4" t="s">
        <v>23</v>
      </c>
      <c r="L4" s="4" t="s">
        <v>25</v>
      </c>
      <c r="M4" s="4" t="s">
        <v>27</v>
      </c>
      <c r="N4" s="4" t="s">
        <v>29</v>
      </c>
      <c r="O4" s="4" t="s">
        <v>31</v>
      </c>
      <c r="P4" s="4" t="s">
        <v>33</v>
      </c>
      <c r="Q4" s="4" t="s">
        <v>9</v>
      </c>
      <c r="R4" s="4" t="s">
        <v>96</v>
      </c>
    </row>
    <row r="5" customFormat="false" ht="15" hidden="false" customHeight="false" outlineLevel="0" collapsed="false">
      <c r="A5" s="21" t="s">
        <v>168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customFormat="false" ht="23.85" hidden="false" customHeight="false" outlineLevel="0" collapsed="false">
      <c r="A6" s="23" t="s">
        <v>169</v>
      </c>
      <c r="B6" s="23" t="s">
        <v>170</v>
      </c>
      <c r="C6" s="23" t="s">
        <v>43</v>
      </c>
      <c r="D6" s="23" t="s">
        <v>171</v>
      </c>
      <c r="E6" s="24" t="n">
        <f aca="false">SUM(E7:E16)</f>
        <v>0</v>
      </c>
      <c r="F6" s="24" t="n">
        <f aca="false">SUM(F7:F16)</f>
        <v>0</v>
      </c>
      <c r="G6" s="24" t="n">
        <f aca="false">SUM(G7:G16)</f>
        <v>37</v>
      </c>
      <c r="H6" s="24" t="n">
        <f aca="false">SUM(H7:H16)</f>
        <v>16</v>
      </c>
      <c r="I6" s="24" t="n">
        <f aca="false">SUM(I7:I16)</f>
        <v>40</v>
      </c>
      <c r="J6" s="24" t="n">
        <f aca="false">SUM(J7:J16)</f>
        <v>64</v>
      </c>
      <c r="K6" s="24" t="n">
        <f aca="false">SUM(K7:K16)</f>
        <v>0</v>
      </c>
      <c r="L6" s="24" t="n">
        <f aca="false">SUM(L7:L16)</f>
        <v>0</v>
      </c>
      <c r="M6" s="24" t="n">
        <f aca="false">SUM(M7:M16)</f>
        <v>0</v>
      </c>
      <c r="N6" s="24" t="n">
        <f aca="false">SUM(N7:N16)</f>
        <v>0</v>
      </c>
      <c r="O6" s="24" t="n">
        <f aca="false">SUM(O7:O16)</f>
        <v>0</v>
      </c>
      <c r="P6" s="24" t="n">
        <f aca="false">SUM(P7:P16)</f>
        <v>0</v>
      </c>
      <c r="Q6" s="24" t="n">
        <f aca="false">SUM(Q7:Q16)</f>
        <v>157</v>
      </c>
      <c r="R6" s="25" t="n">
        <f aca="false">IF($Q$216&gt;0,Q6/$Q$216,0)</f>
        <v>0.0242846094354215</v>
      </c>
    </row>
    <row r="7" customFormat="false" ht="15" hidden="false" customHeight="false" outlineLevel="0" collapsed="false">
      <c r="A7" s="26" t="str">
        <f aca="false">'Task Breakdown'!A71</f>
        <v>PS-2.01.01</v>
      </c>
      <c r="B7" s="27" t="str">
        <f aca="false">'Task Breakdown'!G71</f>
        <v>Design Foundry hub and project structure per domain and environment</v>
      </c>
      <c r="C7" s="28"/>
      <c r="D7" s="28"/>
      <c r="E7" s="29" t="n">
        <f aca="false">'Task Breakdown'!I71</f>
        <v>0</v>
      </c>
      <c r="F7" s="29" t="n">
        <f aca="false">'Task Breakdown'!J71</f>
        <v>0</v>
      </c>
      <c r="G7" s="29" t="n">
        <f aca="false">'Task Breakdown'!K71</f>
        <v>0</v>
      </c>
      <c r="H7" s="29" t="n">
        <f aca="false">'Task Breakdown'!L71</f>
        <v>0</v>
      </c>
      <c r="I7" s="29" t="n">
        <f aca="false">'Task Breakdown'!M71</f>
        <v>16</v>
      </c>
      <c r="J7" s="29" t="n">
        <f aca="false">'Task Breakdown'!N71</f>
        <v>0</v>
      </c>
      <c r="K7" s="29" t="n">
        <f aca="false">'Task Breakdown'!O71</f>
        <v>0</v>
      </c>
      <c r="L7" s="29" t="n">
        <f aca="false">'Task Breakdown'!P71</f>
        <v>0</v>
      </c>
      <c r="M7" s="29" t="n">
        <f aca="false">'Task Breakdown'!Q71</f>
        <v>0</v>
      </c>
      <c r="N7" s="29" t="n">
        <f aca="false">'Task Breakdown'!R71</f>
        <v>0</v>
      </c>
      <c r="O7" s="29" t="n">
        <f aca="false">'Task Breakdown'!S71</f>
        <v>0</v>
      </c>
      <c r="P7" s="29" t="n">
        <f aca="false">'Task Breakdown'!T71</f>
        <v>0</v>
      </c>
      <c r="Q7" s="30" t="n">
        <f aca="false">SUM(E7:P7)</f>
        <v>16</v>
      </c>
      <c r="R7" s="31" t="n">
        <f aca="false">IF($Q$216&gt;0,Q7/$Q$216,0)</f>
        <v>0.00247486465583913</v>
      </c>
    </row>
    <row r="8" customFormat="false" ht="15" hidden="false" customHeight="false" outlineLevel="0" collapsed="false">
      <c r="A8" s="26" t="str">
        <f aca="false">'Task Breakdown'!A72</f>
        <v>PS-2.01.02</v>
      </c>
      <c r="B8" s="27" t="str">
        <f aca="false">'Task Breakdown'!G72</f>
        <v>Deploy Foundry hub with managed VNet and private endpoints</v>
      </c>
      <c r="C8" s="28"/>
      <c r="D8" s="28"/>
      <c r="E8" s="29" t="n">
        <f aca="false">'Task Breakdown'!I72</f>
        <v>0</v>
      </c>
      <c r="F8" s="29" t="n">
        <f aca="false">'Task Breakdown'!J72</f>
        <v>0</v>
      </c>
      <c r="G8" s="29" t="n">
        <f aca="false">'Task Breakdown'!K72</f>
        <v>20</v>
      </c>
      <c r="H8" s="29" t="n">
        <f aca="false">'Task Breakdown'!L72</f>
        <v>8</v>
      </c>
      <c r="I8" s="29" t="n">
        <f aca="false">'Task Breakdown'!M72</f>
        <v>0</v>
      </c>
      <c r="J8" s="29" t="n">
        <f aca="false">'Task Breakdown'!N72</f>
        <v>0</v>
      </c>
      <c r="K8" s="29" t="n">
        <f aca="false">'Task Breakdown'!O72</f>
        <v>0</v>
      </c>
      <c r="L8" s="29" t="n">
        <f aca="false">'Task Breakdown'!P72</f>
        <v>0</v>
      </c>
      <c r="M8" s="29" t="n">
        <f aca="false">'Task Breakdown'!Q72</f>
        <v>0</v>
      </c>
      <c r="N8" s="29" t="n">
        <f aca="false">'Task Breakdown'!R72</f>
        <v>0</v>
      </c>
      <c r="O8" s="29" t="n">
        <f aca="false">'Task Breakdown'!S72</f>
        <v>0</v>
      </c>
      <c r="P8" s="29" t="n">
        <f aca="false">'Task Breakdown'!T72</f>
        <v>0</v>
      </c>
      <c r="Q8" s="30" t="n">
        <f aca="false">SUM(E8:P8)</f>
        <v>28</v>
      </c>
      <c r="R8" s="31" t="n">
        <f aca="false">IF($Q$216&gt;0,Q8/$Q$216,0)</f>
        <v>0.00433101314771848</v>
      </c>
    </row>
    <row r="9" customFormat="false" ht="15" hidden="false" customHeight="false" outlineLevel="0" collapsed="false">
      <c r="A9" s="26" t="str">
        <f aca="false">'Task Breakdown'!A73</f>
        <v>PS-2.01.03</v>
      </c>
      <c r="B9" s="27" t="str">
        <f aca="false">'Task Breakdown'!G73</f>
        <v>Create projects and connect AI Search, Storage, Key Vault, App Insights</v>
      </c>
      <c r="C9" s="28"/>
      <c r="D9" s="28"/>
      <c r="E9" s="29" t="n">
        <f aca="false">'Task Breakdown'!I73</f>
        <v>0</v>
      </c>
      <c r="F9" s="29" t="n">
        <f aca="false">'Task Breakdown'!J73</f>
        <v>0</v>
      </c>
      <c r="G9" s="29" t="n">
        <f aca="false">'Task Breakdown'!K73</f>
        <v>12</v>
      </c>
      <c r="H9" s="29" t="n">
        <f aca="false">'Task Breakdown'!L73</f>
        <v>0</v>
      </c>
      <c r="I9" s="29" t="n">
        <f aca="false">'Task Breakdown'!M73</f>
        <v>0</v>
      </c>
      <c r="J9" s="29" t="n">
        <f aca="false">'Task Breakdown'!N73</f>
        <v>20</v>
      </c>
      <c r="K9" s="29" t="n">
        <f aca="false">'Task Breakdown'!O73</f>
        <v>0</v>
      </c>
      <c r="L9" s="29" t="n">
        <f aca="false">'Task Breakdown'!P73</f>
        <v>0</v>
      </c>
      <c r="M9" s="29" t="n">
        <f aca="false">'Task Breakdown'!Q73</f>
        <v>0</v>
      </c>
      <c r="N9" s="29" t="n">
        <f aca="false">'Task Breakdown'!R73</f>
        <v>0</v>
      </c>
      <c r="O9" s="29" t="n">
        <f aca="false">'Task Breakdown'!S73</f>
        <v>0</v>
      </c>
      <c r="P9" s="29" t="n">
        <f aca="false">'Task Breakdown'!T73</f>
        <v>0</v>
      </c>
      <c r="Q9" s="30" t="n">
        <f aca="false">SUM(E9:P9)</f>
        <v>32</v>
      </c>
      <c r="R9" s="31" t="n">
        <f aca="false">IF($Q$216&gt;0,Q9/$Q$216,0)</f>
        <v>0.00494972931167827</v>
      </c>
    </row>
    <row r="10" customFormat="false" ht="15" hidden="false" customHeight="false" outlineLevel="0" collapsed="false">
      <c r="A10" s="26" t="str">
        <f aca="false">'Task Breakdown'!A74</f>
        <v>PS-2.01.04</v>
      </c>
      <c r="B10" s="27" t="str">
        <f aca="false">'Task Breakdown'!G74</f>
        <v>Deploy base chat and embedding models with capacity / PTU plan</v>
      </c>
      <c r="C10" s="28"/>
      <c r="D10" s="28"/>
      <c r="E10" s="29" t="n">
        <f aca="false">'Task Breakdown'!I74</f>
        <v>0</v>
      </c>
      <c r="F10" s="29" t="n">
        <f aca="false">'Task Breakdown'!J74</f>
        <v>0</v>
      </c>
      <c r="G10" s="29" t="n">
        <f aca="false">'Task Breakdown'!K74</f>
        <v>0</v>
      </c>
      <c r="H10" s="29" t="n">
        <f aca="false">'Task Breakdown'!L74</f>
        <v>0</v>
      </c>
      <c r="I10" s="29" t="n">
        <f aca="false">'Task Breakdown'!M74</f>
        <v>8</v>
      </c>
      <c r="J10" s="29" t="n">
        <f aca="false">'Task Breakdown'!N74</f>
        <v>16</v>
      </c>
      <c r="K10" s="29" t="n">
        <f aca="false">'Task Breakdown'!O74</f>
        <v>0</v>
      </c>
      <c r="L10" s="29" t="n">
        <f aca="false">'Task Breakdown'!P74</f>
        <v>0</v>
      </c>
      <c r="M10" s="29" t="n">
        <f aca="false">'Task Breakdown'!Q74</f>
        <v>0</v>
      </c>
      <c r="N10" s="29" t="n">
        <f aca="false">'Task Breakdown'!R74</f>
        <v>0</v>
      </c>
      <c r="O10" s="29" t="n">
        <f aca="false">'Task Breakdown'!S74</f>
        <v>0</v>
      </c>
      <c r="P10" s="29" t="n">
        <f aca="false">'Task Breakdown'!T74</f>
        <v>0</v>
      </c>
      <c r="Q10" s="30" t="n">
        <f aca="false">SUM(E10:P10)</f>
        <v>24</v>
      </c>
      <c r="R10" s="31" t="n">
        <f aca="false">IF($Q$216&gt;0,Q10/$Q$216,0)</f>
        <v>0.0037122969837587</v>
      </c>
    </row>
    <row r="11" customFormat="false" ht="15" hidden="false" customHeight="false" outlineLevel="0" collapsed="false">
      <c r="A11" s="26" t="str">
        <f aca="false">'Task Breakdown'!A75</f>
        <v>PS-2.01.05</v>
      </c>
      <c r="B11" s="27" t="str">
        <f aca="false">'Task Breakdown'!G75</f>
        <v>Set up project RBAC and developer access</v>
      </c>
      <c r="C11" s="28"/>
      <c r="D11" s="28"/>
      <c r="E11" s="29" t="n">
        <f aca="false">'Task Breakdown'!I75</f>
        <v>0</v>
      </c>
      <c r="F11" s="29" t="n">
        <f aca="false">'Task Breakdown'!J75</f>
        <v>0</v>
      </c>
      <c r="G11" s="29" t="n">
        <f aca="false">'Task Breakdown'!K75</f>
        <v>0</v>
      </c>
      <c r="H11" s="29" t="n">
        <f aca="false">'Task Breakdown'!L75</f>
        <v>8</v>
      </c>
      <c r="I11" s="29" t="n">
        <f aca="false">'Task Breakdown'!M75</f>
        <v>4</v>
      </c>
      <c r="J11" s="29" t="n">
        <f aca="false">'Task Breakdown'!N75</f>
        <v>0</v>
      </c>
      <c r="K11" s="29" t="n">
        <f aca="false">'Task Breakdown'!O75</f>
        <v>0</v>
      </c>
      <c r="L11" s="29" t="n">
        <f aca="false">'Task Breakdown'!P75</f>
        <v>0</v>
      </c>
      <c r="M11" s="29" t="n">
        <f aca="false">'Task Breakdown'!Q75</f>
        <v>0</v>
      </c>
      <c r="N11" s="29" t="n">
        <f aca="false">'Task Breakdown'!R75</f>
        <v>0</v>
      </c>
      <c r="O11" s="29" t="n">
        <f aca="false">'Task Breakdown'!S75</f>
        <v>0</v>
      </c>
      <c r="P11" s="29" t="n">
        <f aca="false">'Task Breakdown'!T75</f>
        <v>0</v>
      </c>
      <c r="Q11" s="30" t="n">
        <f aca="false">SUM(E11:P11)</f>
        <v>12</v>
      </c>
      <c r="R11" s="31" t="n">
        <f aca="false">IF($Q$216&gt;0,Q11/$Q$216,0)</f>
        <v>0.00185614849187935</v>
      </c>
    </row>
    <row r="12" customFormat="false" ht="15" hidden="false" customHeight="false" outlineLevel="0" collapsed="false">
      <c r="A12" s="26" t="str">
        <f aca="false">'Task Breakdown'!A76</f>
        <v>PS-2.01.06</v>
      </c>
      <c r="B12" s="27" t="str">
        <f aca="false">'Task Breakdown'!G76</f>
        <v>Smoke-test model endpoints from the SDK</v>
      </c>
      <c r="C12" s="28"/>
      <c r="D12" s="28"/>
      <c r="E12" s="29" t="n">
        <f aca="false">'Task Breakdown'!I76</f>
        <v>0</v>
      </c>
      <c r="F12" s="29" t="n">
        <f aca="false">'Task Breakdown'!J76</f>
        <v>0</v>
      </c>
      <c r="G12" s="29" t="n">
        <f aca="false">'Task Breakdown'!K76</f>
        <v>0</v>
      </c>
      <c r="H12" s="29" t="n">
        <f aca="false">'Task Breakdown'!L76</f>
        <v>0</v>
      </c>
      <c r="I12" s="29" t="n">
        <f aca="false">'Task Breakdown'!M76</f>
        <v>4</v>
      </c>
      <c r="J12" s="29" t="n">
        <f aca="false">'Task Breakdown'!N76</f>
        <v>12</v>
      </c>
      <c r="K12" s="29" t="n">
        <f aca="false">'Task Breakdown'!O76</f>
        <v>0</v>
      </c>
      <c r="L12" s="29" t="n">
        <f aca="false">'Task Breakdown'!P76</f>
        <v>0</v>
      </c>
      <c r="M12" s="29" t="n">
        <f aca="false">'Task Breakdown'!Q76</f>
        <v>0</v>
      </c>
      <c r="N12" s="29" t="n">
        <f aca="false">'Task Breakdown'!R76</f>
        <v>0</v>
      </c>
      <c r="O12" s="29" t="n">
        <f aca="false">'Task Breakdown'!S76</f>
        <v>0</v>
      </c>
      <c r="P12" s="29" t="n">
        <f aca="false">'Task Breakdown'!T76</f>
        <v>0</v>
      </c>
      <c r="Q12" s="30" t="n">
        <f aca="false">SUM(E12:P12)</f>
        <v>16</v>
      </c>
      <c r="R12" s="31" t="n">
        <f aca="false">IF($Q$216&gt;0,Q12/$Q$216,0)</f>
        <v>0.00247486465583913</v>
      </c>
    </row>
    <row r="13" customFormat="false" ht="15" hidden="false" customHeight="false" outlineLevel="0" collapsed="false">
      <c r="A13" s="26" t="str">
        <f aca="false">'Task Breakdown'!A77</f>
        <v>PS-2.01.07</v>
      </c>
      <c r="B13" s="27" t="str">
        <f aca="false">'Task Breakdown'!G77</f>
        <v>Detailed design and design review</v>
      </c>
      <c r="C13" s="28"/>
      <c r="D13" s="28"/>
      <c r="E13" s="29" t="n">
        <f aca="false">'Task Breakdown'!I77</f>
        <v>0</v>
      </c>
      <c r="F13" s="29" t="n">
        <f aca="false">'Task Breakdown'!J77</f>
        <v>0</v>
      </c>
      <c r="G13" s="29" t="n">
        <f aca="false">'Task Breakdown'!K77</f>
        <v>0</v>
      </c>
      <c r="H13" s="29" t="n">
        <f aca="false">'Task Breakdown'!L77</f>
        <v>0</v>
      </c>
      <c r="I13" s="29" t="n">
        <f aca="false">'Task Breakdown'!M77</f>
        <v>8</v>
      </c>
      <c r="J13" s="29" t="n">
        <f aca="false">'Task Breakdown'!N77</f>
        <v>0</v>
      </c>
      <c r="K13" s="29" t="n">
        <f aca="false">'Task Breakdown'!O77</f>
        <v>0</v>
      </c>
      <c r="L13" s="29" t="n">
        <f aca="false">'Task Breakdown'!P77</f>
        <v>0</v>
      </c>
      <c r="M13" s="29" t="n">
        <f aca="false">'Task Breakdown'!Q77</f>
        <v>0</v>
      </c>
      <c r="N13" s="29" t="n">
        <f aca="false">'Task Breakdown'!R77</f>
        <v>0</v>
      </c>
      <c r="O13" s="29" t="n">
        <f aca="false">'Task Breakdown'!S77</f>
        <v>0</v>
      </c>
      <c r="P13" s="29" t="n">
        <f aca="false">'Task Breakdown'!T77</f>
        <v>0</v>
      </c>
      <c r="Q13" s="30" t="n">
        <f aca="false">SUM(E13:P13)</f>
        <v>8</v>
      </c>
      <c r="R13" s="31" t="n">
        <f aca="false">IF($Q$216&gt;0,Q13/$Q$216,0)</f>
        <v>0.00123743232791957</v>
      </c>
    </row>
    <row r="14" customFormat="false" ht="15" hidden="false" customHeight="false" outlineLevel="0" collapsed="false">
      <c r="A14" s="26" t="str">
        <f aca="false">'Task Breakdown'!A78</f>
        <v>PS-2.01.08</v>
      </c>
      <c r="B14" s="27" t="str">
        <f aca="false">'Task Breakdown'!G78</f>
        <v>Promote through dev / test / prod and release</v>
      </c>
      <c r="C14" s="28"/>
      <c r="D14" s="28"/>
      <c r="E14" s="29" t="n">
        <f aca="false">'Task Breakdown'!I78</f>
        <v>0</v>
      </c>
      <c r="F14" s="29" t="n">
        <f aca="false">'Task Breakdown'!J78</f>
        <v>0</v>
      </c>
      <c r="G14" s="29" t="n">
        <f aca="false">'Task Breakdown'!K78</f>
        <v>5</v>
      </c>
      <c r="H14" s="29" t="n">
        <f aca="false">'Task Breakdown'!L78</f>
        <v>0</v>
      </c>
      <c r="I14" s="29" t="n">
        <f aca="false">'Task Breakdown'!M78</f>
        <v>0</v>
      </c>
      <c r="J14" s="29" t="n">
        <f aca="false">'Task Breakdown'!N78</f>
        <v>0</v>
      </c>
      <c r="K14" s="29" t="n">
        <f aca="false">'Task Breakdown'!O78</f>
        <v>0</v>
      </c>
      <c r="L14" s="29" t="n">
        <f aca="false">'Task Breakdown'!P78</f>
        <v>0</v>
      </c>
      <c r="M14" s="29" t="n">
        <f aca="false">'Task Breakdown'!Q78</f>
        <v>0</v>
      </c>
      <c r="N14" s="29" t="n">
        <f aca="false">'Task Breakdown'!R78</f>
        <v>0</v>
      </c>
      <c r="O14" s="29" t="n">
        <f aca="false">'Task Breakdown'!S78</f>
        <v>0</v>
      </c>
      <c r="P14" s="29" t="n">
        <f aca="false">'Task Breakdown'!T78</f>
        <v>0</v>
      </c>
      <c r="Q14" s="30" t="n">
        <f aca="false">SUM(E14:P14)</f>
        <v>5</v>
      </c>
      <c r="R14" s="31" t="n">
        <f aca="false">IF($Q$216&gt;0,Q14/$Q$216,0)</f>
        <v>0.000773395204949729</v>
      </c>
    </row>
    <row r="15" customFormat="false" ht="15" hidden="false" customHeight="false" outlineLevel="0" collapsed="false">
      <c r="A15" s="26" t="str">
        <f aca="false">'Task Breakdown'!A79</f>
        <v>PS-2.01.09</v>
      </c>
      <c r="B15" s="27" t="str">
        <f aca="false">'Task Breakdown'!G79</f>
        <v>Documentation, runbook and knowledge transfer</v>
      </c>
      <c r="C15" s="28"/>
      <c r="D15" s="28"/>
      <c r="E15" s="29" t="n">
        <f aca="false">'Task Breakdown'!I79</f>
        <v>0</v>
      </c>
      <c r="F15" s="29" t="n">
        <f aca="false">'Task Breakdown'!J79</f>
        <v>0</v>
      </c>
      <c r="G15" s="29" t="n">
        <f aca="false">'Task Breakdown'!K79</f>
        <v>0</v>
      </c>
      <c r="H15" s="29" t="n">
        <f aca="false">'Task Breakdown'!L79</f>
        <v>0</v>
      </c>
      <c r="I15" s="29" t="n">
        <f aca="false">'Task Breakdown'!M79</f>
        <v>0</v>
      </c>
      <c r="J15" s="29" t="n">
        <f aca="false">'Task Breakdown'!N79</f>
        <v>5</v>
      </c>
      <c r="K15" s="29" t="n">
        <f aca="false">'Task Breakdown'!O79</f>
        <v>0</v>
      </c>
      <c r="L15" s="29" t="n">
        <f aca="false">'Task Breakdown'!P79</f>
        <v>0</v>
      </c>
      <c r="M15" s="29" t="n">
        <f aca="false">'Task Breakdown'!Q79</f>
        <v>0</v>
      </c>
      <c r="N15" s="29" t="n">
        <f aca="false">'Task Breakdown'!R79</f>
        <v>0</v>
      </c>
      <c r="O15" s="29" t="n">
        <f aca="false">'Task Breakdown'!S79</f>
        <v>0</v>
      </c>
      <c r="P15" s="29" t="n">
        <f aca="false">'Task Breakdown'!T79</f>
        <v>0</v>
      </c>
      <c r="Q15" s="30" t="n">
        <f aca="false">SUM(E15:P15)</f>
        <v>5</v>
      </c>
      <c r="R15" s="31" t="n">
        <f aca="false">IF($Q$216&gt;0,Q15/$Q$216,0)</f>
        <v>0.000773395204949729</v>
      </c>
    </row>
    <row r="16" customFormat="false" ht="15" hidden="false" customHeight="false" outlineLevel="0" collapsed="false">
      <c r="A16" s="26" t="str">
        <f aca="false">'Task Breakdown'!A80</f>
        <v>PS-2.01.10</v>
      </c>
      <c r="B16" s="27" t="str">
        <f aca="false">'Task Breakdown'!G80</f>
        <v>Defect fixing and rework after testing</v>
      </c>
      <c r="C16" s="28"/>
      <c r="D16" s="28"/>
      <c r="E16" s="29" t="n">
        <f aca="false">'Task Breakdown'!I80</f>
        <v>0</v>
      </c>
      <c r="F16" s="29" t="n">
        <f aca="false">'Task Breakdown'!J80</f>
        <v>0</v>
      </c>
      <c r="G16" s="29" t="n">
        <f aca="false">'Task Breakdown'!K80</f>
        <v>0</v>
      </c>
      <c r="H16" s="29" t="n">
        <f aca="false">'Task Breakdown'!L80</f>
        <v>0</v>
      </c>
      <c r="I16" s="29" t="n">
        <f aca="false">'Task Breakdown'!M80</f>
        <v>0</v>
      </c>
      <c r="J16" s="29" t="n">
        <f aca="false">'Task Breakdown'!N80</f>
        <v>11</v>
      </c>
      <c r="K16" s="29" t="n">
        <f aca="false">'Task Breakdown'!O80</f>
        <v>0</v>
      </c>
      <c r="L16" s="29" t="n">
        <f aca="false">'Task Breakdown'!P80</f>
        <v>0</v>
      </c>
      <c r="M16" s="29" t="n">
        <f aca="false">'Task Breakdown'!Q80</f>
        <v>0</v>
      </c>
      <c r="N16" s="29" t="n">
        <f aca="false">'Task Breakdown'!R80</f>
        <v>0</v>
      </c>
      <c r="O16" s="29" t="n">
        <f aca="false">'Task Breakdown'!S80</f>
        <v>0</v>
      </c>
      <c r="P16" s="29" t="n">
        <f aca="false">'Task Breakdown'!T80</f>
        <v>0</v>
      </c>
      <c r="Q16" s="30" t="n">
        <f aca="false">SUM(E16:P16)</f>
        <v>11</v>
      </c>
      <c r="R16" s="31" t="n">
        <f aca="false">IF($Q$216&gt;0,Q16/$Q$216,0)</f>
        <v>0.0017014694508894</v>
      </c>
    </row>
    <row r="17" customFormat="false" ht="23.85" hidden="false" customHeight="false" outlineLevel="0" collapsed="false">
      <c r="A17" s="23" t="s">
        <v>172</v>
      </c>
      <c r="B17" s="23" t="s">
        <v>173</v>
      </c>
      <c r="C17" s="23" t="s">
        <v>43</v>
      </c>
      <c r="D17" s="23" t="s">
        <v>174</v>
      </c>
      <c r="E17" s="24" t="n">
        <f aca="false">SUM(E18:E29)</f>
        <v>0</v>
      </c>
      <c r="F17" s="24" t="n">
        <f aca="false">SUM(F18:F29)</f>
        <v>0</v>
      </c>
      <c r="G17" s="24" t="n">
        <f aca="false">SUM(G18:G29)</f>
        <v>86</v>
      </c>
      <c r="H17" s="24" t="n">
        <f aca="false">SUM(H18:H29)</f>
        <v>24</v>
      </c>
      <c r="I17" s="24" t="n">
        <f aca="false">SUM(I18:I29)</f>
        <v>68</v>
      </c>
      <c r="J17" s="24" t="n">
        <f aca="false">SUM(J18:J29)</f>
        <v>160</v>
      </c>
      <c r="K17" s="24" t="n">
        <f aca="false">SUM(K18:K29)</f>
        <v>0</v>
      </c>
      <c r="L17" s="24" t="n">
        <f aca="false">SUM(L18:L29)</f>
        <v>0</v>
      </c>
      <c r="M17" s="24" t="n">
        <f aca="false">SUM(M18:M29)</f>
        <v>0</v>
      </c>
      <c r="N17" s="24" t="n">
        <f aca="false">SUM(N18:N29)</f>
        <v>0</v>
      </c>
      <c r="O17" s="24" t="n">
        <f aca="false">SUM(O18:O29)</f>
        <v>49</v>
      </c>
      <c r="P17" s="24" t="n">
        <f aca="false">SUM(P18:P29)</f>
        <v>0</v>
      </c>
      <c r="Q17" s="24" t="n">
        <f aca="false">SUM(Q18:Q29)</f>
        <v>387</v>
      </c>
      <c r="R17" s="25" t="n">
        <f aca="false">IF($Q$216&gt;0,Q17/$Q$216,0)</f>
        <v>0.0598607888631091</v>
      </c>
    </row>
    <row r="18" customFormat="false" ht="15" hidden="false" customHeight="false" outlineLevel="0" collapsed="false">
      <c r="A18" s="26" t="str">
        <f aca="false">'Task Breakdown'!A81</f>
        <v>PS-2.02.01</v>
      </c>
      <c r="B18" s="27" t="str">
        <f aca="false">'Task Breakdown'!G81</f>
        <v>Define model routing policy (task type, cost, latency, fallback)</v>
      </c>
      <c r="C18" s="28"/>
      <c r="D18" s="28"/>
      <c r="E18" s="29" t="n">
        <f aca="false">'Task Breakdown'!I81</f>
        <v>0</v>
      </c>
      <c r="F18" s="29" t="n">
        <f aca="false">'Task Breakdown'!J81</f>
        <v>0</v>
      </c>
      <c r="G18" s="29" t="n">
        <f aca="false">'Task Breakdown'!K81</f>
        <v>0</v>
      </c>
      <c r="H18" s="29" t="n">
        <f aca="false">'Task Breakdown'!L81</f>
        <v>0</v>
      </c>
      <c r="I18" s="29" t="n">
        <f aca="false">'Task Breakdown'!M81</f>
        <v>31</v>
      </c>
      <c r="J18" s="29" t="n">
        <f aca="false">'Task Breakdown'!N81</f>
        <v>0</v>
      </c>
      <c r="K18" s="29" t="n">
        <f aca="false">'Task Breakdown'!O81</f>
        <v>0</v>
      </c>
      <c r="L18" s="29" t="n">
        <f aca="false">'Task Breakdown'!P81</f>
        <v>0</v>
      </c>
      <c r="M18" s="29" t="n">
        <f aca="false">'Task Breakdown'!Q81</f>
        <v>0</v>
      </c>
      <c r="N18" s="29" t="n">
        <f aca="false">'Task Breakdown'!R81</f>
        <v>0</v>
      </c>
      <c r="O18" s="29" t="n">
        <f aca="false">'Task Breakdown'!S81</f>
        <v>0</v>
      </c>
      <c r="P18" s="29" t="n">
        <f aca="false">'Task Breakdown'!T81</f>
        <v>0</v>
      </c>
      <c r="Q18" s="30" t="n">
        <f aca="false">SUM(E18:P18)</f>
        <v>31</v>
      </c>
      <c r="R18" s="31" t="n">
        <f aca="false">IF($Q$216&gt;0,Q18/$Q$216,0)</f>
        <v>0.00479505027068832</v>
      </c>
    </row>
    <row r="19" customFormat="false" ht="23.85" hidden="false" customHeight="false" outlineLevel="0" collapsed="false">
      <c r="A19" s="26" t="str">
        <f aca="false">'Task Breakdown'!A82</f>
        <v>PS-2.02.02</v>
      </c>
      <c r="B19" s="27" t="str">
        <f aca="false">'Task Breakdown'!G82</f>
        <v>Configure APIM AI gateway backends: Azure OpenAI, Anthropic, Gemini, self-hosted</v>
      </c>
      <c r="C19" s="28"/>
      <c r="D19" s="28"/>
      <c r="E19" s="29" t="n">
        <f aca="false">'Task Breakdown'!I82</f>
        <v>0</v>
      </c>
      <c r="F19" s="29" t="n">
        <f aca="false">'Task Breakdown'!J82</f>
        <v>0</v>
      </c>
      <c r="G19" s="29" t="n">
        <f aca="false">'Task Breakdown'!K82</f>
        <v>43</v>
      </c>
      <c r="H19" s="29" t="n">
        <f aca="false">'Task Breakdown'!L82</f>
        <v>0</v>
      </c>
      <c r="I19" s="29" t="n">
        <f aca="false">'Task Breakdown'!M82</f>
        <v>0</v>
      </c>
      <c r="J19" s="29" t="n">
        <f aca="false">'Task Breakdown'!N82</f>
        <v>18</v>
      </c>
      <c r="K19" s="29" t="n">
        <f aca="false">'Task Breakdown'!O82</f>
        <v>0</v>
      </c>
      <c r="L19" s="29" t="n">
        <f aca="false">'Task Breakdown'!P82</f>
        <v>0</v>
      </c>
      <c r="M19" s="29" t="n">
        <f aca="false">'Task Breakdown'!Q82</f>
        <v>0</v>
      </c>
      <c r="N19" s="29" t="n">
        <f aca="false">'Task Breakdown'!R82</f>
        <v>0</v>
      </c>
      <c r="O19" s="29" t="n">
        <f aca="false">'Task Breakdown'!S82</f>
        <v>0</v>
      </c>
      <c r="P19" s="29" t="n">
        <f aca="false">'Task Breakdown'!T82</f>
        <v>0</v>
      </c>
      <c r="Q19" s="30" t="n">
        <f aca="false">SUM(E19:P19)</f>
        <v>61</v>
      </c>
      <c r="R19" s="31" t="n">
        <f aca="false">IF($Q$216&gt;0,Q19/$Q$216,0)</f>
        <v>0.0094354215003867</v>
      </c>
    </row>
    <row r="20" customFormat="false" ht="15" hidden="false" customHeight="false" outlineLevel="0" collapsed="false">
      <c r="A20" s="26" t="str">
        <f aca="false">'Task Breakdown'!A83</f>
        <v>PS-2.02.03</v>
      </c>
      <c r="B20" s="27" t="str">
        <f aca="false">'Task Breakdown'!G83</f>
        <v>Implement token-based rate limits and quotas per team and agent</v>
      </c>
      <c r="C20" s="28"/>
      <c r="D20" s="28"/>
      <c r="E20" s="29" t="n">
        <f aca="false">'Task Breakdown'!I83</f>
        <v>0</v>
      </c>
      <c r="F20" s="29" t="n">
        <f aca="false">'Task Breakdown'!J83</f>
        <v>0</v>
      </c>
      <c r="G20" s="29" t="n">
        <f aca="false">'Task Breakdown'!K83</f>
        <v>18</v>
      </c>
      <c r="H20" s="29" t="n">
        <f aca="false">'Task Breakdown'!L83</f>
        <v>0</v>
      </c>
      <c r="I20" s="29" t="n">
        <f aca="false">'Task Breakdown'!M83</f>
        <v>0</v>
      </c>
      <c r="J20" s="29" t="n">
        <f aca="false">'Task Breakdown'!N83</f>
        <v>18</v>
      </c>
      <c r="K20" s="29" t="n">
        <f aca="false">'Task Breakdown'!O83</f>
        <v>0</v>
      </c>
      <c r="L20" s="29" t="n">
        <f aca="false">'Task Breakdown'!P83</f>
        <v>0</v>
      </c>
      <c r="M20" s="29" t="n">
        <f aca="false">'Task Breakdown'!Q83</f>
        <v>0</v>
      </c>
      <c r="N20" s="29" t="n">
        <f aca="false">'Task Breakdown'!R83</f>
        <v>0</v>
      </c>
      <c r="O20" s="29" t="n">
        <f aca="false">'Task Breakdown'!S83</f>
        <v>0</v>
      </c>
      <c r="P20" s="29" t="n">
        <f aca="false">'Task Breakdown'!T83</f>
        <v>0</v>
      </c>
      <c r="Q20" s="30" t="n">
        <f aca="false">SUM(E20:P20)</f>
        <v>36</v>
      </c>
      <c r="R20" s="31" t="n">
        <f aca="false">IF($Q$216&gt;0,Q20/$Q$216,0)</f>
        <v>0.00556844547563805</v>
      </c>
    </row>
    <row r="21" customFormat="false" ht="15" hidden="false" customHeight="false" outlineLevel="0" collapsed="false">
      <c r="A21" s="26" t="str">
        <f aca="false">'Task Breakdown'!A84</f>
        <v>PS-2.02.04</v>
      </c>
      <c r="B21" s="27" t="str">
        <f aca="false">'Task Breakdown'!G84</f>
        <v>Implement retry and fallback across regions and models</v>
      </c>
      <c r="C21" s="28"/>
      <c r="D21" s="28"/>
      <c r="E21" s="29" t="n">
        <f aca="false">'Task Breakdown'!I84</f>
        <v>0</v>
      </c>
      <c r="F21" s="29" t="n">
        <f aca="false">'Task Breakdown'!J84</f>
        <v>0</v>
      </c>
      <c r="G21" s="29" t="n">
        <f aca="false">'Task Breakdown'!K84</f>
        <v>0</v>
      </c>
      <c r="H21" s="29" t="n">
        <f aca="false">'Task Breakdown'!L84</f>
        <v>0</v>
      </c>
      <c r="I21" s="29" t="n">
        <f aca="false">'Task Breakdown'!M84</f>
        <v>6</v>
      </c>
      <c r="J21" s="29" t="n">
        <f aca="false">'Task Breakdown'!N84</f>
        <v>37</v>
      </c>
      <c r="K21" s="29" t="n">
        <f aca="false">'Task Breakdown'!O84</f>
        <v>0</v>
      </c>
      <c r="L21" s="29" t="n">
        <f aca="false">'Task Breakdown'!P84</f>
        <v>0</v>
      </c>
      <c r="M21" s="29" t="n">
        <f aca="false">'Task Breakdown'!Q84</f>
        <v>0</v>
      </c>
      <c r="N21" s="29" t="n">
        <f aca="false">'Task Breakdown'!R84</f>
        <v>0</v>
      </c>
      <c r="O21" s="29" t="n">
        <f aca="false">'Task Breakdown'!S84</f>
        <v>0</v>
      </c>
      <c r="P21" s="29" t="n">
        <f aca="false">'Task Breakdown'!T84</f>
        <v>0</v>
      </c>
      <c r="Q21" s="30" t="n">
        <f aca="false">SUM(E21:P21)</f>
        <v>43</v>
      </c>
      <c r="R21" s="31" t="n">
        <f aca="false">IF($Q$216&gt;0,Q21/$Q$216,0)</f>
        <v>0.00665119876256767</v>
      </c>
    </row>
    <row r="22" customFormat="false" ht="15" hidden="false" customHeight="false" outlineLevel="0" collapsed="false">
      <c r="A22" s="26" t="str">
        <f aca="false">'Task Breakdown'!A85</f>
        <v>PS-2.02.05</v>
      </c>
      <c r="B22" s="27" t="str">
        <f aca="false">'Task Breakdown'!G85</f>
        <v>Deploy self-hosted model (vLLM on AKS) behind the gateway</v>
      </c>
      <c r="C22" s="28"/>
      <c r="D22" s="28"/>
      <c r="E22" s="29" t="n">
        <f aca="false">'Task Breakdown'!I85</f>
        <v>0</v>
      </c>
      <c r="F22" s="29" t="n">
        <f aca="false">'Task Breakdown'!J85</f>
        <v>0</v>
      </c>
      <c r="G22" s="29" t="n">
        <f aca="false">'Task Breakdown'!K85</f>
        <v>12</v>
      </c>
      <c r="H22" s="29" t="n">
        <f aca="false">'Task Breakdown'!L85</f>
        <v>0</v>
      </c>
      <c r="I22" s="29" t="n">
        <f aca="false">'Task Breakdown'!M85</f>
        <v>0</v>
      </c>
      <c r="J22" s="29" t="n">
        <f aca="false">'Task Breakdown'!N85</f>
        <v>37</v>
      </c>
      <c r="K22" s="29" t="n">
        <f aca="false">'Task Breakdown'!O85</f>
        <v>0</v>
      </c>
      <c r="L22" s="29" t="n">
        <f aca="false">'Task Breakdown'!P85</f>
        <v>0</v>
      </c>
      <c r="M22" s="29" t="n">
        <f aca="false">'Task Breakdown'!Q85</f>
        <v>0</v>
      </c>
      <c r="N22" s="29" t="n">
        <f aca="false">'Task Breakdown'!R85</f>
        <v>0</v>
      </c>
      <c r="O22" s="29" t="n">
        <f aca="false">'Task Breakdown'!S85</f>
        <v>0</v>
      </c>
      <c r="P22" s="29" t="n">
        <f aca="false">'Task Breakdown'!T85</f>
        <v>0</v>
      </c>
      <c r="Q22" s="30" t="n">
        <f aca="false">SUM(E22:P22)</f>
        <v>49</v>
      </c>
      <c r="R22" s="31" t="n">
        <f aca="false">IF($Q$216&gt;0,Q22/$Q$216,0)</f>
        <v>0.00757927300850735</v>
      </c>
    </row>
    <row r="23" customFormat="false" ht="15" hidden="false" customHeight="false" outlineLevel="0" collapsed="false">
      <c r="A23" s="26" t="str">
        <f aca="false">'Task Breakdown'!A86</f>
        <v>PS-2.02.06</v>
      </c>
      <c r="B23" s="27" t="str">
        <f aca="false">'Task Breakdown'!G86</f>
        <v>Emit token metrics and log prompts / responses securely</v>
      </c>
      <c r="C23" s="28"/>
      <c r="D23" s="28"/>
      <c r="E23" s="29" t="n">
        <f aca="false">'Task Breakdown'!I86</f>
        <v>0</v>
      </c>
      <c r="F23" s="29" t="n">
        <f aca="false">'Task Breakdown'!J86</f>
        <v>0</v>
      </c>
      <c r="G23" s="29" t="n">
        <f aca="false">'Task Breakdown'!K86</f>
        <v>0</v>
      </c>
      <c r="H23" s="29" t="n">
        <f aca="false">'Task Breakdown'!L86</f>
        <v>12</v>
      </c>
      <c r="I23" s="29" t="n">
        <f aca="false">'Task Breakdown'!M86</f>
        <v>0</v>
      </c>
      <c r="J23" s="29" t="n">
        <f aca="false">'Task Breakdown'!N86</f>
        <v>12</v>
      </c>
      <c r="K23" s="29" t="n">
        <f aca="false">'Task Breakdown'!O86</f>
        <v>0</v>
      </c>
      <c r="L23" s="29" t="n">
        <f aca="false">'Task Breakdown'!P86</f>
        <v>0</v>
      </c>
      <c r="M23" s="29" t="n">
        <f aca="false">'Task Breakdown'!Q86</f>
        <v>0</v>
      </c>
      <c r="N23" s="29" t="n">
        <f aca="false">'Task Breakdown'!R86</f>
        <v>0</v>
      </c>
      <c r="O23" s="29" t="n">
        <f aca="false">'Task Breakdown'!S86</f>
        <v>0</v>
      </c>
      <c r="P23" s="29" t="n">
        <f aca="false">'Task Breakdown'!T86</f>
        <v>0</v>
      </c>
      <c r="Q23" s="30" t="n">
        <f aca="false">SUM(E23:P23)</f>
        <v>24</v>
      </c>
      <c r="R23" s="31" t="n">
        <f aca="false">IF($Q$216&gt;0,Q23/$Q$216,0)</f>
        <v>0.0037122969837587</v>
      </c>
    </row>
    <row r="24" customFormat="false" ht="15" hidden="false" customHeight="false" outlineLevel="0" collapsed="false">
      <c r="A24" s="26" t="str">
        <f aca="false">'Task Breakdown'!A87</f>
        <v>PS-2.02.07</v>
      </c>
      <c r="B24" s="27" t="str">
        <f aca="false">'Task Breakdown'!G87</f>
        <v>Use managed identity for model access (no keys in apps)</v>
      </c>
      <c r="C24" s="28"/>
      <c r="D24" s="28"/>
      <c r="E24" s="29" t="n">
        <f aca="false">'Task Breakdown'!I87</f>
        <v>0</v>
      </c>
      <c r="F24" s="29" t="n">
        <f aca="false">'Task Breakdown'!J87</f>
        <v>0</v>
      </c>
      <c r="G24" s="29" t="n">
        <f aca="false">'Task Breakdown'!K87</f>
        <v>0</v>
      </c>
      <c r="H24" s="29" t="n">
        <f aca="false">'Task Breakdown'!L87</f>
        <v>12</v>
      </c>
      <c r="I24" s="29" t="n">
        <f aca="false">'Task Breakdown'!M87</f>
        <v>12</v>
      </c>
      <c r="J24" s="29" t="n">
        <f aca="false">'Task Breakdown'!N87</f>
        <v>0</v>
      </c>
      <c r="K24" s="29" t="n">
        <f aca="false">'Task Breakdown'!O87</f>
        <v>0</v>
      </c>
      <c r="L24" s="29" t="n">
        <f aca="false">'Task Breakdown'!P87</f>
        <v>0</v>
      </c>
      <c r="M24" s="29" t="n">
        <f aca="false">'Task Breakdown'!Q87</f>
        <v>0</v>
      </c>
      <c r="N24" s="29" t="n">
        <f aca="false">'Task Breakdown'!R87</f>
        <v>0</v>
      </c>
      <c r="O24" s="29" t="n">
        <f aca="false">'Task Breakdown'!S87</f>
        <v>0</v>
      </c>
      <c r="P24" s="29" t="n">
        <f aca="false">'Task Breakdown'!T87</f>
        <v>0</v>
      </c>
      <c r="Q24" s="30" t="n">
        <f aca="false">SUM(E24:P24)</f>
        <v>24</v>
      </c>
      <c r="R24" s="31" t="n">
        <f aca="false">IF($Q$216&gt;0,Q24/$Q$216,0)</f>
        <v>0.0037122969837587</v>
      </c>
    </row>
    <row r="25" customFormat="false" ht="15" hidden="false" customHeight="false" outlineLevel="0" collapsed="false">
      <c r="A25" s="26" t="str">
        <f aca="false">'Task Breakdown'!A88</f>
        <v>PS-2.02.08</v>
      </c>
      <c r="B25" s="27" t="str">
        <f aca="false">'Task Breakdown'!G88</f>
        <v>Load and failover testing</v>
      </c>
      <c r="C25" s="28"/>
      <c r="D25" s="28"/>
      <c r="E25" s="29" t="n">
        <f aca="false">'Task Breakdown'!I88</f>
        <v>0</v>
      </c>
      <c r="F25" s="29" t="n">
        <f aca="false">'Task Breakdown'!J88</f>
        <v>0</v>
      </c>
      <c r="G25" s="29" t="n">
        <f aca="false">'Task Breakdown'!K88</f>
        <v>0</v>
      </c>
      <c r="H25" s="29" t="n">
        <f aca="false">'Task Breakdown'!L88</f>
        <v>0</v>
      </c>
      <c r="I25" s="29" t="n">
        <f aca="false">'Task Breakdown'!M88</f>
        <v>0</v>
      </c>
      <c r="J25" s="29" t="n">
        <f aca="false">'Task Breakdown'!N88</f>
        <v>0</v>
      </c>
      <c r="K25" s="29" t="n">
        <f aca="false">'Task Breakdown'!O88</f>
        <v>0</v>
      </c>
      <c r="L25" s="29" t="n">
        <f aca="false">'Task Breakdown'!P88</f>
        <v>0</v>
      </c>
      <c r="M25" s="29" t="n">
        <f aca="false">'Task Breakdown'!Q88</f>
        <v>0</v>
      </c>
      <c r="N25" s="29" t="n">
        <f aca="false">'Task Breakdown'!R88</f>
        <v>0</v>
      </c>
      <c r="O25" s="29" t="n">
        <f aca="false">'Task Breakdown'!S88</f>
        <v>49</v>
      </c>
      <c r="P25" s="29" t="n">
        <f aca="false">'Task Breakdown'!T88</f>
        <v>0</v>
      </c>
      <c r="Q25" s="30" t="n">
        <f aca="false">SUM(E25:P25)</f>
        <v>49</v>
      </c>
      <c r="R25" s="31" t="n">
        <f aca="false">IF($Q$216&gt;0,Q25/$Q$216,0)</f>
        <v>0.00757927300850735</v>
      </c>
    </row>
    <row r="26" customFormat="false" ht="15" hidden="false" customHeight="false" outlineLevel="0" collapsed="false">
      <c r="A26" s="26" t="str">
        <f aca="false">'Task Breakdown'!A89</f>
        <v>PS-2.02.09</v>
      </c>
      <c r="B26" s="27" t="str">
        <f aca="false">'Task Breakdown'!G89</f>
        <v>Detailed design and design review</v>
      </c>
      <c r="C26" s="28"/>
      <c r="D26" s="28"/>
      <c r="E26" s="29" t="n">
        <f aca="false">'Task Breakdown'!I89</f>
        <v>0</v>
      </c>
      <c r="F26" s="29" t="n">
        <f aca="false">'Task Breakdown'!J89</f>
        <v>0</v>
      </c>
      <c r="G26" s="29" t="n">
        <f aca="false">'Task Breakdown'!K89</f>
        <v>0</v>
      </c>
      <c r="H26" s="29" t="n">
        <f aca="false">'Task Breakdown'!L89</f>
        <v>0</v>
      </c>
      <c r="I26" s="29" t="n">
        <f aca="false">'Task Breakdown'!M89</f>
        <v>19</v>
      </c>
      <c r="J26" s="29" t="n">
        <f aca="false">'Task Breakdown'!N89</f>
        <v>0</v>
      </c>
      <c r="K26" s="29" t="n">
        <f aca="false">'Task Breakdown'!O89</f>
        <v>0</v>
      </c>
      <c r="L26" s="29" t="n">
        <f aca="false">'Task Breakdown'!P89</f>
        <v>0</v>
      </c>
      <c r="M26" s="29" t="n">
        <f aca="false">'Task Breakdown'!Q89</f>
        <v>0</v>
      </c>
      <c r="N26" s="29" t="n">
        <f aca="false">'Task Breakdown'!R89</f>
        <v>0</v>
      </c>
      <c r="O26" s="29" t="n">
        <f aca="false">'Task Breakdown'!S89</f>
        <v>0</v>
      </c>
      <c r="P26" s="29" t="n">
        <f aca="false">'Task Breakdown'!T89</f>
        <v>0</v>
      </c>
      <c r="Q26" s="30" t="n">
        <f aca="false">SUM(E26:P26)</f>
        <v>19</v>
      </c>
      <c r="R26" s="31" t="n">
        <f aca="false">IF($Q$216&gt;0,Q26/$Q$216,0)</f>
        <v>0.00293890177880897</v>
      </c>
    </row>
    <row r="27" customFormat="false" ht="15" hidden="false" customHeight="false" outlineLevel="0" collapsed="false">
      <c r="A27" s="26" t="str">
        <f aca="false">'Task Breakdown'!A90</f>
        <v>PS-2.02.10</v>
      </c>
      <c r="B27" s="27" t="str">
        <f aca="false">'Task Breakdown'!G90</f>
        <v>Promote through dev / test / prod and release</v>
      </c>
      <c r="C27" s="28"/>
      <c r="D27" s="28"/>
      <c r="E27" s="29" t="n">
        <f aca="false">'Task Breakdown'!I90</f>
        <v>0</v>
      </c>
      <c r="F27" s="29" t="n">
        <f aca="false">'Task Breakdown'!J90</f>
        <v>0</v>
      </c>
      <c r="G27" s="29" t="n">
        <f aca="false">'Task Breakdown'!K90</f>
        <v>13</v>
      </c>
      <c r="H27" s="29" t="n">
        <f aca="false">'Task Breakdown'!L90</f>
        <v>0</v>
      </c>
      <c r="I27" s="29" t="n">
        <f aca="false">'Task Breakdown'!M90</f>
        <v>0</v>
      </c>
      <c r="J27" s="29" t="n">
        <f aca="false">'Task Breakdown'!N90</f>
        <v>0</v>
      </c>
      <c r="K27" s="29" t="n">
        <f aca="false">'Task Breakdown'!O90</f>
        <v>0</v>
      </c>
      <c r="L27" s="29" t="n">
        <f aca="false">'Task Breakdown'!P90</f>
        <v>0</v>
      </c>
      <c r="M27" s="29" t="n">
        <f aca="false">'Task Breakdown'!Q90</f>
        <v>0</v>
      </c>
      <c r="N27" s="29" t="n">
        <f aca="false">'Task Breakdown'!R90</f>
        <v>0</v>
      </c>
      <c r="O27" s="29" t="n">
        <f aca="false">'Task Breakdown'!S90</f>
        <v>0</v>
      </c>
      <c r="P27" s="29" t="n">
        <f aca="false">'Task Breakdown'!T90</f>
        <v>0</v>
      </c>
      <c r="Q27" s="30" t="n">
        <f aca="false">SUM(E27:P27)</f>
        <v>13</v>
      </c>
      <c r="R27" s="31" t="n">
        <f aca="false">IF($Q$216&gt;0,Q27/$Q$216,0)</f>
        <v>0.0020108275328693</v>
      </c>
    </row>
    <row r="28" customFormat="false" ht="15" hidden="false" customHeight="false" outlineLevel="0" collapsed="false">
      <c r="A28" s="26" t="str">
        <f aca="false">'Task Breakdown'!A91</f>
        <v>PS-2.02.11</v>
      </c>
      <c r="B28" s="27" t="str">
        <f aca="false">'Task Breakdown'!G91</f>
        <v>Documentation, runbook and knowledge transfer</v>
      </c>
      <c r="C28" s="28"/>
      <c r="D28" s="28"/>
      <c r="E28" s="29" t="n">
        <f aca="false">'Task Breakdown'!I91</f>
        <v>0</v>
      </c>
      <c r="F28" s="29" t="n">
        <f aca="false">'Task Breakdown'!J91</f>
        <v>0</v>
      </c>
      <c r="G28" s="29" t="n">
        <f aca="false">'Task Breakdown'!K91</f>
        <v>0</v>
      </c>
      <c r="H28" s="29" t="n">
        <f aca="false">'Task Breakdown'!L91</f>
        <v>0</v>
      </c>
      <c r="I28" s="29" t="n">
        <f aca="false">'Task Breakdown'!M91</f>
        <v>0</v>
      </c>
      <c r="J28" s="29" t="n">
        <f aca="false">'Task Breakdown'!N91</f>
        <v>13</v>
      </c>
      <c r="K28" s="29" t="n">
        <f aca="false">'Task Breakdown'!O91</f>
        <v>0</v>
      </c>
      <c r="L28" s="29" t="n">
        <f aca="false">'Task Breakdown'!P91</f>
        <v>0</v>
      </c>
      <c r="M28" s="29" t="n">
        <f aca="false">'Task Breakdown'!Q91</f>
        <v>0</v>
      </c>
      <c r="N28" s="29" t="n">
        <f aca="false">'Task Breakdown'!R91</f>
        <v>0</v>
      </c>
      <c r="O28" s="29" t="n">
        <f aca="false">'Task Breakdown'!S91</f>
        <v>0</v>
      </c>
      <c r="P28" s="29" t="n">
        <f aca="false">'Task Breakdown'!T91</f>
        <v>0</v>
      </c>
      <c r="Q28" s="30" t="n">
        <f aca="false">SUM(E28:P28)</f>
        <v>13</v>
      </c>
      <c r="R28" s="31" t="n">
        <f aca="false">IF($Q$216&gt;0,Q28/$Q$216,0)</f>
        <v>0.0020108275328693</v>
      </c>
    </row>
    <row r="29" customFormat="false" ht="15" hidden="false" customHeight="false" outlineLevel="0" collapsed="false">
      <c r="A29" s="26" t="str">
        <f aca="false">'Task Breakdown'!A92</f>
        <v>PS-2.02.12</v>
      </c>
      <c r="B29" s="27" t="str">
        <f aca="false">'Task Breakdown'!G92</f>
        <v>Defect fixing and rework after testing</v>
      </c>
      <c r="C29" s="28"/>
      <c r="D29" s="28"/>
      <c r="E29" s="29" t="n">
        <f aca="false">'Task Breakdown'!I92</f>
        <v>0</v>
      </c>
      <c r="F29" s="29" t="n">
        <f aca="false">'Task Breakdown'!J92</f>
        <v>0</v>
      </c>
      <c r="G29" s="29" t="n">
        <f aca="false">'Task Breakdown'!K92</f>
        <v>0</v>
      </c>
      <c r="H29" s="29" t="n">
        <f aca="false">'Task Breakdown'!L92</f>
        <v>0</v>
      </c>
      <c r="I29" s="29" t="n">
        <f aca="false">'Task Breakdown'!M92</f>
        <v>0</v>
      </c>
      <c r="J29" s="29" t="n">
        <f aca="false">'Task Breakdown'!N92</f>
        <v>25</v>
      </c>
      <c r="K29" s="29" t="n">
        <f aca="false">'Task Breakdown'!O92</f>
        <v>0</v>
      </c>
      <c r="L29" s="29" t="n">
        <f aca="false">'Task Breakdown'!P92</f>
        <v>0</v>
      </c>
      <c r="M29" s="29" t="n">
        <f aca="false">'Task Breakdown'!Q92</f>
        <v>0</v>
      </c>
      <c r="N29" s="29" t="n">
        <f aca="false">'Task Breakdown'!R92</f>
        <v>0</v>
      </c>
      <c r="O29" s="29" t="n">
        <f aca="false">'Task Breakdown'!S92</f>
        <v>0</v>
      </c>
      <c r="P29" s="29" t="n">
        <f aca="false">'Task Breakdown'!T92</f>
        <v>0</v>
      </c>
      <c r="Q29" s="30" t="n">
        <f aca="false">SUM(E29:P29)</f>
        <v>25</v>
      </c>
      <c r="R29" s="31" t="n">
        <f aca="false">IF($Q$216&gt;0,Q29/$Q$216,0)</f>
        <v>0.00386697602474865</v>
      </c>
    </row>
    <row r="30" customFormat="false" ht="23.85" hidden="false" customHeight="false" outlineLevel="0" collapsed="false">
      <c r="A30" s="23" t="s">
        <v>175</v>
      </c>
      <c r="B30" s="23" t="s">
        <v>176</v>
      </c>
      <c r="C30" s="23" t="s">
        <v>43</v>
      </c>
      <c r="D30" s="23" t="s">
        <v>177</v>
      </c>
      <c r="E30" s="24" t="n">
        <f aca="false">SUM(E31:E42)</f>
        <v>0</v>
      </c>
      <c r="F30" s="24" t="n">
        <f aca="false">SUM(F31:F42)</f>
        <v>0</v>
      </c>
      <c r="G30" s="24" t="n">
        <f aca="false">SUM(G31:G42)</f>
        <v>22</v>
      </c>
      <c r="H30" s="24" t="n">
        <f aca="false">SUM(H31:H42)</f>
        <v>0</v>
      </c>
      <c r="I30" s="24" t="n">
        <f aca="false">SUM(I31:I42)</f>
        <v>130</v>
      </c>
      <c r="J30" s="24" t="n">
        <f aca="false">SUM(J31:J42)</f>
        <v>358</v>
      </c>
      <c r="K30" s="24" t="n">
        <f aca="false">SUM(K31:K42)</f>
        <v>0</v>
      </c>
      <c r="L30" s="24" t="n">
        <f aca="false">SUM(L31:L42)</f>
        <v>0</v>
      </c>
      <c r="M30" s="24" t="n">
        <f aca="false">SUM(M31:M42)</f>
        <v>74</v>
      </c>
      <c r="N30" s="24" t="n">
        <f aca="false">SUM(N31:N42)</f>
        <v>0</v>
      </c>
      <c r="O30" s="24" t="n">
        <f aca="false">SUM(O31:O42)</f>
        <v>73</v>
      </c>
      <c r="P30" s="24" t="n">
        <f aca="false">SUM(P31:P42)</f>
        <v>0</v>
      </c>
      <c r="Q30" s="24" t="n">
        <f aca="false">SUM(Q31:Q42)</f>
        <v>657</v>
      </c>
      <c r="R30" s="25" t="n">
        <f aca="false">IF($Q$216&gt;0,Q30/$Q$216,0)</f>
        <v>0.101624129930394</v>
      </c>
    </row>
    <row r="31" customFormat="false" ht="23.85" hidden="false" customHeight="false" outlineLevel="0" collapsed="false">
      <c r="A31" s="26" t="str">
        <f aca="false">'Task Breakdown'!A93</f>
        <v>PS-2.03.01</v>
      </c>
      <c r="B31" s="27" t="str">
        <f aca="false">'Task Breakdown'!G93</f>
        <v>Evaluate and select orchestration options (Foundry Agent Service, Semantic Kernel, LangGraph)</v>
      </c>
      <c r="C31" s="28"/>
      <c r="D31" s="28"/>
      <c r="E31" s="29" t="n">
        <f aca="false">'Task Breakdown'!I93</f>
        <v>0</v>
      </c>
      <c r="F31" s="29" t="n">
        <f aca="false">'Task Breakdown'!J93</f>
        <v>0</v>
      </c>
      <c r="G31" s="29" t="n">
        <f aca="false">'Task Breakdown'!K93</f>
        <v>0</v>
      </c>
      <c r="H31" s="29" t="n">
        <f aca="false">'Task Breakdown'!L93</f>
        <v>0</v>
      </c>
      <c r="I31" s="29" t="n">
        <f aca="false">'Task Breakdown'!M93</f>
        <v>37</v>
      </c>
      <c r="J31" s="29" t="n">
        <f aca="false">'Task Breakdown'!N93</f>
        <v>25</v>
      </c>
      <c r="K31" s="29" t="n">
        <f aca="false">'Task Breakdown'!O93</f>
        <v>0</v>
      </c>
      <c r="L31" s="29" t="n">
        <f aca="false">'Task Breakdown'!P93</f>
        <v>0</v>
      </c>
      <c r="M31" s="29" t="n">
        <f aca="false">'Task Breakdown'!Q93</f>
        <v>0</v>
      </c>
      <c r="N31" s="29" t="n">
        <f aca="false">'Task Breakdown'!R93</f>
        <v>0</v>
      </c>
      <c r="O31" s="29" t="n">
        <f aca="false">'Task Breakdown'!S93</f>
        <v>0</v>
      </c>
      <c r="P31" s="29" t="n">
        <f aca="false">'Task Breakdown'!T93</f>
        <v>0</v>
      </c>
      <c r="Q31" s="30" t="n">
        <f aca="false">SUM(E31:P31)</f>
        <v>62</v>
      </c>
      <c r="R31" s="31" t="n">
        <f aca="false">IF($Q$216&gt;0,Q31/$Q$216,0)</f>
        <v>0.00959010054137664</v>
      </c>
    </row>
    <row r="32" customFormat="false" ht="15" hidden="false" customHeight="false" outlineLevel="0" collapsed="false">
      <c r="A32" s="26" t="str">
        <f aca="false">'Task Breakdown'!A94</f>
        <v>PS-2.03.02</v>
      </c>
      <c r="B32" s="27" t="str">
        <f aca="false">'Task Breakdown'!G94</f>
        <v>Define agent design standards: tools, state, guardrails, handoff</v>
      </c>
      <c r="C32" s="28"/>
      <c r="D32" s="28"/>
      <c r="E32" s="29" t="n">
        <f aca="false">'Task Breakdown'!I94</f>
        <v>0</v>
      </c>
      <c r="F32" s="29" t="n">
        <f aca="false">'Task Breakdown'!J94</f>
        <v>0</v>
      </c>
      <c r="G32" s="29" t="n">
        <f aca="false">'Task Breakdown'!K94</f>
        <v>0</v>
      </c>
      <c r="H32" s="29" t="n">
        <f aca="false">'Task Breakdown'!L94</f>
        <v>0</v>
      </c>
      <c r="I32" s="29" t="n">
        <f aca="false">'Task Breakdown'!M94</f>
        <v>31</v>
      </c>
      <c r="J32" s="29" t="n">
        <f aca="false">'Task Breakdown'!N94</f>
        <v>0</v>
      </c>
      <c r="K32" s="29" t="n">
        <f aca="false">'Task Breakdown'!O94</f>
        <v>0</v>
      </c>
      <c r="L32" s="29" t="n">
        <f aca="false">'Task Breakdown'!P94</f>
        <v>0</v>
      </c>
      <c r="M32" s="29" t="n">
        <f aca="false">'Task Breakdown'!Q94</f>
        <v>0</v>
      </c>
      <c r="N32" s="29" t="n">
        <f aca="false">'Task Breakdown'!R94</f>
        <v>0</v>
      </c>
      <c r="O32" s="29" t="n">
        <f aca="false">'Task Breakdown'!S94</f>
        <v>0</v>
      </c>
      <c r="P32" s="29" t="n">
        <f aca="false">'Task Breakdown'!T94</f>
        <v>0</v>
      </c>
      <c r="Q32" s="30" t="n">
        <f aca="false">SUM(E32:P32)</f>
        <v>31</v>
      </c>
      <c r="R32" s="31" t="n">
        <f aca="false">IF($Q$216&gt;0,Q32/$Q$216,0)</f>
        <v>0.00479505027068832</v>
      </c>
    </row>
    <row r="33" customFormat="false" ht="15" hidden="false" customHeight="false" outlineLevel="0" collapsed="false">
      <c r="A33" s="26" t="str">
        <f aca="false">'Task Breakdown'!A95</f>
        <v>PS-2.03.03</v>
      </c>
      <c r="B33" s="27" t="str">
        <f aca="false">'Task Breakdown'!G95</f>
        <v>Build orchestration service skeleton (API, sessions, state store)</v>
      </c>
      <c r="C33" s="28"/>
      <c r="D33" s="28"/>
      <c r="E33" s="29" t="n">
        <f aca="false">'Task Breakdown'!I95</f>
        <v>0</v>
      </c>
      <c r="F33" s="29" t="n">
        <f aca="false">'Task Breakdown'!J95</f>
        <v>0</v>
      </c>
      <c r="G33" s="29" t="n">
        <f aca="false">'Task Breakdown'!K95</f>
        <v>0</v>
      </c>
      <c r="H33" s="29" t="n">
        <f aca="false">'Task Breakdown'!L95</f>
        <v>0</v>
      </c>
      <c r="I33" s="29" t="n">
        <f aca="false">'Task Breakdown'!M95</f>
        <v>0</v>
      </c>
      <c r="J33" s="29" t="n">
        <f aca="false">'Task Breakdown'!N95</f>
        <v>73</v>
      </c>
      <c r="K33" s="29" t="n">
        <f aca="false">'Task Breakdown'!O95</f>
        <v>0</v>
      </c>
      <c r="L33" s="29" t="n">
        <f aca="false">'Task Breakdown'!P95</f>
        <v>0</v>
      </c>
      <c r="M33" s="29" t="n">
        <f aca="false">'Task Breakdown'!Q95</f>
        <v>37</v>
      </c>
      <c r="N33" s="29" t="n">
        <f aca="false">'Task Breakdown'!R95</f>
        <v>0</v>
      </c>
      <c r="O33" s="29" t="n">
        <f aca="false">'Task Breakdown'!S95</f>
        <v>0</v>
      </c>
      <c r="P33" s="29" t="n">
        <f aca="false">'Task Breakdown'!T95</f>
        <v>0</v>
      </c>
      <c r="Q33" s="30" t="n">
        <f aca="false">SUM(E33:P33)</f>
        <v>110</v>
      </c>
      <c r="R33" s="31" t="n">
        <f aca="false">IF($Q$216&gt;0,Q33/$Q$216,0)</f>
        <v>0.017014694508894</v>
      </c>
    </row>
    <row r="34" customFormat="false" ht="15" hidden="false" customHeight="false" outlineLevel="0" collapsed="false">
      <c r="A34" s="26" t="str">
        <f aca="false">'Task Breakdown'!A96</f>
        <v>PS-2.03.04</v>
      </c>
      <c r="B34" s="27" t="str">
        <f aca="false">'Task Breakdown'!G96</f>
        <v>Implement tool calling and agent-to-agent handoff</v>
      </c>
      <c r="C34" s="28"/>
      <c r="D34" s="28"/>
      <c r="E34" s="29" t="n">
        <f aca="false">'Task Breakdown'!I96</f>
        <v>0</v>
      </c>
      <c r="F34" s="29" t="n">
        <f aca="false">'Task Breakdown'!J96</f>
        <v>0</v>
      </c>
      <c r="G34" s="29" t="n">
        <f aca="false">'Task Breakdown'!K96</f>
        <v>0</v>
      </c>
      <c r="H34" s="29" t="n">
        <f aca="false">'Task Breakdown'!L96</f>
        <v>0</v>
      </c>
      <c r="I34" s="29" t="n">
        <f aca="false">'Task Breakdown'!M96</f>
        <v>0</v>
      </c>
      <c r="J34" s="29" t="n">
        <f aca="false">'Task Breakdown'!N96</f>
        <v>73</v>
      </c>
      <c r="K34" s="29" t="n">
        <f aca="false">'Task Breakdown'!O96</f>
        <v>0</v>
      </c>
      <c r="L34" s="29" t="n">
        <f aca="false">'Task Breakdown'!P96</f>
        <v>0</v>
      </c>
      <c r="M34" s="29" t="n">
        <f aca="false">'Task Breakdown'!Q96</f>
        <v>0</v>
      </c>
      <c r="N34" s="29" t="n">
        <f aca="false">'Task Breakdown'!R96</f>
        <v>0</v>
      </c>
      <c r="O34" s="29" t="n">
        <f aca="false">'Task Breakdown'!S96</f>
        <v>0</v>
      </c>
      <c r="P34" s="29" t="n">
        <f aca="false">'Task Breakdown'!T96</f>
        <v>0</v>
      </c>
      <c r="Q34" s="30" t="n">
        <f aca="false">SUM(E34:P34)</f>
        <v>73</v>
      </c>
      <c r="R34" s="31" t="n">
        <f aca="false">IF($Q$216&gt;0,Q34/$Q$216,0)</f>
        <v>0.011291569992266</v>
      </c>
    </row>
    <row r="35" customFormat="false" ht="15" hidden="false" customHeight="false" outlineLevel="0" collapsed="false">
      <c r="A35" s="26" t="str">
        <f aca="false">'Task Breakdown'!A97</f>
        <v>PS-2.03.05</v>
      </c>
      <c r="B35" s="27" t="str">
        <f aca="false">'Task Breakdown'!G97</f>
        <v>Implement checkpoints, retries, timeouts and human-in-the-loop hooks</v>
      </c>
      <c r="C35" s="28"/>
      <c r="D35" s="28"/>
      <c r="E35" s="29" t="n">
        <f aca="false">'Task Breakdown'!I97</f>
        <v>0</v>
      </c>
      <c r="F35" s="29" t="n">
        <f aca="false">'Task Breakdown'!J97</f>
        <v>0</v>
      </c>
      <c r="G35" s="29" t="n">
        <f aca="false">'Task Breakdown'!K97</f>
        <v>0</v>
      </c>
      <c r="H35" s="29" t="n">
        <f aca="false">'Task Breakdown'!L97</f>
        <v>0</v>
      </c>
      <c r="I35" s="29" t="n">
        <f aca="false">'Task Breakdown'!M97</f>
        <v>0</v>
      </c>
      <c r="J35" s="29" t="n">
        <f aca="false">'Task Breakdown'!N97</f>
        <v>49</v>
      </c>
      <c r="K35" s="29" t="n">
        <f aca="false">'Task Breakdown'!O97</f>
        <v>0</v>
      </c>
      <c r="L35" s="29" t="n">
        <f aca="false">'Task Breakdown'!P97</f>
        <v>0</v>
      </c>
      <c r="M35" s="29" t="n">
        <f aca="false">'Task Breakdown'!Q97</f>
        <v>0</v>
      </c>
      <c r="N35" s="29" t="n">
        <f aca="false">'Task Breakdown'!R97</f>
        <v>0</v>
      </c>
      <c r="O35" s="29" t="n">
        <f aca="false">'Task Breakdown'!S97</f>
        <v>0</v>
      </c>
      <c r="P35" s="29" t="n">
        <f aca="false">'Task Breakdown'!T97</f>
        <v>0</v>
      </c>
      <c r="Q35" s="30" t="n">
        <f aca="false">SUM(E35:P35)</f>
        <v>49</v>
      </c>
      <c r="R35" s="31" t="n">
        <f aca="false">IF($Q$216&gt;0,Q35/$Q$216,0)</f>
        <v>0.00757927300850735</v>
      </c>
    </row>
    <row r="36" customFormat="false" ht="15" hidden="false" customHeight="false" outlineLevel="0" collapsed="false">
      <c r="A36" s="26" t="str">
        <f aca="false">'Task Breakdown'!A98</f>
        <v>PS-2.03.06</v>
      </c>
      <c r="B36" s="27" t="str">
        <f aca="false">'Task Breakdown'!G98</f>
        <v>Build a reference agent end to end</v>
      </c>
      <c r="C36" s="28"/>
      <c r="D36" s="28"/>
      <c r="E36" s="29" t="n">
        <f aca="false">'Task Breakdown'!I98</f>
        <v>0</v>
      </c>
      <c r="F36" s="29" t="n">
        <f aca="false">'Task Breakdown'!J98</f>
        <v>0</v>
      </c>
      <c r="G36" s="29" t="n">
        <f aca="false">'Task Breakdown'!K98</f>
        <v>0</v>
      </c>
      <c r="H36" s="29" t="n">
        <f aca="false">'Task Breakdown'!L98</f>
        <v>0</v>
      </c>
      <c r="I36" s="29" t="n">
        <f aca="false">'Task Breakdown'!M98</f>
        <v>18</v>
      </c>
      <c r="J36" s="29" t="n">
        <f aca="false">'Task Breakdown'!N98</f>
        <v>73</v>
      </c>
      <c r="K36" s="29" t="n">
        <f aca="false">'Task Breakdown'!O98</f>
        <v>0</v>
      </c>
      <c r="L36" s="29" t="n">
        <f aca="false">'Task Breakdown'!P98</f>
        <v>0</v>
      </c>
      <c r="M36" s="29" t="n">
        <f aca="false">'Task Breakdown'!Q98</f>
        <v>37</v>
      </c>
      <c r="N36" s="29" t="n">
        <f aca="false">'Task Breakdown'!R98</f>
        <v>0</v>
      </c>
      <c r="O36" s="29" t="n">
        <f aca="false">'Task Breakdown'!S98</f>
        <v>0</v>
      </c>
      <c r="P36" s="29" t="n">
        <f aca="false">'Task Breakdown'!T98</f>
        <v>0</v>
      </c>
      <c r="Q36" s="30" t="n">
        <f aca="false">SUM(E36:P36)</f>
        <v>128</v>
      </c>
      <c r="R36" s="31" t="n">
        <f aca="false">IF($Q$216&gt;0,Q36/$Q$216,0)</f>
        <v>0.0197989172467131</v>
      </c>
    </row>
    <row r="37" customFormat="false" ht="15" hidden="false" customHeight="false" outlineLevel="0" collapsed="false">
      <c r="A37" s="26" t="str">
        <f aca="false">'Task Breakdown'!A99</f>
        <v>PS-2.03.07</v>
      </c>
      <c r="B37" s="27" t="str">
        <f aca="false">'Task Breakdown'!G99</f>
        <v>Write developer guide and starter template</v>
      </c>
      <c r="C37" s="28"/>
      <c r="D37" s="28"/>
      <c r="E37" s="29" t="n">
        <f aca="false">'Task Breakdown'!I99</f>
        <v>0</v>
      </c>
      <c r="F37" s="29" t="n">
        <f aca="false">'Task Breakdown'!J99</f>
        <v>0</v>
      </c>
      <c r="G37" s="29" t="n">
        <f aca="false">'Task Breakdown'!K99</f>
        <v>0</v>
      </c>
      <c r="H37" s="29" t="n">
        <f aca="false">'Task Breakdown'!L99</f>
        <v>0</v>
      </c>
      <c r="I37" s="29" t="n">
        <f aca="false">'Task Breakdown'!M99</f>
        <v>12</v>
      </c>
      <c r="J37" s="29" t="n">
        <f aca="false">'Task Breakdown'!N99</f>
        <v>0</v>
      </c>
      <c r="K37" s="29" t="n">
        <f aca="false">'Task Breakdown'!O99</f>
        <v>0</v>
      </c>
      <c r="L37" s="29" t="n">
        <f aca="false">'Task Breakdown'!P99</f>
        <v>0</v>
      </c>
      <c r="M37" s="29" t="n">
        <f aca="false">'Task Breakdown'!Q99</f>
        <v>0</v>
      </c>
      <c r="N37" s="29" t="n">
        <f aca="false">'Task Breakdown'!R99</f>
        <v>0</v>
      </c>
      <c r="O37" s="29" t="n">
        <f aca="false">'Task Breakdown'!S99</f>
        <v>0</v>
      </c>
      <c r="P37" s="29" t="n">
        <f aca="false">'Task Breakdown'!T99</f>
        <v>0</v>
      </c>
      <c r="Q37" s="30" t="n">
        <f aca="false">SUM(E37:P37)</f>
        <v>12</v>
      </c>
      <c r="R37" s="31" t="n">
        <f aca="false">IF($Q$216&gt;0,Q37/$Q$216,0)</f>
        <v>0.00185614849187935</v>
      </c>
    </row>
    <row r="38" customFormat="false" ht="15" hidden="false" customHeight="false" outlineLevel="0" collapsed="false">
      <c r="A38" s="26" t="str">
        <f aca="false">'Task Breakdown'!A100</f>
        <v>PS-2.03.08</v>
      </c>
      <c r="B38" s="27" t="str">
        <f aca="false">'Task Breakdown'!G100</f>
        <v>Integration and failure-mode testing</v>
      </c>
      <c r="C38" s="28"/>
      <c r="D38" s="28"/>
      <c r="E38" s="29" t="n">
        <f aca="false">'Task Breakdown'!I100</f>
        <v>0</v>
      </c>
      <c r="F38" s="29" t="n">
        <f aca="false">'Task Breakdown'!J100</f>
        <v>0</v>
      </c>
      <c r="G38" s="29" t="n">
        <f aca="false">'Task Breakdown'!K100</f>
        <v>0</v>
      </c>
      <c r="H38" s="29" t="n">
        <f aca="false">'Task Breakdown'!L100</f>
        <v>0</v>
      </c>
      <c r="I38" s="29" t="n">
        <f aca="false">'Task Breakdown'!M100</f>
        <v>0</v>
      </c>
      <c r="J38" s="29" t="n">
        <f aca="false">'Task Breakdown'!N100</f>
        <v>0</v>
      </c>
      <c r="K38" s="29" t="n">
        <f aca="false">'Task Breakdown'!O100</f>
        <v>0</v>
      </c>
      <c r="L38" s="29" t="n">
        <f aca="false">'Task Breakdown'!P100</f>
        <v>0</v>
      </c>
      <c r="M38" s="29" t="n">
        <f aca="false">'Task Breakdown'!Q100</f>
        <v>0</v>
      </c>
      <c r="N38" s="29" t="n">
        <f aca="false">'Task Breakdown'!R100</f>
        <v>0</v>
      </c>
      <c r="O38" s="29" t="n">
        <f aca="false">'Task Breakdown'!S100</f>
        <v>73</v>
      </c>
      <c r="P38" s="29" t="n">
        <f aca="false">'Task Breakdown'!T100</f>
        <v>0</v>
      </c>
      <c r="Q38" s="30" t="n">
        <f aca="false">SUM(E38:P38)</f>
        <v>73</v>
      </c>
      <c r="R38" s="31" t="n">
        <f aca="false">IF($Q$216&gt;0,Q38/$Q$216,0)</f>
        <v>0.011291569992266</v>
      </c>
    </row>
    <row r="39" customFormat="false" ht="15" hidden="false" customHeight="false" outlineLevel="0" collapsed="false">
      <c r="A39" s="26" t="str">
        <f aca="false">'Task Breakdown'!A101</f>
        <v>PS-2.03.09</v>
      </c>
      <c r="B39" s="27" t="str">
        <f aca="false">'Task Breakdown'!G101</f>
        <v>Detailed design and design review</v>
      </c>
      <c r="C39" s="28"/>
      <c r="D39" s="28"/>
      <c r="E39" s="29" t="n">
        <f aca="false">'Task Breakdown'!I101</f>
        <v>0</v>
      </c>
      <c r="F39" s="29" t="n">
        <f aca="false">'Task Breakdown'!J101</f>
        <v>0</v>
      </c>
      <c r="G39" s="29" t="n">
        <f aca="false">'Task Breakdown'!K101</f>
        <v>0</v>
      </c>
      <c r="H39" s="29" t="n">
        <f aca="false">'Task Breakdown'!L101</f>
        <v>0</v>
      </c>
      <c r="I39" s="29" t="n">
        <f aca="false">'Task Breakdown'!M101</f>
        <v>32</v>
      </c>
      <c r="J39" s="29" t="n">
        <f aca="false">'Task Breakdown'!N101</f>
        <v>0</v>
      </c>
      <c r="K39" s="29" t="n">
        <f aca="false">'Task Breakdown'!O101</f>
        <v>0</v>
      </c>
      <c r="L39" s="29" t="n">
        <f aca="false">'Task Breakdown'!P101</f>
        <v>0</v>
      </c>
      <c r="M39" s="29" t="n">
        <f aca="false">'Task Breakdown'!Q101</f>
        <v>0</v>
      </c>
      <c r="N39" s="29" t="n">
        <f aca="false">'Task Breakdown'!R101</f>
        <v>0</v>
      </c>
      <c r="O39" s="29" t="n">
        <f aca="false">'Task Breakdown'!S101</f>
        <v>0</v>
      </c>
      <c r="P39" s="29" t="n">
        <f aca="false">'Task Breakdown'!T101</f>
        <v>0</v>
      </c>
      <c r="Q39" s="30" t="n">
        <f aca="false">SUM(E39:P39)</f>
        <v>32</v>
      </c>
      <c r="R39" s="31" t="n">
        <f aca="false">IF($Q$216&gt;0,Q39/$Q$216,0)</f>
        <v>0.00494972931167827</v>
      </c>
    </row>
    <row r="40" customFormat="false" ht="15" hidden="false" customHeight="false" outlineLevel="0" collapsed="false">
      <c r="A40" s="26" t="str">
        <f aca="false">'Task Breakdown'!A102</f>
        <v>PS-2.03.10</v>
      </c>
      <c r="B40" s="27" t="str">
        <f aca="false">'Task Breakdown'!G102</f>
        <v>Promote through dev / test / prod and release</v>
      </c>
      <c r="C40" s="28"/>
      <c r="D40" s="28"/>
      <c r="E40" s="29" t="n">
        <f aca="false">'Task Breakdown'!I102</f>
        <v>0</v>
      </c>
      <c r="F40" s="29" t="n">
        <f aca="false">'Task Breakdown'!J102</f>
        <v>0</v>
      </c>
      <c r="G40" s="29" t="n">
        <f aca="false">'Task Breakdown'!K102</f>
        <v>22</v>
      </c>
      <c r="H40" s="29" t="n">
        <f aca="false">'Task Breakdown'!L102</f>
        <v>0</v>
      </c>
      <c r="I40" s="29" t="n">
        <f aca="false">'Task Breakdown'!M102</f>
        <v>0</v>
      </c>
      <c r="J40" s="29" t="n">
        <f aca="false">'Task Breakdown'!N102</f>
        <v>0</v>
      </c>
      <c r="K40" s="29" t="n">
        <f aca="false">'Task Breakdown'!O102</f>
        <v>0</v>
      </c>
      <c r="L40" s="29" t="n">
        <f aca="false">'Task Breakdown'!P102</f>
        <v>0</v>
      </c>
      <c r="M40" s="29" t="n">
        <f aca="false">'Task Breakdown'!Q102</f>
        <v>0</v>
      </c>
      <c r="N40" s="29" t="n">
        <f aca="false">'Task Breakdown'!R102</f>
        <v>0</v>
      </c>
      <c r="O40" s="29" t="n">
        <f aca="false">'Task Breakdown'!S102</f>
        <v>0</v>
      </c>
      <c r="P40" s="29" t="n">
        <f aca="false">'Task Breakdown'!T102</f>
        <v>0</v>
      </c>
      <c r="Q40" s="30" t="n">
        <f aca="false">SUM(E40:P40)</f>
        <v>22</v>
      </c>
      <c r="R40" s="31" t="n">
        <f aca="false">IF($Q$216&gt;0,Q40/$Q$216,0)</f>
        <v>0.00340293890177881</v>
      </c>
    </row>
    <row r="41" customFormat="false" ht="15" hidden="false" customHeight="false" outlineLevel="0" collapsed="false">
      <c r="A41" s="26" t="str">
        <f aca="false">'Task Breakdown'!A103</f>
        <v>PS-2.03.11</v>
      </c>
      <c r="B41" s="27" t="str">
        <f aca="false">'Task Breakdown'!G103</f>
        <v>Documentation, runbook and knowledge transfer</v>
      </c>
      <c r="C41" s="28"/>
      <c r="D41" s="28"/>
      <c r="E41" s="29" t="n">
        <f aca="false">'Task Breakdown'!I103</f>
        <v>0</v>
      </c>
      <c r="F41" s="29" t="n">
        <f aca="false">'Task Breakdown'!J103</f>
        <v>0</v>
      </c>
      <c r="G41" s="29" t="n">
        <f aca="false">'Task Breakdown'!K103</f>
        <v>0</v>
      </c>
      <c r="H41" s="29" t="n">
        <f aca="false">'Task Breakdown'!L103</f>
        <v>0</v>
      </c>
      <c r="I41" s="29" t="n">
        <f aca="false">'Task Breakdown'!M103</f>
        <v>0</v>
      </c>
      <c r="J41" s="29" t="n">
        <f aca="false">'Task Breakdown'!N103</f>
        <v>22</v>
      </c>
      <c r="K41" s="29" t="n">
        <f aca="false">'Task Breakdown'!O103</f>
        <v>0</v>
      </c>
      <c r="L41" s="29" t="n">
        <f aca="false">'Task Breakdown'!P103</f>
        <v>0</v>
      </c>
      <c r="M41" s="29" t="n">
        <f aca="false">'Task Breakdown'!Q103</f>
        <v>0</v>
      </c>
      <c r="N41" s="29" t="n">
        <f aca="false">'Task Breakdown'!R103</f>
        <v>0</v>
      </c>
      <c r="O41" s="29" t="n">
        <f aca="false">'Task Breakdown'!S103</f>
        <v>0</v>
      </c>
      <c r="P41" s="29" t="n">
        <f aca="false">'Task Breakdown'!T103</f>
        <v>0</v>
      </c>
      <c r="Q41" s="30" t="n">
        <f aca="false">SUM(E41:P41)</f>
        <v>22</v>
      </c>
      <c r="R41" s="31" t="n">
        <f aca="false">IF($Q$216&gt;0,Q41/$Q$216,0)</f>
        <v>0.00340293890177881</v>
      </c>
    </row>
    <row r="42" customFormat="false" ht="15" hidden="false" customHeight="false" outlineLevel="0" collapsed="false">
      <c r="A42" s="26" t="str">
        <f aca="false">'Task Breakdown'!A104</f>
        <v>PS-2.03.12</v>
      </c>
      <c r="B42" s="27" t="str">
        <f aca="false">'Task Breakdown'!G104</f>
        <v>Defect fixing and rework after testing</v>
      </c>
      <c r="C42" s="28"/>
      <c r="D42" s="28"/>
      <c r="E42" s="29" t="n">
        <f aca="false">'Task Breakdown'!I104</f>
        <v>0</v>
      </c>
      <c r="F42" s="29" t="n">
        <f aca="false">'Task Breakdown'!J104</f>
        <v>0</v>
      </c>
      <c r="G42" s="29" t="n">
        <f aca="false">'Task Breakdown'!K104</f>
        <v>0</v>
      </c>
      <c r="H42" s="29" t="n">
        <f aca="false">'Task Breakdown'!L104</f>
        <v>0</v>
      </c>
      <c r="I42" s="29" t="n">
        <f aca="false">'Task Breakdown'!M104</f>
        <v>0</v>
      </c>
      <c r="J42" s="29" t="n">
        <f aca="false">'Task Breakdown'!N104</f>
        <v>43</v>
      </c>
      <c r="K42" s="29" t="n">
        <f aca="false">'Task Breakdown'!O104</f>
        <v>0</v>
      </c>
      <c r="L42" s="29" t="n">
        <f aca="false">'Task Breakdown'!P104</f>
        <v>0</v>
      </c>
      <c r="M42" s="29" t="n">
        <f aca="false">'Task Breakdown'!Q104</f>
        <v>0</v>
      </c>
      <c r="N42" s="29" t="n">
        <f aca="false">'Task Breakdown'!R104</f>
        <v>0</v>
      </c>
      <c r="O42" s="29" t="n">
        <f aca="false">'Task Breakdown'!S104</f>
        <v>0</v>
      </c>
      <c r="P42" s="29" t="n">
        <f aca="false">'Task Breakdown'!T104</f>
        <v>0</v>
      </c>
      <c r="Q42" s="30" t="n">
        <f aca="false">SUM(E42:P42)</f>
        <v>43</v>
      </c>
      <c r="R42" s="31" t="n">
        <f aca="false">IF($Q$216&gt;0,Q42/$Q$216,0)</f>
        <v>0.00665119876256767</v>
      </c>
    </row>
    <row r="43" customFormat="false" ht="15" hidden="false" customHeight="false" outlineLevel="0" collapsed="false">
      <c r="A43" s="23" t="s">
        <v>178</v>
      </c>
      <c r="B43" s="23" t="s">
        <v>179</v>
      </c>
      <c r="C43" s="23" t="s">
        <v>43</v>
      </c>
      <c r="D43" s="23" t="s">
        <v>180</v>
      </c>
      <c r="E43" s="24" t="n">
        <f aca="false">SUM(E44:E54)</f>
        <v>0</v>
      </c>
      <c r="F43" s="24" t="n">
        <f aca="false">SUM(F44:F54)</f>
        <v>0</v>
      </c>
      <c r="G43" s="24" t="n">
        <f aca="false">SUM(G44:G54)</f>
        <v>9</v>
      </c>
      <c r="H43" s="24" t="n">
        <f aca="false">SUM(H44:H54)</f>
        <v>0</v>
      </c>
      <c r="I43" s="24" t="n">
        <f aca="false">SUM(I44:I54)</f>
        <v>44</v>
      </c>
      <c r="J43" s="24" t="n">
        <f aca="false">SUM(J44:J54)</f>
        <v>171</v>
      </c>
      <c r="K43" s="24" t="n">
        <f aca="false">SUM(K44:K54)</f>
        <v>20</v>
      </c>
      <c r="L43" s="24" t="n">
        <f aca="false">SUM(L44:L54)</f>
        <v>0</v>
      </c>
      <c r="M43" s="24" t="n">
        <f aca="false">SUM(M44:M54)</f>
        <v>0</v>
      </c>
      <c r="N43" s="24" t="n">
        <f aca="false">SUM(N44:N54)</f>
        <v>0</v>
      </c>
      <c r="O43" s="24" t="n">
        <f aca="false">SUM(O44:O54)</f>
        <v>31</v>
      </c>
      <c r="P43" s="24" t="n">
        <f aca="false">SUM(P44:P54)</f>
        <v>0</v>
      </c>
      <c r="Q43" s="24" t="n">
        <f aca="false">SUM(Q44:Q54)</f>
        <v>275</v>
      </c>
      <c r="R43" s="25" t="n">
        <f aca="false">IF($Q$216&gt;0,Q43/$Q$216,0)</f>
        <v>0.0425367362722351</v>
      </c>
    </row>
    <row r="44" customFormat="false" ht="23.85" hidden="false" customHeight="false" outlineLevel="0" collapsed="false">
      <c r="A44" s="26" t="str">
        <f aca="false">'Task Breakdown'!A105</f>
        <v>PS-2.04.01</v>
      </c>
      <c r="B44" s="27" t="str">
        <f aca="false">'Task Breakdown'!G105</f>
        <v>Design memory types and retention (working, conversation, long-term, episodic)</v>
      </c>
      <c r="C44" s="28"/>
      <c r="D44" s="28"/>
      <c r="E44" s="29" t="n">
        <f aca="false">'Task Breakdown'!I105</f>
        <v>0</v>
      </c>
      <c r="F44" s="29" t="n">
        <f aca="false">'Task Breakdown'!J105</f>
        <v>0</v>
      </c>
      <c r="G44" s="29" t="n">
        <f aca="false">'Task Breakdown'!K105</f>
        <v>0</v>
      </c>
      <c r="H44" s="29" t="n">
        <f aca="false">'Task Breakdown'!L105</f>
        <v>0</v>
      </c>
      <c r="I44" s="29" t="n">
        <f aca="false">'Task Breakdown'!M105</f>
        <v>20</v>
      </c>
      <c r="J44" s="29" t="n">
        <f aca="false">'Task Breakdown'!N105</f>
        <v>0</v>
      </c>
      <c r="K44" s="29" t="n">
        <f aca="false">'Task Breakdown'!O105</f>
        <v>0</v>
      </c>
      <c r="L44" s="29" t="n">
        <f aca="false">'Task Breakdown'!P105</f>
        <v>0</v>
      </c>
      <c r="M44" s="29" t="n">
        <f aca="false">'Task Breakdown'!Q105</f>
        <v>0</v>
      </c>
      <c r="N44" s="29" t="n">
        <f aca="false">'Task Breakdown'!R105</f>
        <v>0</v>
      </c>
      <c r="O44" s="29" t="n">
        <f aca="false">'Task Breakdown'!S105</f>
        <v>0</v>
      </c>
      <c r="P44" s="29" t="n">
        <f aca="false">'Task Breakdown'!T105</f>
        <v>0</v>
      </c>
      <c r="Q44" s="30" t="n">
        <f aca="false">SUM(E44:P44)</f>
        <v>20</v>
      </c>
      <c r="R44" s="31" t="n">
        <f aca="false">IF($Q$216&gt;0,Q44/$Q$216,0)</f>
        <v>0.00309358081979892</v>
      </c>
    </row>
    <row r="45" customFormat="false" ht="15" hidden="false" customHeight="false" outlineLevel="0" collapsed="false">
      <c r="A45" s="26" t="str">
        <f aca="false">'Task Breakdown'!A106</f>
        <v>PS-2.04.02</v>
      </c>
      <c r="B45" s="27" t="str">
        <f aca="false">'Task Breakdown'!G106</f>
        <v>Implement conversation memory store in Cosmos DB with TTL</v>
      </c>
      <c r="C45" s="28"/>
      <c r="D45" s="28"/>
      <c r="E45" s="29" t="n">
        <f aca="false">'Task Breakdown'!I106</f>
        <v>0</v>
      </c>
      <c r="F45" s="29" t="n">
        <f aca="false">'Task Breakdown'!J106</f>
        <v>0</v>
      </c>
      <c r="G45" s="29" t="n">
        <f aca="false">'Task Breakdown'!K106</f>
        <v>0</v>
      </c>
      <c r="H45" s="29" t="n">
        <f aca="false">'Task Breakdown'!L106</f>
        <v>0</v>
      </c>
      <c r="I45" s="29" t="n">
        <f aca="false">'Task Breakdown'!M106</f>
        <v>0</v>
      </c>
      <c r="J45" s="29" t="n">
        <f aca="false">'Task Breakdown'!N106</f>
        <v>31</v>
      </c>
      <c r="K45" s="29" t="n">
        <f aca="false">'Task Breakdown'!O106</f>
        <v>10</v>
      </c>
      <c r="L45" s="29" t="n">
        <f aca="false">'Task Breakdown'!P106</f>
        <v>0</v>
      </c>
      <c r="M45" s="29" t="n">
        <f aca="false">'Task Breakdown'!Q106</f>
        <v>0</v>
      </c>
      <c r="N45" s="29" t="n">
        <f aca="false">'Task Breakdown'!R106</f>
        <v>0</v>
      </c>
      <c r="O45" s="29" t="n">
        <f aca="false">'Task Breakdown'!S106</f>
        <v>0</v>
      </c>
      <c r="P45" s="29" t="n">
        <f aca="false">'Task Breakdown'!T106</f>
        <v>0</v>
      </c>
      <c r="Q45" s="30" t="n">
        <f aca="false">SUM(E45:P45)</f>
        <v>41</v>
      </c>
      <c r="R45" s="31" t="n">
        <f aca="false">IF($Q$216&gt;0,Q45/$Q$216,0)</f>
        <v>0.00634184068058778</v>
      </c>
    </row>
    <row r="46" customFormat="false" ht="15" hidden="false" customHeight="false" outlineLevel="0" collapsed="false">
      <c r="A46" s="26" t="str">
        <f aca="false">'Task Breakdown'!A107</f>
        <v>PS-2.04.03</v>
      </c>
      <c r="B46" s="27" t="str">
        <f aca="false">'Task Breakdown'!G107</f>
        <v>Implement working memory / session state in Redis</v>
      </c>
      <c r="C46" s="28"/>
      <c r="D46" s="28"/>
      <c r="E46" s="29" t="n">
        <f aca="false">'Task Breakdown'!I107</f>
        <v>0</v>
      </c>
      <c r="F46" s="29" t="n">
        <f aca="false">'Task Breakdown'!J107</f>
        <v>0</v>
      </c>
      <c r="G46" s="29" t="n">
        <f aca="false">'Task Breakdown'!K107</f>
        <v>0</v>
      </c>
      <c r="H46" s="29" t="n">
        <f aca="false">'Task Breakdown'!L107</f>
        <v>0</v>
      </c>
      <c r="I46" s="29" t="n">
        <f aca="false">'Task Breakdown'!M107</f>
        <v>0</v>
      </c>
      <c r="J46" s="29" t="n">
        <f aca="false">'Task Breakdown'!N107</f>
        <v>26</v>
      </c>
      <c r="K46" s="29" t="n">
        <f aca="false">'Task Breakdown'!O107</f>
        <v>0</v>
      </c>
      <c r="L46" s="29" t="n">
        <f aca="false">'Task Breakdown'!P107</f>
        <v>0</v>
      </c>
      <c r="M46" s="29" t="n">
        <f aca="false">'Task Breakdown'!Q107</f>
        <v>0</v>
      </c>
      <c r="N46" s="29" t="n">
        <f aca="false">'Task Breakdown'!R107</f>
        <v>0</v>
      </c>
      <c r="O46" s="29" t="n">
        <f aca="false">'Task Breakdown'!S107</f>
        <v>0</v>
      </c>
      <c r="P46" s="29" t="n">
        <f aca="false">'Task Breakdown'!T107</f>
        <v>0</v>
      </c>
      <c r="Q46" s="30" t="n">
        <f aca="false">SUM(E46:P46)</f>
        <v>26</v>
      </c>
      <c r="R46" s="31" t="n">
        <f aca="false">IF($Q$216&gt;0,Q46/$Q$216,0)</f>
        <v>0.00402165506573859</v>
      </c>
    </row>
    <row r="47" customFormat="false" ht="15" hidden="false" customHeight="false" outlineLevel="0" collapsed="false">
      <c r="A47" s="26" t="str">
        <f aca="false">'Task Breakdown'!A108</f>
        <v>PS-2.04.04</v>
      </c>
      <c r="B47" s="27" t="str">
        <f aca="false">'Task Breakdown'!G108</f>
        <v>Implement long-term semantic memory with embeddings</v>
      </c>
      <c r="C47" s="28"/>
      <c r="D47" s="28"/>
      <c r="E47" s="29" t="n">
        <f aca="false">'Task Breakdown'!I108</f>
        <v>0</v>
      </c>
      <c r="F47" s="29" t="n">
        <f aca="false">'Task Breakdown'!J108</f>
        <v>0</v>
      </c>
      <c r="G47" s="29" t="n">
        <f aca="false">'Task Breakdown'!K108</f>
        <v>0</v>
      </c>
      <c r="H47" s="29" t="n">
        <f aca="false">'Task Breakdown'!L108</f>
        <v>0</v>
      </c>
      <c r="I47" s="29" t="n">
        <f aca="false">'Task Breakdown'!M108</f>
        <v>0</v>
      </c>
      <c r="J47" s="29" t="n">
        <f aca="false">'Task Breakdown'!N108</f>
        <v>41</v>
      </c>
      <c r="K47" s="29" t="n">
        <f aca="false">'Task Breakdown'!O108</f>
        <v>10</v>
      </c>
      <c r="L47" s="29" t="n">
        <f aca="false">'Task Breakdown'!P108</f>
        <v>0</v>
      </c>
      <c r="M47" s="29" t="n">
        <f aca="false">'Task Breakdown'!Q108</f>
        <v>0</v>
      </c>
      <c r="N47" s="29" t="n">
        <f aca="false">'Task Breakdown'!R108</f>
        <v>0</v>
      </c>
      <c r="O47" s="29" t="n">
        <f aca="false">'Task Breakdown'!S108</f>
        <v>0</v>
      </c>
      <c r="P47" s="29" t="n">
        <f aca="false">'Task Breakdown'!T108</f>
        <v>0</v>
      </c>
      <c r="Q47" s="30" t="n">
        <f aca="false">SUM(E47:P47)</f>
        <v>51</v>
      </c>
      <c r="R47" s="31" t="n">
        <f aca="false">IF($Q$216&gt;0,Q47/$Q$216,0)</f>
        <v>0.00788863109048724</v>
      </c>
    </row>
    <row r="48" customFormat="false" ht="15" hidden="false" customHeight="false" outlineLevel="0" collapsed="false">
      <c r="A48" s="26" t="str">
        <f aca="false">'Task Breakdown'!A109</f>
        <v>PS-2.04.05</v>
      </c>
      <c r="B48" s="27" t="str">
        <f aca="false">'Task Breakdown'!G109</f>
        <v>Add summarization and memory pruning</v>
      </c>
      <c r="C48" s="28"/>
      <c r="D48" s="28"/>
      <c r="E48" s="29" t="n">
        <f aca="false">'Task Breakdown'!I109</f>
        <v>0</v>
      </c>
      <c r="F48" s="29" t="n">
        <f aca="false">'Task Breakdown'!J109</f>
        <v>0</v>
      </c>
      <c r="G48" s="29" t="n">
        <f aca="false">'Task Breakdown'!K109</f>
        <v>0</v>
      </c>
      <c r="H48" s="29" t="n">
        <f aca="false">'Task Breakdown'!L109</f>
        <v>0</v>
      </c>
      <c r="I48" s="29" t="n">
        <f aca="false">'Task Breakdown'!M109</f>
        <v>0</v>
      </c>
      <c r="J48" s="29" t="n">
        <f aca="false">'Task Breakdown'!N109</f>
        <v>26</v>
      </c>
      <c r="K48" s="29" t="n">
        <f aca="false">'Task Breakdown'!O109</f>
        <v>0</v>
      </c>
      <c r="L48" s="29" t="n">
        <f aca="false">'Task Breakdown'!P109</f>
        <v>0</v>
      </c>
      <c r="M48" s="29" t="n">
        <f aca="false">'Task Breakdown'!Q109</f>
        <v>0</v>
      </c>
      <c r="N48" s="29" t="n">
        <f aca="false">'Task Breakdown'!R109</f>
        <v>0</v>
      </c>
      <c r="O48" s="29" t="n">
        <f aca="false">'Task Breakdown'!S109</f>
        <v>0</v>
      </c>
      <c r="P48" s="29" t="n">
        <f aca="false">'Task Breakdown'!T109</f>
        <v>0</v>
      </c>
      <c r="Q48" s="30" t="n">
        <f aca="false">SUM(E48:P48)</f>
        <v>26</v>
      </c>
      <c r="R48" s="31" t="n">
        <f aca="false">IF($Q$216&gt;0,Q48/$Q$216,0)</f>
        <v>0.00402165506573859</v>
      </c>
    </row>
    <row r="49" customFormat="false" ht="15" hidden="false" customHeight="false" outlineLevel="0" collapsed="false">
      <c r="A49" s="26" t="str">
        <f aca="false">'Task Breakdown'!A110</f>
        <v>PS-2.04.06</v>
      </c>
      <c r="B49" s="27" t="str">
        <f aca="false">'Task Breakdown'!G110</f>
        <v>Add PII handling and per-user isolation</v>
      </c>
      <c r="C49" s="28"/>
      <c r="D49" s="28"/>
      <c r="E49" s="29" t="n">
        <f aca="false">'Task Breakdown'!I110</f>
        <v>0</v>
      </c>
      <c r="F49" s="29" t="n">
        <f aca="false">'Task Breakdown'!J110</f>
        <v>0</v>
      </c>
      <c r="G49" s="29" t="n">
        <f aca="false">'Task Breakdown'!K110</f>
        <v>0</v>
      </c>
      <c r="H49" s="29" t="n">
        <f aca="false">'Task Breakdown'!L110</f>
        <v>0</v>
      </c>
      <c r="I49" s="29" t="n">
        <f aca="false">'Task Breakdown'!M110</f>
        <v>10</v>
      </c>
      <c r="J49" s="29" t="n">
        <f aca="false">'Task Breakdown'!N110</f>
        <v>20</v>
      </c>
      <c r="K49" s="29" t="n">
        <f aca="false">'Task Breakdown'!O110</f>
        <v>0</v>
      </c>
      <c r="L49" s="29" t="n">
        <f aca="false">'Task Breakdown'!P110</f>
        <v>0</v>
      </c>
      <c r="M49" s="29" t="n">
        <f aca="false">'Task Breakdown'!Q110</f>
        <v>0</v>
      </c>
      <c r="N49" s="29" t="n">
        <f aca="false">'Task Breakdown'!R110</f>
        <v>0</v>
      </c>
      <c r="O49" s="29" t="n">
        <f aca="false">'Task Breakdown'!S110</f>
        <v>0</v>
      </c>
      <c r="P49" s="29" t="n">
        <f aca="false">'Task Breakdown'!T110</f>
        <v>0</v>
      </c>
      <c r="Q49" s="30" t="n">
        <f aca="false">SUM(E49:P49)</f>
        <v>30</v>
      </c>
      <c r="R49" s="31" t="n">
        <f aca="false">IF($Q$216&gt;0,Q49/$Q$216,0)</f>
        <v>0.00464037122969838</v>
      </c>
    </row>
    <row r="50" customFormat="false" ht="15" hidden="false" customHeight="false" outlineLevel="0" collapsed="false">
      <c r="A50" s="26" t="str">
        <f aca="false">'Task Breakdown'!A111</f>
        <v>PS-2.04.07</v>
      </c>
      <c r="B50" s="27" t="str">
        <f aca="false">'Task Breakdown'!G111</f>
        <v>Test recall quality and user isolation</v>
      </c>
      <c r="C50" s="28"/>
      <c r="D50" s="28"/>
      <c r="E50" s="29" t="n">
        <f aca="false">'Task Breakdown'!I111</f>
        <v>0</v>
      </c>
      <c r="F50" s="29" t="n">
        <f aca="false">'Task Breakdown'!J111</f>
        <v>0</v>
      </c>
      <c r="G50" s="29" t="n">
        <f aca="false">'Task Breakdown'!K111</f>
        <v>0</v>
      </c>
      <c r="H50" s="29" t="n">
        <f aca="false">'Task Breakdown'!L111</f>
        <v>0</v>
      </c>
      <c r="I50" s="29" t="n">
        <f aca="false">'Task Breakdown'!M111</f>
        <v>0</v>
      </c>
      <c r="J50" s="29" t="n">
        <f aca="false">'Task Breakdown'!N111</f>
        <v>0</v>
      </c>
      <c r="K50" s="29" t="n">
        <f aca="false">'Task Breakdown'!O111</f>
        <v>0</v>
      </c>
      <c r="L50" s="29" t="n">
        <f aca="false">'Task Breakdown'!P111</f>
        <v>0</v>
      </c>
      <c r="M50" s="29" t="n">
        <f aca="false">'Task Breakdown'!Q111</f>
        <v>0</v>
      </c>
      <c r="N50" s="29" t="n">
        <f aca="false">'Task Breakdown'!R111</f>
        <v>0</v>
      </c>
      <c r="O50" s="29" t="n">
        <f aca="false">'Task Breakdown'!S111</f>
        <v>31</v>
      </c>
      <c r="P50" s="29" t="n">
        <f aca="false">'Task Breakdown'!T111</f>
        <v>0</v>
      </c>
      <c r="Q50" s="30" t="n">
        <f aca="false">SUM(E50:P50)</f>
        <v>31</v>
      </c>
      <c r="R50" s="31" t="n">
        <f aca="false">IF($Q$216&gt;0,Q50/$Q$216,0)</f>
        <v>0.00479505027068832</v>
      </c>
    </row>
    <row r="51" customFormat="false" ht="15" hidden="false" customHeight="false" outlineLevel="0" collapsed="false">
      <c r="A51" s="26" t="str">
        <f aca="false">'Task Breakdown'!A112</f>
        <v>PS-2.04.08</v>
      </c>
      <c r="B51" s="27" t="str">
        <f aca="false">'Task Breakdown'!G112</f>
        <v>Detailed design and design review</v>
      </c>
      <c r="C51" s="28"/>
      <c r="D51" s="28"/>
      <c r="E51" s="29" t="n">
        <f aca="false">'Task Breakdown'!I112</f>
        <v>0</v>
      </c>
      <c r="F51" s="29" t="n">
        <f aca="false">'Task Breakdown'!J112</f>
        <v>0</v>
      </c>
      <c r="G51" s="29" t="n">
        <f aca="false">'Task Breakdown'!K112</f>
        <v>0</v>
      </c>
      <c r="H51" s="29" t="n">
        <f aca="false">'Task Breakdown'!L112</f>
        <v>0</v>
      </c>
      <c r="I51" s="29" t="n">
        <f aca="false">'Task Breakdown'!M112</f>
        <v>14</v>
      </c>
      <c r="J51" s="29" t="n">
        <f aca="false">'Task Breakdown'!N112</f>
        <v>0</v>
      </c>
      <c r="K51" s="29" t="n">
        <f aca="false">'Task Breakdown'!O112</f>
        <v>0</v>
      </c>
      <c r="L51" s="29" t="n">
        <f aca="false">'Task Breakdown'!P112</f>
        <v>0</v>
      </c>
      <c r="M51" s="29" t="n">
        <f aca="false">'Task Breakdown'!Q112</f>
        <v>0</v>
      </c>
      <c r="N51" s="29" t="n">
        <f aca="false">'Task Breakdown'!R112</f>
        <v>0</v>
      </c>
      <c r="O51" s="29" t="n">
        <f aca="false">'Task Breakdown'!S112</f>
        <v>0</v>
      </c>
      <c r="P51" s="29" t="n">
        <f aca="false">'Task Breakdown'!T112</f>
        <v>0</v>
      </c>
      <c r="Q51" s="30" t="n">
        <f aca="false">SUM(E51:P51)</f>
        <v>14</v>
      </c>
      <c r="R51" s="31" t="n">
        <f aca="false">IF($Q$216&gt;0,Q51/$Q$216,0)</f>
        <v>0.00216550657385924</v>
      </c>
    </row>
    <row r="52" customFormat="false" ht="15" hidden="false" customHeight="false" outlineLevel="0" collapsed="false">
      <c r="A52" s="26" t="str">
        <f aca="false">'Task Breakdown'!A113</f>
        <v>PS-2.04.09</v>
      </c>
      <c r="B52" s="27" t="str">
        <f aca="false">'Task Breakdown'!G113</f>
        <v>Promote through dev / test / prod and release</v>
      </c>
      <c r="C52" s="28"/>
      <c r="D52" s="28"/>
      <c r="E52" s="29" t="n">
        <f aca="false">'Task Breakdown'!I113</f>
        <v>0</v>
      </c>
      <c r="F52" s="29" t="n">
        <f aca="false">'Task Breakdown'!J113</f>
        <v>0</v>
      </c>
      <c r="G52" s="29" t="n">
        <f aca="false">'Task Breakdown'!K113</f>
        <v>9</v>
      </c>
      <c r="H52" s="29" t="n">
        <f aca="false">'Task Breakdown'!L113</f>
        <v>0</v>
      </c>
      <c r="I52" s="29" t="n">
        <f aca="false">'Task Breakdown'!M113</f>
        <v>0</v>
      </c>
      <c r="J52" s="29" t="n">
        <f aca="false">'Task Breakdown'!N113</f>
        <v>0</v>
      </c>
      <c r="K52" s="29" t="n">
        <f aca="false">'Task Breakdown'!O113</f>
        <v>0</v>
      </c>
      <c r="L52" s="29" t="n">
        <f aca="false">'Task Breakdown'!P113</f>
        <v>0</v>
      </c>
      <c r="M52" s="29" t="n">
        <f aca="false">'Task Breakdown'!Q113</f>
        <v>0</v>
      </c>
      <c r="N52" s="29" t="n">
        <f aca="false">'Task Breakdown'!R113</f>
        <v>0</v>
      </c>
      <c r="O52" s="29" t="n">
        <f aca="false">'Task Breakdown'!S113</f>
        <v>0</v>
      </c>
      <c r="P52" s="29" t="n">
        <f aca="false">'Task Breakdown'!T113</f>
        <v>0</v>
      </c>
      <c r="Q52" s="30" t="n">
        <f aca="false">SUM(E52:P52)</f>
        <v>9</v>
      </c>
      <c r="R52" s="31" t="n">
        <f aca="false">IF($Q$216&gt;0,Q52/$Q$216,0)</f>
        <v>0.00139211136890951</v>
      </c>
    </row>
    <row r="53" customFormat="false" ht="15" hidden="false" customHeight="false" outlineLevel="0" collapsed="false">
      <c r="A53" s="26" t="str">
        <f aca="false">'Task Breakdown'!A114</f>
        <v>PS-2.04.10</v>
      </c>
      <c r="B53" s="27" t="str">
        <f aca="false">'Task Breakdown'!G114</f>
        <v>Documentation, runbook and knowledge transfer</v>
      </c>
      <c r="C53" s="28"/>
      <c r="D53" s="28"/>
      <c r="E53" s="29" t="n">
        <f aca="false">'Task Breakdown'!I114</f>
        <v>0</v>
      </c>
      <c r="F53" s="29" t="n">
        <f aca="false">'Task Breakdown'!J114</f>
        <v>0</v>
      </c>
      <c r="G53" s="29" t="n">
        <f aca="false">'Task Breakdown'!K114</f>
        <v>0</v>
      </c>
      <c r="H53" s="29" t="n">
        <f aca="false">'Task Breakdown'!L114</f>
        <v>0</v>
      </c>
      <c r="I53" s="29" t="n">
        <f aca="false">'Task Breakdown'!M114</f>
        <v>0</v>
      </c>
      <c r="J53" s="29" t="n">
        <f aca="false">'Task Breakdown'!N114</f>
        <v>9</v>
      </c>
      <c r="K53" s="29" t="n">
        <f aca="false">'Task Breakdown'!O114</f>
        <v>0</v>
      </c>
      <c r="L53" s="29" t="n">
        <f aca="false">'Task Breakdown'!P114</f>
        <v>0</v>
      </c>
      <c r="M53" s="29" t="n">
        <f aca="false">'Task Breakdown'!Q114</f>
        <v>0</v>
      </c>
      <c r="N53" s="29" t="n">
        <f aca="false">'Task Breakdown'!R114</f>
        <v>0</v>
      </c>
      <c r="O53" s="29" t="n">
        <f aca="false">'Task Breakdown'!S114</f>
        <v>0</v>
      </c>
      <c r="P53" s="29" t="n">
        <f aca="false">'Task Breakdown'!T114</f>
        <v>0</v>
      </c>
      <c r="Q53" s="30" t="n">
        <f aca="false">SUM(E53:P53)</f>
        <v>9</v>
      </c>
      <c r="R53" s="31" t="n">
        <f aca="false">IF($Q$216&gt;0,Q53/$Q$216,0)</f>
        <v>0.00139211136890951</v>
      </c>
    </row>
    <row r="54" customFormat="false" ht="15" hidden="false" customHeight="false" outlineLevel="0" collapsed="false">
      <c r="A54" s="26" t="str">
        <f aca="false">'Task Breakdown'!A115</f>
        <v>PS-2.04.11</v>
      </c>
      <c r="B54" s="27" t="str">
        <f aca="false">'Task Breakdown'!G115</f>
        <v>Defect fixing and rework after testing</v>
      </c>
      <c r="C54" s="28"/>
      <c r="D54" s="28"/>
      <c r="E54" s="29" t="n">
        <f aca="false">'Task Breakdown'!I115</f>
        <v>0</v>
      </c>
      <c r="F54" s="29" t="n">
        <f aca="false">'Task Breakdown'!J115</f>
        <v>0</v>
      </c>
      <c r="G54" s="29" t="n">
        <f aca="false">'Task Breakdown'!K115</f>
        <v>0</v>
      </c>
      <c r="H54" s="29" t="n">
        <f aca="false">'Task Breakdown'!L115</f>
        <v>0</v>
      </c>
      <c r="I54" s="29" t="n">
        <f aca="false">'Task Breakdown'!M115</f>
        <v>0</v>
      </c>
      <c r="J54" s="29" t="n">
        <f aca="false">'Task Breakdown'!N115</f>
        <v>18</v>
      </c>
      <c r="K54" s="29" t="n">
        <f aca="false">'Task Breakdown'!O115</f>
        <v>0</v>
      </c>
      <c r="L54" s="29" t="n">
        <f aca="false">'Task Breakdown'!P115</f>
        <v>0</v>
      </c>
      <c r="M54" s="29" t="n">
        <f aca="false">'Task Breakdown'!Q115</f>
        <v>0</v>
      </c>
      <c r="N54" s="29" t="n">
        <f aca="false">'Task Breakdown'!R115</f>
        <v>0</v>
      </c>
      <c r="O54" s="29" t="n">
        <f aca="false">'Task Breakdown'!S115</f>
        <v>0</v>
      </c>
      <c r="P54" s="29" t="n">
        <f aca="false">'Task Breakdown'!T115</f>
        <v>0</v>
      </c>
      <c r="Q54" s="30" t="n">
        <f aca="false">SUM(E54:P54)</f>
        <v>18</v>
      </c>
      <c r="R54" s="31" t="n">
        <f aca="false">IF($Q$216&gt;0,Q54/$Q$216,0)</f>
        <v>0.00278422273781903</v>
      </c>
    </row>
    <row r="55" customFormat="false" ht="15" hidden="false" customHeight="false" outlineLevel="0" collapsed="false">
      <c r="A55" s="23" t="s">
        <v>181</v>
      </c>
      <c r="B55" s="23" t="s">
        <v>182</v>
      </c>
      <c r="C55" s="23" t="s">
        <v>43</v>
      </c>
      <c r="D55" s="23" t="s">
        <v>183</v>
      </c>
      <c r="E55" s="24" t="n">
        <f aca="false">SUM(E56:E64)</f>
        <v>0</v>
      </c>
      <c r="F55" s="24" t="n">
        <f aca="false">SUM(F56:F64)</f>
        <v>0</v>
      </c>
      <c r="G55" s="24" t="n">
        <f aca="false">SUM(G56:G64)</f>
        <v>4</v>
      </c>
      <c r="H55" s="24" t="n">
        <f aca="false">SUM(H56:H64)</f>
        <v>0</v>
      </c>
      <c r="I55" s="24" t="n">
        <f aca="false">SUM(I56:I64)</f>
        <v>6</v>
      </c>
      <c r="J55" s="24" t="n">
        <f aca="false">SUM(J56:J64)</f>
        <v>76</v>
      </c>
      <c r="K55" s="24" t="n">
        <f aca="false">SUM(K56:K64)</f>
        <v>0</v>
      </c>
      <c r="L55" s="24" t="n">
        <f aca="false">SUM(L56:L64)</f>
        <v>0</v>
      </c>
      <c r="M55" s="24" t="n">
        <f aca="false">SUM(M56:M64)</f>
        <v>0</v>
      </c>
      <c r="N55" s="24" t="n">
        <f aca="false">SUM(N56:N64)</f>
        <v>16</v>
      </c>
      <c r="O55" s="24" t="n">
        <f aca="false">SUM(O56:O64)</f>
        <v>16</v>
      </c>
      <c r="P55" s="24" t="n">
        <f aca="false">SUM(P56:P64)</f>
        <v>0</v>
      </c>
      <c r="Q55" s="24" t="n">
        <f aca="false">SUM(Q56:Q64)</f>
        <v>118</v>
      </c>
      <c r="R55" s="25" t="n">
        <f aca="false">IF($Q$216&gt;0,Q55/$Q$216,0)</f>
        <v>0.0182521268368136</v>
      </c>
    </row>
    <row r="56" customFormat="false" ht="15" hidden="false" customHeight="false" outlineLevel="0" collapsed="false">
      <c r="A56" s="26" t="str">
        <f aca="false">'Task Breakdown'!A116</f>
        <v>PS-2.05.01</v>
      </c>
      <c r="B56" s="27" t="str">
        <f aca="false">'Task Breakdown'!G116</f>
        <v>Define prompt template standards and metadata</v>
      </c>
      <c r="C56" s="28"/>
      <c r="D56" s="28"/>
      <c r="E56" s="29" t="n">
        <f aca="false">'Task Breakdown'!I116</f>
        <v>0</v>
      </c>
      <c r="F56" s="29" t="n">
        <f aca="false">'Task Breakdown'!J116</f>
        <v>0</v>
      </c>
      <c r="G56" s="29" t="n">
        <f aca="false">'Task Breakdown'!K116</f>
        <v>0</v>
      </c>
      <c r="H56" s="29" t="n">
        <f aca="false">'Task Breakdown'!L116</f>
        <v>0</v>
      </c>
      <c r="I56" s="29" t="n">
        <f aca="false">'Task Breakdown'!M116</f>
        <v>0</v>
      </c>
      <c r="J56" s="29" t="n">
        <f aca="false">'Task Breakdown'!N116</f>
        <v>12</v>
      </c>
      <c r="K56" s="29" t="n">
        <f aca="false">'Task Breakdown'!O116</f>
        <v>0</v>
      </c>
      <c r="L56" s="29" t="n">
        <f aca="false">'Task Breakdown'!P116</f>
        <v>0</v>
      </c>
      <c r="M56" s="29" t="n">
        <f aca="false">'Task Breakdown'!Q116</f>
        <v>0</v>
      </c>
      <c r="N56" s="29" t="n">
        <f aca="false">'Task Breakdown'!R116</f>
        <v>4</v>
      </c>
      <c r="O56" s="29" t="n">
        <f aca="false">'Task Breakdown'!S116</f>
        <v>0</v>
      </c>
      <c r="P56" s="29" t="n">
        <f aca="false">'Task Breakdown'!T116</f>
        <v>0</v>
      </c>
      <c r="Q56" s="30" t="n">
        <f aca="false">SUM(E56:P56)</f>
        <v>16</v>
      </c>
      <c r="R56" s="31" t="n">
        <f aca="false">IF($Q$216&gt;0,Q56/$Q$216,0)</f>
        <v>0.00247486465583913</v>
      </c>
    </row>
    <row r="57" customFormat="false" ht="15" hidden="false" customHeight="false" outlineLevel="0" collapsed="false">
      <c r="A57" s="26" t="str">
        <f aca="false">'Task Breakdown'!A117</f>
        <v>PS-2.05.02</v>
      </c>
      <c r="B57" s="27" t="str">
        <f aca="false">'Task Breakdown'!G117</f>
        <v>Set up prompt repository with versioning and approvals</v>
      </c>
      <c r="C57" s="28"/>
      <c r="D57" s="28"/>
      <c r="E57" s="29" t="n">
        <f aca="false">'Task Breakdown'!I117</f>
        <v>0</v>
      </c>
      <c r="F57" s="29" t="n">
        <f aca="false">'Task Breakdown'!J117</f>
        <v>0</v>
      </c>
      <c r="G57" s="29" t="n">
        <f aca="false">'Task Breakdown'!K117</f>
        <v>0</v>
      </c>
      <c r="H57" s="29" t="n">
        <f aca="false">'Task Breakdown'!L117</f>
        <v>0</v>
      </c>
      <c r="I57" s="29" t="n">
        <f aca="false">'Task Breakdown'!M117</f>
        <v>0</v>
      </c>
      <c r="J57" s="29" t="n">
        <f aca="false">'Task Breakdown'!N117</f>
        <v>20</v>
      </c>
      <c r="K57" s="29" t="n">
        <f aca="false">'Task Breakdown'!O117</f>
        <v>0</v>
      </c>
      <c r="L57" s="29" t="n">
        <f aca="false">'Task Breakdown'!P117</f>
        <v>0</v>
      </c>
      <c r="M57" s="29" t="n">
        <f aca="false">'Task Breakdown'!Q117</f>
        <v>0</v>
      </c>
      <c r="N57" s="29" t="n">
        <f aca="false">'Task Breakdown'!R117</f>
        <v>0</v>
      </c>
      <c r="O57" s="29" t="n">
        <f aca="false">'Task Breakdown'!S117</f>
        <v>0</v>
      </c>
      <c r="P57" s="29" t="n">
        <f aca="false">'Task Breakdown'!T117</f>
        <v>0</v>
      </c>
      <c r="Q57" s="30" t="n">
        <f aca="false">SUM(E57:P57)</f>
        <v>20</v>
      </c>
      <c r="R57" s="31" t="n">
        <f aca="false">IF($Q$216&gt;0,Q57/$Q$216,0)</f>
        <v>0.00309358081979892</v>
      </c>
    </row>
    <row r="58" customFormat="false" ht="15" hidden="false" customHeight="false" outlineLevel="0" collapsed="false">
      <c r="A58" s="26" t="str">
        <f aca="false">'Task Breakdown'!A118</f>
        <v>PS-2.05.03</v>
      </c>
      <c r="B58" s="27" t="str">
        <f aca="false">'Task Breakdown'!G118</f>
        <v>Build system-prompt and guardrail templates for each agent type</v>
      </c>
      <c r="C58" s="28"/>
      <c r="D58" s="28"/>
      <c r="E58" s="29" t="n">
        <f aca="false">'Task Breakdown'!I118</f>
        <v>0</v>
      </c>
      <c r="F58" s="29" t="n">
        <f aca="false">'Task Breakdown'!J118</f>
        <v>0</v>
      </c>
      <c r="G58" s="29" t="n">
        <f aca="false">'Task Breakdown'!K118</f>
        <v>0</v>
      </c>
      <c r="H58" s="29" t="n">
        <f aca="false">'Task Breakdown'!L118</f>
        <v>0</v>
      </c>
      <c r="I58" s="29" t="n">
        <f aca="false">'Task Breakdown'!M118</f>
        <v>0</v>
      </c>
      <c r="J58" s="29" t="n">
        <f aca="false">'Task Breakdown'!N118</f>
        <v>20</v>
      </c>
      <c r="K58" s="29" t="n">
        <f aca="false">'Task Breakdown'!O118</f>
        <v>0</v>
      </c>
      <c r="L58" s="29" t="n">
        <f aca="false">'Task Breakdown'!P118</f>
        <v>0</v>
      </c>
      <c r="M58" s="29" t="n">
        <f aca="false">'Task Breakdown'!Q118</f>
        <v>0</v>
      </c>
      <c r="N58" s="29" t="n">
        <f aca="false">'Task Breakdown'!R118</f>
        <v>12</v>
      </c>
      <c r="O58" s="29" t="n">
        <f aca="false">'Task Breakdown'!S118</f>
        <v>0</v>
      </c>
      <c r="P58" s="29" t="n">
        <f aca="false">'Task Breakdown'!T118</f>
        <v>0</v>
      </c>
      <c r="Q58" s="30" t="n">
        <f aca="false">SUM(E58:P58)</f>
        <v>32</v>
      </c>
      <c r="R58" s="31" t="n">
        <f aca="false">IF($Q$216&gt;0,Q58/$Q$216,0)</f>
        <v>0.00494972931167827</v>
      </c>
    </row>
    <row r="59" customFormat="false" ht="15" hidden="false" customHeight="false" outlineLevel="0" collapsed="false">
      <c r="A59" s="26" t="str">
        <f aca="false">'Task Breakdown'!A119</f>
        <v>PS-2.05.04</v>
      </c>
      <c r="B59" s="27" t="str">
        <f aca="false">'Task Breakdown'!G119</f>
        <v>Wire prompt versions into the deployment pipeline</v>
      </c>
      <c r="C59" s="28"/>
      <c r="D59" s="28"/>
      <c r="E59" s="29" t="n">
        <f aca="false">'Task Breakdown'!I119</f>
        <v>0</v>
      </c>
      <c r="F59" s="29" t="n">
        <f aca="false">'Task Breakdown'!J119</f>
        <v>0</v>
      </c>
      <c r="G59" s="29" t="n">
        <f aca="false">'Task Breakdown'!K119</f>
        <v>0</v>
      </c>
      <c r="H59" s="29" t="n">
        <f aca="false">'Task Breakdown'!L119</f>
        <v>0</v>
      </c>
      <c r="I59" s="29" t="n">
        <f aca="false">'Task Breakdown'!M119</f>
        <v>0</v>
      </c>
      <c r="J59" s="29" t="n">
        <f aca="false">'Task Breakdown'!N119</f>
        <v>12</v>
      </c>
      <c r="K59" s="29" t="n">
        <f aca="false">'Task Breakdown'!O119</f>
        <v>0</v>
      </c>
      <c r="L59" s="29" t="n">
        <f aca="false">'Task Breakdown'!P119</f>
        <v>0</v>
      </c>
      <c r="M59" s="29" t="n">
        <f aca="false">'Task Breakdown'!Q119</f>
        <v>0</v>
      </c>
      <c r="N59" s="29" t="n">
        <f aca="false">'Task Breakdown'!R119</f>
        <v>0</v>
      </c>
      <c r="O59" s="29" t="n">
        <f aca="false">'Task Breakdown'!S119</f>
        <v>0</v>
      </c>
      <c r="P59" s="29" t="n">
        <f aca="false">'Task Breakdown'!T119</f>
        <v>0</v>
      </c>
      <c r="Q59" s="30" t="n">
        <f aca="false">SUM(E59:P59)</f>
        <v>12</v>
      </c>
      <c r="R59" s="31" t="n">
        <f aca="false">IF($Q$216&gt;0,Q59/$Q$216,0)</f>
        <v>0.00185614849187935</v>
      </c>
    </row>
    <row r="60" customFormat="false" ht="15" hidden="false" customHeight="false" outlineLevel="0" collapsed="false">
      <c r="A60" s="26" t="str">
        <f aca="false">'Task Breakdown'!A120</f>
        <v>PS-2.05.05</v>
      </c>
      <c r="B60" s="27" t="str">
        <f aca="false">'Task Breakdown'!G120</f>
        <v>Regression-test prompts against a sample set</v>
      </c>
      <c r="C60" s="28"/>
      <c r="D60" s="28"/>
      <c r="E60" s="29" t="n">
        <f aca="false">'Task Breakdown'!I120</f>
        <v>0</v>
      </c>
      <c r="F60" s="29" t="n">
        <f aca="false">'Task Breakdown'!J120</f>
        <v>0</v>
      </c>
      <c r="G60" s="29" t="n">
        <f aca="false">'Task Breakdown'!K120</f>
        <v>0</v>
      </c>
      <c r="H60" s="29" t="n">
        <f aca="false">'Task Breakdown'!L120</f>
        <v>0</v>
      </c>
      <c r="I60" s="29" t="n">
        <f aca="false">'Task Breakdown'!M120</f>
        <v>0</v>
      </c>
      <c r="J60" s="29" t="n">
        <f aca="false">'Task Breakdown'!N120</f>
        <v>0</v>
      </c>
      <c r="K60" s="29" t="n">
        <f aca="false">'Task Breakdown'!O120</f>
        <v>0</v>
      </c>
      <c r="L60" s="29" t="n">
        <f aca="false">'Task Breakdown'!P120</f>
        <v>0</v>
      </c>
      <c r="M60" s="29" t="n">
        <f aca="false">'Task Breakdown'!Q120</f>
        <v>0</v>
      </c>
      <c r="N60" s="29" t="n">
        <f aca="false">'Task Breakdown'!R120</f>
        <v>0</v>
      </c>
      <c r="O60" s="29" t="n">
        <f aca="false">'Task Breakdown'!S120</f>
        <v>16</v>
      </c>
      <c r="P60" s="29" t="n">
        <f aca="false">'Task Breakdown'!T120</f>
        <v>0</v>
      </c>
      <c r="Q60" s="30" t="n">
        <f aca="false">SUM(E60:P60)</f>
        <v>16</v>
      </c>
      <c r="R60" s="31" t="n">
        <f aca="false">IF($Q$216&gt;0,Q60/$Q$216,0)</f>
        <v>0.00247486465583913</v>
      </c>
    </row>
    <row r="61" customFormat="false" ht="15" hidden="false" customHeight="false" outlineLevel="0" collapsed="false">
      <c r="A61" s="26" t="str">
        <f aca="false">'Task Breakdown'!A121</f>
        <v>PS-2.05.06</v>
      </c>
      <c r="B61" s="27" t="str">
        <f aca="false">'Task Breakdown'!G121</f>
        <v>Detailed design and design review</v>
      </c>
      <c r="C61" s="28"/>
      <c r="D61" s="28"/>
      <c r="E61" s="29" t="n">
        <f aca="false">'Task Breakdown'!I121</f>
        <v>0</v>
      </c>
      <c r="F61" s="29" t="n">
        <f aca="false">'Task Breakdown'!J121</f>
        <v>0</v>
      </c>
      <c r="G61" s="29" t="n">
        <f aca="false">'Task Breakdown'!K121</f>
        <v>0</v>
      </c>
      <c r="H61" s="29" t="n">
        <f aca="false">'Task Breakdown'!L121</f>
        <v>0</v>
      </c>
      <c r="I61" s="29" t="n">
        <f aca="false">'Task Breakdown'!M121</f>
        <v>6</v>
      </c>
      <c r="J61" s="29" t="n">
        <f aca="false">'Task Breakdown'!N121</f>
        <v>0</v>
      </c>
      <c r="K61" s="29" t="n">
        <f aca="false">'Task Breakdown'!O121</f>
        <v>0</v>
      </c>
      <c r="L61" s="29" t="n">
        <f aca="false">'Task Breakdown'!P121</f>
        <v>0</v>
      </c>
      <c r="M61" s="29" t="n">
        <f aca="false">'Task Breakdown'!Q121</f>
        <v>0</v>
      </c>
      <c r="N61" s="29" t="n">
        <f aca="false">'Task Breakdown'!R121</f>
        <v>0</v>
      </c>
      <c r="O61" s="29" t="n">
        <f aca="false">'Task Breakdown'!S121</f>
        <v>0</v>
      </c>
      <c r="P61" s="29" t="n">
        <f aca="false">'Task Breakdown'!T121</f>
        <v>0</v>
      </c>
      <c r="Q61" s="30" t="n">
        <f aca="false">SUM(E61:P61)</f>
        <v>6</v>
      </c>
      <c r="R61" s="31" t="n">
        <f aca="false">IF($Q$216&gt;0,Q61/$Q$216,0)</f>
        <v>0.000928074245939675</v>
      </c>
    </row>
    <row r="62" customFormat="false" ht="15" hidden="false" customHeight="false" outlineLevel="0" collapsed="false">
      <c r="A62" s="26" t="str">
        <f aca="false">'Task Breakdown'!A122</f>
        <v>PS-2.05.07</v>
      </c>
      <c r="B62" s="27" t="str">
        <f aca="false">'Task Breakdown'!G122</f>
        <v>Promote through dev / test / prod and release</v>
      </c>
      <c r="C62" s="28"/>
      <c r="D62" s="28"/>
      <c r="E62" s="29" t="n">
        <f aca="false">'Task Breakdown'!I122</f>
        <v>0</v>
      </c>
      <c r="F62" s="29" t="n">
        <f aca="false">'Task Breakdown'!J122</f>
        <v>0</v>
      </c>
      <c r="G62" s="29" t="n">
        <f aca="false">'Task Breakdown'!K122</f>
        <v>4</v>
      </c>
      <c r="H62" s="29" t="n">
        <f aca="false">'Task Breakdown'!L122</f>
        <v>0</v>
      </c>
      <c r="I62" s="29" t="n">
        <f aca="false">'Task Breakdown'!M122</f>
        <v>0</v>
      </c>
      <c r="J62" s="29" t="n">
        <f aca="false">'Task Breakdown'!N122</f>
        <v>0</v>
      </c>
      <c r="K62" s="29" t="n">
        <f aca="false">'Task Breakdown'!O122</f>
        <v>0</v>
      </c>
      <c r="L62" s="29" t="n">
        <f aca="false">'Task Breakdown'!P122</f>
        <v>0</v>
      </c>
      <c r="M62" s="29" t="n">
        <f aca="false">'Task Breakdown'!Q122</f>
        <v>0</v>
      </c>
      <c r="N62" s="29" t="n">
        <f aca="false">'Task Breakdown'!R122</f>
        <v>0</v>
      </c>
      <c r="O62" s="29" t="n">
        <f aca="false">'Task Breakdown'!S122</f>
        <v>0</v>
      </c>
      <c r="P62" s="29" t="n">
        <f aca="false">'Task Breakdown'!T122</f>
        <v>0</v>
      </c>
      <c r="Q62" s="30" t="n">
        <f aca="false">SUM(E62:P62)</f>
        <v>4</v>
      </c>
      <c r="R62" s="31" t="n">
        <f aca="false">IF($Q$216&gt;0,Q62/$Q$216,0)</f>
        <v>0.000618716163959783</v>
      </c>
    </row>
    <row r="63" customFormat="false" ht="15" hidden="false" customHeight="false" outlineLevel="0" collapsed="false">
      <c r="A63" s="26" t="str">
        <f aca="false">'Task Breakdown'!A123</f>
        <v>PS-2.05.08</v>
      </c>
      <c r="B63" s="27" t="str">
        <f aca="false">'Task Breakdown'!G123</f>
        <v>Documentation, runbook and knowledge transfer</v>
      </c>
      <c r="C63" s="28"/>
      <c r="D63" s="28"/>
      <c r="E63" s="29" t="n">
        <f aca="false">'Task Breakdown'!I123</f>
        <v>0</v>
      </c>
      <c r="F63" s="29" t="n">
        <f aca="false">'Task Breakdown'!J123</f>
        <v>0</v>
      </c>
      <c r="G63" s="29" t="n">
        <f aca="false">'Task Breakdown'!K123</f>
        <v>0</v>
      </c>
      <c r="H63" s="29" t="n">
        <f aca="false">'Task Breakdown'!L123</f>
        <v>0</v>
      </c>
      <c r="I63" s="29" t="n">
        <f aca="false">'Task Breakdown'!M123</f>
        <v>0</v>
      </c>
      <c r="J63" s="29" t="n">
        <f aca="false">'Task Breakdown'!N123</f>
        <v>4</v>
      </c>
      <c r="K63" s="29" t="n">
        <f aca="false">'Task Breakdown'!O123</f>
        <v>0</v>
      </c>
      <c r="L63" s="29" t="n">
        <f aca="false">'Task Breakdown'!P123</f>
        <v>0</v>
      </c>
      <c r="M63" s="29" t="n">
        <f aca="false">'Task Breakdown'!Q123</f>
        <v>0</v>
      </c>
      <c r="N63" s="29" t="n">
        <f aca="false">'Task Breakdown'!R123</f>
        <v>0</v>
      </c>
      <c r="O63" s="29" t="n">
        <f aca="false">'Task Breakdown'!S123</f>
        <v>0</v>
      </c>
      <c r="P63" s="29" t="n">
        <f aca="false">'Task Breakdown'!T123</f>
        <v>0</v>
      </c>
      <c r="Q63" s="30" t="n">
        <f aca="false">SUM(E63:P63)</f>
        <v>4</v>
      </c>
      <c r="R63" s="31" t="n">
        <f aca="false">IF($Q$216&gt;0,Q63/$Q$216,0)</f>
        <v>0.000618716163959783</v>
      </c>
    </row>
    <row r="64" customFormat="false" ht="15" hidden="false" customHeight="false" outlineLevel="0" collapsed="false">
      <c r="A64" s="26" t="str">
        <f aca="false">'Task Breakdown'!A124</f>
        <v>PS-2.05.09</v>
      </c>
      <c r="B64" s="27" t="str">
        <f aca="false">'Task Breakdown'!G124</f>
        <v>Defect fixing and rework after testing</v>
      </c>
      <c r="C64" s="28"/>
      <c r="D64" s="28"/>
      <c r="E64" s="29" t="n">
        <f aca="false">'Task Breakdown'!I124</f>
        <v>0</v>
      </c>
      <c r="F64" s="29" t="n">
        <f aca="false">'Task Breakdown'!J124</f>
        <v>0</v>
      </c>
      <c r="G64" s="29" t="n">
        <f aca="false">'Task Breakdown'!K124</f>
        <v>0</v>
      </c>
      <c r="H64" s="29" t="n">
        <f aca="false">'Task Breakdown'!L124</f>
        <v>0</v>
      </c>
      <c r="I64" s="29" t="n">
        <f aca="false">'Task Breakdown'!M124</f>
        <v>0</v>
      </c>
      <c r="J64" s="29" t="n">
        <f aca="false">'Task Breakdown'!N124</f>
        <v>8</v>
      </c>
      <c r="K64" s="29" t="n">
        <f aca="false">'Task Breakdown'!O124</f>
        <v>0</v>
      </c>
      <c r="L64" s="29" t="n">
        <f aca="false">'Task Breakdown'!P124</f>
        <v>0</v>
      </c>
      <c r="M64" s="29" t="n">
        <f aca="false">'Task Breakdown'!Q124</f>
        <v>0</v>
      </c>
      <c r="N64" s="29" t="n">
        <f aca="false">'Task Breakdown'!R124</f>
        <v>0</v>
      </c>
      <c r="O64" s="29" t="n">
        <f aca="false">'Task Breakdown'!S124</f>
        <v>0</v>
      </c>
      <c r="P64" s="29" t="n">
        <f aca="false">'Task Breakdown'!T124</f>
        <v>0</v>
      </c>
      <c r="Q64" s="30" t="n">
        <f aca="false">SUM(E64:P64)</f>
        <v>8</v>
      </c>
      <c r="R64" s="31" t="n">
        <f aca="false">IF($Q$216&gt;0,Q64/$Q$216,0)</f>
        <v>0.00123743232791957</v>
      </c>
    </row>
    <row r="65" customFormat="false" ht="15" hidden="false" customHeight="false" outlineLevel="0" collapsed="false">
      <c r="A65" s="23" t="s">
        <v>184</v>
      </c>
      <c r="B65" s="23" t="s">
        <v>185</v>
      </c>
      <c r="C65" s="23" t="s">
        <v>43</v>
      </c>
      <c r="D65" s="23" t="s">
        <v>186</v>
      </c>
      <c r="E65" s="24" t="n">
        <f aca="false">SUM(E66:E75)</f>
        <v>0</v>
      </c>
      <c r="F65" s="24" t="n">
        <f aca="false">SUM(F66:F75)</f>
        <v>0</v>
      </c>
      <c r="G65" s="24" t="n">
        <f aca="false">SUM(G66:G75)</f>
        <v>7</v>
      </c>
      <c r="H65" s="24" t="n">
        <f aca="false">SUM(H66:H75)</f>
        <v>40</v>
      </c>
      <c r="I65" s="24" t="n">
        <f aca="false">SUM(I66:I75)</f>
        <v>30</v>
      </c>
      <c r="J65" s="24" t="n">
        <f aca="false">SUM(J66:J75)</f>
        <v>80</v>
      </c>
      <c r="K65" s="24" t="n">
        <f aca="false">SUM(K66:K75)</f>
        <v>0</v>
      </c>
      <c r="L65" s="24" t="n">
        <f aca="false">SUM(L66:L75)</f>
        <v>0</v>
      </c>
      <c r="M65" s="24" t="n">
        <f aca="false">SUM(M66:M75)</f>
        <v>0</v>
      </c>
      <c r="N65" s="24" t="n">
        <f aca="false">SUM(N66:N75)</f>
        <v>0</v>
      </c>
      <c r="O65" s="24" t="n">
        <f aca="false">SUM(O66:O75)</f>
        <v>41</v>
      </c>
      <c r="P65" s="24" t="n">
        <f aca="false">SUM(P66:P75)</f>
        <v>0</v>
      </c>
      <c r="Q65" s="24" t="n">
        <f aca="false">SUM(Q66:Q75)</f>
        <v>198</v>
      </c>
      <c r="R65" s="25" t="n">
        <f aca="false">IF($Q$216&gt;0,Q65/$Q$216,0)</f>
        <v>0.0306264501160093</v>
      </c>
    </row>
    <row r="66" customFormat="false" ht="15" hidden="false" customHeight="false" outlineLevel="0" collapsed="false">
      <c r="A66" s="26" t="str">
        <f aca="false">'Task Breakdown'!A125</f>
        <v>PS-2.06.01</v>
      </c>
      <c r="B66" s="27" t="str">
        <f aca="false">'Task Breakdown'!G125</f>
        <v>Define safety policy and severity thresholds</v>
      </c>
      <c r="C66" s="28"/>
      <c r="D66" s="28"/>
      <c r="E66" s="29" t="n">
        <f aca="false">'Task Breakdown'!I125</f>
        <v>0</v>
      </c>
      <c r="F66" s="29" t="n">
        <f aca="false">'Task Breakdown'!J125</f>
        <v>0</v>
      </c>
      <c r="G66" s="29" t="n">
        <f aca="false">'Task Breakdown'!K125</f>
        <v>0</v>
      </c>
      <c r="H66" s="29" t="n">
        <f aca="false">'Task Breakdown'!L125</f>
        <v>10</v>
      </c>
      <c r="I66" s="29" t="n">
        <f aca="false">'Task Breakdown'!M125</f>
        <v>10</v>
      </c>
      <c r="J66" s="29" t="n">
        <f aca="false">'Task Breakdown'!N125</f>
        <v>0</v>
      </c>
      <c r="K66" s="29" t="n">
        <f aca="false">'Task Breakdown'!O125</f>
        <v>0</v>
      </c>
      <c r="L66" s="29" t="n">
        <f aca="false">'Task Breakdown'!P125</f>
        <v>0</v>
      </c>
      <c r="M66" s="29" t="n">
        <f aca="false">'Task Breakdown'!Q125</f>
        <v>0</v>
      </c>
      <c r="N66" s="29" t="n">
        <f aca="false">'Task Breakdown'!R125</f>
        <v>0</v>
      </c>
      <c r="O66" s="29" t="n">
        <f aca="false">'Task Breakdown'!S125</f>
        <v>0</v>
      </c>
      <c r="P66" s="29" t="n">
        <f aca="false">'Task Breakdown'!T125</f>
        <v>0</v>
      </c>
      <c r="Q66" s="30" t="n">
        <f aca="false">SUM(E66:P66)</f>
        <v>20</v>
      </c>
      <c r="R66" s="31" t="n">
        <f aca="false">IF($Q$216&gt;0,Q66/$Q$216,0)</f>
        <v>0.00309358081979892</v>
      </c>
    </row>
    <row r="67" customFormat="false" ht="15" hidden="false" customHeight="false" outlineLevel="0" collapsed="false">
      <c r="A67" s="26" t="str">
        <f aca="false">'Task Breakdown'!A126</f>
        <v>PS-2.06.02</v>
      </c>
      <c r="B67" s="27" t="str">
        <f aca="false">'Task Breakdown'!G126</f>
        <v>Enable Azure AI Content Safety filters per model deployment</v>
      </c>
      <c r="C67" s="28"/>
      <c r="D67" s="28"/>
      <c r="E67" s="29" t="n">
        <f aca="false">'Task Breakdown'!I126</f>
        <v>0</v>
      </c>
      <c r="F67" s="29" t="n">
        <f aca="false">'Task Breakdown'!J126</f>
        <v>0</v>
      </c>
      <c r="G67" s="29" t="n">
        <f aca="false">'Task Breakdown'!K126</f>
        <v>0</v>
      </c>
      <c r="H67" s="29" t="n">
        <f aca="false">'Task Breakdown'!L126</f>
        <v>0</v>
      </c>
      <c r="I67" s="29" t="n">
        <f aca="false">'Task Breakdown'!M126</f>
        <v>0</v>
      </c>
      <c r="J67" s="29" t="n">
        <f aca="false">'Task Breakdown'!N126</f>
        <v>15</v>
      </c>
      <c r="K67" s="29" t="n">
        <f aca="false">'Task Breakdown'!O126</f>
        <v>0</v>
      </c>
      <c r="L67" s="29" t="n">
        <f aca="false">'Task Breakdown'!P126</f>
        <v>0</v>
      </c>
      <c r="M67" s="29" t="n">
        <f aca="false">'Task Breakdown'!Q126</f>
        <v>0</v>
      </c>
      <c r="N67" s="29" t="n">
        <f aca="false">'Task Breakdown'!R126</f>
        <v>0</v>
      </c>
      <c r="O67" s="29" t="n">
        <f aca="false">'Task Breakdown'!S126</f>
        <v>0</v>
      </c>
      <c r="P67" s="29" t="n">
        <f aca="false">'Task Breakdown'!T126</f>
        <v>0</v>
      </c>
      <c r="Q67" s="30" t="n">
        <f aca="false">SUM(E67:P67)</f>
        <v>15</v>
      </c>
      <c r="R67" s="31" t="n">
        <f aca="false">IF($Q$216&gt;0,Q67/$Q$216,0)</f>
        <v>0.00232018561484919</v>
      </c>
    </row>
    <row r="68" customFormat="false" ht="15" hidden="false" customHeight="false" outlineLevel="0" collapsed="false">
      <c r="A68" s="26" t="str">
        <f aca="false">'Task Breakdown'!A127</f>
        <v>PS-2.06.03</v>
      </c>
      <c r="B68" s="27" t="str">
        <f aca="false">'Task Breakdown'!G127</f>
        <v>Enable Prompt Shields for jailbreak and indirect injection</v>
      </c>
      <c r="C68" s="28"/>
      <c r="D68" s="28"/>
      <c r="E68" s="29" t="n">
        <f aca="false">'Task Breakdown'!I127</f>
        <v>0</v>
      </c>
      <c r="F68" s="29" t="n">
        <f aca="false">'Task Breakdown'!J127</f>
        <v>0</v>
      </c>
      <c r="G68" s="29" t="n">
        <f aca="false">'Task Breakdown'!K127</f>
        <v>0</v>
      </c>
      <c r="H68" s="29" t="n">
        <f aca="false">'Task Breakdown'!L127</f>
        <v>10</v>
      </c>
      <c r="I68" s="29" t="n">
        <f aca="false">'Task Breakdown'!M127</f>
        <v>0</v>
      </c>
      <c r="J68" s="29" t="n">
        <f aca="false">'Task Breakdown'!N127</f>
        <v>15</v>
      </c>
      <c r="K68" s="29" t="n">
        <f aca="false">'Task Breakdown'!O127</f>
        <v>0</v>
      </c>
      <c r="L68" s="29" t="n">
        <f aca="false">'Task Breakdown'!P127</f>
        <v>0</v>
      </c>
      <c r="M68" s="29" t="n">
        <f aca="false">'Task Breakdown'!Q127</f>
        <v>0</v>
      </c>
      <c r="N68" s="29" t="n">
        <f aca="false">'Task Breakdown'!R127</f>
        <v>0</v>
      </c>
      <c r="O68" s="29" t="n">
        <f aca="false">'Task Breakdown'!S127</f>
        <v>0</v>
      </c>
      <c r="P68" s="29" t="n">
        <f aca="false">'Task Breakdown'!T127</f>
        <v>0</v>
      </c>
      <c r="Q68" s="30" t="n">
        <f aca="false">SUM(E68:P68)</f>
        <v>25</v>
      </c>
      <c r="R68" s="31" t="n">
        <f aca="false">IF($Q$216&gt;0,Q68/$Q$216,0)</f>
        <v>0.00386697602474865</v>
      </c>
    </row>
    <row r="69" customFormat="false" ht="15" hidden="false" customHeight="false" outlineLevel="0" collapsed="false">
      <c r="A69" s="26" t="str">
        <f aca="false">'Task Breakdown'!A128</f>
        <v>PS-2.06.04</v>
      </c>
      <c r="B69" s="27" t="str">
        <f aca="false">'Task Breakdown'!G128</f>
        <v>Add PII detection and redaction on inputs and outputs</v>
      </c>
      <c r="C69" s="28"/>
      <c r="D69" s="28"/>
      <c r="E69" s="29" t="n">
        <f aca="false">'Task Breakdown'!I128</f>
        <v>0</v>
      </c>
      <c r="F69" s="29" t="n">
        <f aca="false">'Task Breakdown'!J128</f>
        <v>0</v>
      </c>
      <c r="G69" s="29" t="n">
        <f aca="false">'Task Breakdown'!K128</f>
        <v>0</v>
      </c>
      <c r="H69" s="29" t="n">
        <f aca="false">'Task Breakdown'!L128</f>
        <v>10</v>
      </c>
      <c r="I69" s="29" t="n">
        <f aca="false">'Task Breakdown'!M128</f>
        <v>0</v>
      </c>
      <c r="J69" s="29" t="n">
        <f aca="false">'Task Breakdown'!N128</f>
        <v>20</v>
      </c>
      <c r="K69" s="29" t="n">
        <f aca="false">'Task Breakdown'!O128</f>
        <v>0</v>
      </c>
      <c r="L69" s="29" t="n">
        <f aca="false">'Task Breakdown'!P128</f>
        <v>0</v>
      </c>
      <c r="M69" s="29" t="n">
        <f aca="false">'Task Breakdown'!Q128</f>
        <v>0</v>
      </c>
      <c r="N69" s="29" t="n">
        <f aca="false">'Task Breakdown'!R128</f>
        <v>0</v>
      </c>
      <c r="O69" s="29" t="n">
        <f aca="false">'Task Breakdown'!S128</f>
        <v>0</v>
      </c>
      <c r="P69" s="29" t="n">
        <f aca="false">'Task Breakdown'!T128</f>
        <v>0</v>
      </c>
      <c r="Q69" s="30" t="n">
        <f aca="false">SUM(E69:P69)</f>
        <v>30</v>
      </c>
      <c r="R69" s="31" t="n">
        <f aca="false">IF($Q$216&gt;0,Q69/$Q$216,0)</f>
        <v>0.00464037122969838</v>
      </c>
    </row>
    <row r="70" customFormat="false" ht="15" hidden="false" customHeight="false" outlineLevel="0" collapsed="false">
      <c r="A70" s="26" t="str">
        <f aca="false">'Task Breakdown'!A129</f>
        <v>PS-2.06.05</v>
      </c>
      <c r="B70" s="27" t="str">
        <f aca="false">'Task Breakdown'!G129</f>
        <v>Set up blocklists and safety incident logging</v>
      </c>
      <c r="C70" s="28"/>
      <c r="D70" s="28"/>
      <c r="E70" s="29" t="n">
        <f aca="false">'Task Breakdown'!I129</f>
        <v>0</v>
      </c>
      <c r="F70" s="29" t="n">
        <f aca="false">'Task Breakdown'!J129</f>
        <v>0</v>
      </c>
      <c r="G70" s="29" t="n">
        <f aca="false">'Task Breakdown'!K129</f>
        <v>0</v>
      </c>
      <c r="H70" s="29" t="n">
        <f aca="false">'Task Breakdown'!L129</f>
        <v>10</v>
      </c>
      <c r="I70" s="29" t="n">
        <f aca="false">'Task Breakdown'!M129</f>
        <v>10</v>
      </c>
      <c r="J70" s="29" t="n">
        <f aca="false">'Task Breakdown'!N129</f>
        <v>10</v>
      </c>
      <c r="K70" s="29" t="n">
        <f aca="false">'Task Breakdown'!O129</f>
        <v>0</v>
      </c>
      <c r="L70" s="29" t="n">
        <f aca="false">'Task Breakdown'!P129</f>
        <v>0</v>
      </c>
      <c r="M70" s="29" t="n">
        <f aca="false">'Task Breakdown'!Q129</f>
        <v>0</v>
      </c>
      <c r="N70" s="29" t="n">
        <f aca="false">'Task Breakdown'!R129</f>
        <v>0</v>
      </c>
      <c r="O70" s="29" t="n">
        <f aca="false">'Task Breakdown'!S129</f>
        <v>0</v>
      </c>
      <c r="P70" s="29" t="n">
        <f aca="false">'Task Breakdown'!T129</f>
        <v>0</v>
      </c>
      <c r="Q70" s="30" t="n">
        <f aca="false">SUM(E70:P70)</f>
        <v>30</v>
      </c>
      <c r="R70" s="31" t="n">
        <f aca="false">IF($Q$216&gt;0,Q70/$Q$216,0)</f>
        <v>0.00464037122969838</v>
      </c>
    </row>
    <row r="71" customFormat="false" ht="15" hidden="false" customHeight="false" outlineLevel="0" collapsed="false">
      <c r="A71" s="26" t="str">
        <f aca="false">'Task Breakdown'!A130</f>
        <v>PS-2.06.06</v>
      </c>
      <c r="B71" s="27" t="str">
        <f aca="false">'Task Breakdown'!G130</f>
        <v>Red-team testing</v>
      </c>
      <c r="C71" s="28"/>
      <c r="D71" s="28"/>
      <c r="E71" s="29" t="n">
        <f aca="false">'Task Breakdown'!I130</f>
        <v>0</v>
      </c>
      <c r="F71" s="29" t="n">
        <f aca="false">'Task Breakdown'!J130</f>
        <v>0</v>
      </c>
      <c r="G71" s="29" t="n">
        <f aca="false">'Task Breakdown'!K130</f>
        <v>0</v>
      </c>
      <c r="H71" s="29" t="n">
        <f aca="false">'Task Breakdown'!L130</f>
        <v>0</v>
      </c>
      <c r="I71" s="29" t="n">
        <f aca="false">'Task Breakdown'!M130</f>
        <v>0</v>
      </c>
      <c r="J71" s="29" t="n">
        <f aca="false">'Task Breakdown'!N130</f>
        <v>0</v>
      </c>
      <c r="K71" s="29" t="n">
        <f aca="false">'Task Breakdown'!O130</f>
        <v>0</v>
      </c>
      <c r="L71" s="29" t="n">
        <f aca="false">'Task Breakdown'!P130</f>
        <v>0</v>
      </c>
      <c r="M71" s="29" t="n">
        <f aca="false">'Task Breakdown'!Q130</f>
        <v>0</v>
      </c>
      <c r="N71" s="29" t="n">
        <f aca="false">'Task Breakdown'!R130</f>
        <v>0</v>
      </c>
      <c r="O71" s="29" t="n">
        <f aca="false">'Task Breakdown'!S130</f>
        <v>41</v>
      </c>
      <c r="P71" s="29" t="n">
        <f aca="false">'Task Breakdown'!T130</f>
        <v>0</v>
      </c>
      <c r="Q71" s="30" t="n">
        <f aca="false">SUM(E71:P71)</f>
        <v>41</v>
      </c>
      <c r="R71" s="31" t="n">
        <f aca="false">IF($Q$216&gt;0,Q71/$Q$216,0)</f>
        <v>0.00634184068058778</v>
      </c>
    </row>
    <row r="72" customFormat="false" ht="15" hidden="false" customHeight="false" outlineLevel="0" collapsed="false">
      <c r="A72" s="26" t="str">
        <f aca="false">'Task Breakdown'!A131</f>
        <v>PS-2.06.07</v>
      </c>
      <c r="B72" s="27" t="str">
        <f aca="false">'Task Breakdown'!G131</f>
        <v>Detailed design and design review</v>
      </c>
      <c r="C72" s="28"/>
      <c r="D72" s="28"/>
      <c r="E72" s="29" t="n">
        <f aca="false">'Task Breakdown'!I131</f>
        <v>0</v>
      </c>
      <c r="F72" s="29" t="n">
        <f aca="false">'Task Breakdown'!J131</f>
        <v>0</v>
      </c>
      <c r="G72" s="29" t="n">
        <f aca="false">'Task Breakdown'!K131</f>
        <v>0</v>
      </c>
      <c r="H72" s="29" t="n">
        <f aca="false">'Task Breakdown'!L131</f>
        <v>0</v>
      </c>
      <c r="I72" s="29" t="n">
        <f aca="false">'Task Breakdown'!M131</f>
        <v>10</v>
      </c>
      <c r="J72" s="29" t="n">
        <f aca="false">'Task Breakdown'!N131</f>
        <v>0</v>
      </c>
      <c r="K72" s="29" t="n">
        <f aca="false">'Task Breakdown'!O131</f>
        <v>0</v>
      </c>
      <c r="L72" s="29" t="n">
        <f aca="false">'Task Breakdown'!P131</f>
        <v>0</v>
      </c>
      <c r="M72" s="29" t="n">
        <f aca="false">'Task Breakdown'!Q131</f>
        <v>0</v>
      </c>
      <c r="N72" s="29" t="n">
        <f aca="false">'Task Breakdown'!R131</f>
        <v>0</v>
      </c>
      <c r="O72" s="29" t="n">
        <f aca="false">'Task Breakdown'!S131</f>
        <v>0</v>
      </c>
      <c r="P72" s="29" t="n">
        <f aca="false">'Task Breakdown'!T131</f>
        <v>0</v>
      </c>
      <c r="Q72" s="30" t="n">
        <f aca="false">SUM(E72:P72)</f>
        <v>10</v>
      </c>
      <c r="R72" s="31" t="n">
        <f aca="false">IF($Q$216&gt;0,Q72/$Q$216,0)</f>
        <v>0.00154679040989946</v>
      </c>
    </row>
    <row r="73" customFormat="false" ht="15" hidden="false" customHeight="false" outlineLevel="0" collapsed="false">
      <c r="A73" s="26" t="str">
        <f aca="false">'Task Breakdown'!A132</f>
        <v>PS-2.06.08</v>
      </c>
      <c r="B73" s="27" t="str">
        <f aca="false">'Task Breakdown'!G132</f>
        <v>Promote through dev / test / prod and release</v>
      </c>
      <c r="C73" s="28"/>
      <c r="D73" s="28"/>
      <c r="E73" s="29" t="n">
        <f aca="false">'Task Breakdown'!I132</f>
        <v>0</v>
      </c>
      <c r="F73" s="29" t="n">
        <f aca="false">'Task Breakdown'!J132</f>
        <v>0</v>
      </c>
      <c r="G73" s="29" t="n">
        <f aca="false">'Task Breakdown'!K132</f>
        <v>7</v>
      </c>
      <c r="H73" s="29" t="n">
        <f aca="false">'Task Breakdown'!L132</f>
        <v>0</v>
      </c>
      <c r="I73" s="29" t="n">
        <f aca="false">'Task Breakdown'!M132</f>
        <v>0</v>
      </c>
      <c r="J73" s="29" t="n">
        <f aca="false">'Task Breakdown'!N132</f>
        <v>0</v>
      </c>
      <c r="K73" s="29" t="n">
        <f aca="false">'Task Breakdown'!O132</f>
        <v>0</v>
      </c>
      <c r="L73" s="29" t="n">
        <f aca="false">'Task Breakdown'!P132</f>
        <v>0</v>
      </c>
      <c r="M73" s="29" t="n">
        <f aca="false">'Task Breakdown'!Q132</f>
        <v>0</v>
      </c>
      <c r="N73" s="29" t="n">
        <f aca="false">'Task Breakdown'!R132</f>
        <v>0</v>
      </c>
      <c r="O73" s="29" t="n">
        <f aca="false">'Task Breakdown'!S132</f>
        <v>0</v>
      </c>
      <c r="P73" s="29" t="n">
        <f aca="false">'Task Breakdown'!T132</f>
        <v>0</v>
      </c>
      <c r="Q73" s="30" t="n">
        <f aca="false">SUM(E73:P73)</f>
        <v>7</v>
      </c>
      <c r="R73" s="31" t="n">
        <f aca="false">IF($Q$216&gt;0,Q73/$Q$216,0)</f>
        <v>0.00108275328692962</v>
      </c>
    </row>
    <row r="74" customFormat="false" ht="15" hidden="false" customHeight="false" outlineLevel="0" collapsed="false">
      <c r="A74" s="26" t="str">
        <f aca="false">'Task Breakdown'!A133</f>
        <v>PS-2.06.09</v>
      </c>
      <c r="B74" s="27" t="str">
        <f aca="false">'Task Breakdown'!G133</f>
        <v>Documentation, runbook and knowledge transfer</v>
      </c>
      <c r="C74" s="28"/>
      <c r="D74" s="28"/>
      <c r="E74" s="29" t="n">
        <f aca="false">'Task Breakdown'!I133</f>
        <v>0</v>
      </c>
      <c r="F74" s="29" t="n">
        <f aca="false">'Task Breakdown'!J133</f>
        <v>0</v>
      </c>
      <c r="G74" s="29" t="n">
        <f aca="false">'Task Breakdown'!K133</f>
        <v>0</v>
      </c>
      <c r="H74" s="29" t="n">
        <f aca="false">'Task Breakdown'!L133</f>
        <v>0</v>
      </c>
      <c r="I74" s="29" t="n">
        <f aca="false">'Task Breakdown'!M133</f>
        <v>0</v>
      </c>
      <c r="J74" s="29" t="n">
        <f aca="false">'Task Breakdown'!N133</f>
        <v>7</v>
      </c>
      <c r="K74" s="29" t="n">
        <f aca="false">'Task Breakdown'!O133</f>
        <v>0</v>
      </c>
      <c r="L74" s="29" t="n">
        <f aca="false">'Task Breakdown'!P133</f>
        <v>0</v>
      </c>
      <c r="M74" s="29" t="n">
        <f aca="false">'Task Breakdown'!Q133</f>
        <v>0</v>
      </c>
      <c r="N74" s="29" t="n">
        <f aca="false">'Task Breakdown'!R133</f>
        <v>0</v>
      </c>
      <c r="O74" s="29" t="n">
        <f aca="false">'Task Breakdown'!S133</f>
        <v>0</v>
      </c>
      <c r="P74" s="29" t="n">
        <f aca="false">'Task Breakdown'!T133</f>
        <v>0</v>
      </c>
      <c r="Q74" s="30" t="n">
        <f aca="false">SUM(E74:P74)</f>
        <v>7</v>
      </c>
      <c r="R74" s="31" t="n">
        <f aca="false">IF($Q$216&gt;0,Q74/$Q$216,0)</f>
        <v>0.00108275328692962</v>
      </c>
    </row>
    <row r="75" customFormat="false" ht="15" hidden="false" customHeight="false" outlineLevel="0" collapsed="false">
      <c r="A75" s="26" t="str">
        <f aca="false">'Task Breakdown'!A134</f>
        <v>PS-2.06.10</v>
      </c>
      <c r="B75" s="27" t="str">
        <f aca="false">'Task Breakdown'!G134</f>
        <v>Defect fixing and rework after testing</v>
      </c>
      <c r="C75" s="28"/>
      <c r="D75" s="28"/>
      <c r="E75" s="29" t="n">
        <f aca="false">'Task Breakdown'!I134</f>
        <v>0</v>
      </c>
      <c r="F75" s="29" t="n">
        <f aca="false">'Task Breakdown'!J134</f>
        <v>0</v>
      </c>
      <c r="G75" s="29" t="n">
        <f aca="false">'Task Breakdown'!K134</f>
        <v>0</v>
      </c>
      <c r="H75" s="29" t="n">
        <f aca="false">'Task Breakdown'!L134</f>
        <v>0</v>
      </c>
      <c r="I75" s="29" t="n">
        <f aca="false">'Task Breakdown'!M134</f>
        <v>0</v>
      </c>
      <c r="J75" s="29" t="n">
        <f aca="false">'Task Breakdown'!N134</f>
        <v>13</v>
      </c>
      <c r="K75" s="29" t="n">
        <f aca="false">'Task Breakdown'!O134</f>
        <v>0</v>
      </c>
      <c r="L75" s="29" t="n">
        <f aca="false">'Task Breakdown'!P134</f>
        <v>0</v>
      </c>
      <c r="M75" s="29" t="n">
        <f aca="false">'Task Breakdown'!Q134</f>
        <v>0</v>
      </c>
      <c r="N75" s="29" t="n">
        <f aca="false">'Task Breakdown'!R134</f>
        <v>0</v>
      </c>
      <c r="O75" s="29" t="n">
        <f aca="false">'Task Breakdown'!S134</f>
        <v>0</v>
      </c>
      <c r="P75" s="29" t="n">
        <f aca="false">'Task Breakdown'!T134</f>
        <v>0</v>
      </c>
      <c r="Q75" s="30" t="n">
        <f aca="false">SUM(E75:P75)</f>
        <v>13</v>
      </c>
      <c r="R75" s="31" t="n">
        <f aca="false">IF($Q$216&gt;0,Q75/$Q$216,0)</f>
        <v>0.0020108275328693</v>
      </c>
    </row>
    <row r="76" customFormat="false" ht="15" hidden="false" customHeight="false" outlineLevel="0" collapsed="false">
      <c r="A76" s="9"/>
      <c r="B76" s="10" t="s">
        <v>119</v>
      </c>
      <c r="C76" s="9"/>
      <c r="D76" s="9"/>
      <c r="E76" s="32" t="n">
        <f aca="false">E6+E17+E30+E43+E55+E65</f>
        <v>0</v>
      </c>
      <c r="F76" s="32" t="n">
        <f aca="false">F6+F17+F30+F43+F55+F65</f>
        <v>0</v>
      </c>
      <c r="G76" s="32" t="n">
        <f aca="false">G6+G17+G30+G43+G55+G65</f>
        <v>165</v>
      </c>
      <c r="H76" s="32" t="n">
        <f aca="false">H6+H17+H30+H43+H55+H65</f>
        <v>80</v>
      </c>
      <c r="I76" s="32" t="n">
        <f aca="false">I6+I17+I30+I43+I55+I65</f>
        <v>318</v>
      </c>
      <c r="J76" s="32" t="n">
        <f aca="false">J6+J17+J30+J43+J55+J65</f>
        <v>909</v>
      </c>
      <c r="K76" s="32" t="n">
        <f aca="false">K6+K17+K30+K43+K55+K65</f>
        <v>20</v>
      </c>
      <c r="L76" s="32" t="n">
        <f aca="false">L6+L17+L30+L43+L55+L65</f>
        <v>0</v>
      </c>
      <c r="M76" s="32" t="n">
        <f aca="false">M6+M17+M30+M43+M55+M65</f>
        <v>74</v>
      </c>
      <c r="N76" s="32" t="n">
        <f aca="false">N6+N17+N30+N43+N55+N65</f>
        <v>16</v>
      </c>
      <c r="O76" s="32" t="n">
        <f aca="false">O6+O17+O30+O43+O55+O65</f>
        <v>210</v>
      </c>
      <c r="P76" s="32" t="n">
        <f aca="false">P6+P17+P30+P43+P55+P65</f>
        <v>0</v>
      </c>
      <c r="Q76" s="32" t="n">
        <f aca="false">Q6+Q17+Q30+Q43+Q55+Q65</f>
        <v>1792</v>
      </c>
      <c r="R76" s="33" t="n">
        <f aca="false">IF($Q$216&gt;0,Q76/$Q$216,0)</f>
        <v>0.277184841453983</v>
      </c>
    </row>
    <row r="78" customFormat="false" ht="15" hidden="false" customHeight="false" outlineLevel="0" collapsed="false">
      <c r="A78" s="21" t="s">
        <v>187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</row>
    <row r="79" customFormat="false" ht="15" hidden="false" customHeight="false" outlineLevel="0" collapsed="false">
      <c r="A79" s="23" t="s">
        <v>188</v>
      </c>
      <c r="B79" s="23" t="s">
        <v>189</v>
      </c>
      <c r="C79" s="23" t="s">
        <v>44</v>
      </c>
      <c r="D79" s="23" t="s">
        <v>190</v>
      </c>
      <c r="E79" s="24" t="n">
        <f aca="false">SUM(E80:E91)</f>
        <v>0</v>
      </c>
      <c r="F79" s="24" t="n">
        <f aca="false">SUM(F80:F91)</f>
        <v>0</v>
      </c>
      <c r="G79" s="24" t="n">
        <f aca="false">SUM(G80:G91)</f>
        <v>24</v>
      </c>
      <c r="H79" s="24" t="n">
        <f aca="false">SUM(H80:H91)</f>
        <v>0</v>
      </c>
      <c r="I79" s="24" t="n">
        <f aca="false">SUM(I80:I91)</f>
        <v>0</v>
      </c>
      <c r="J79" s="24" t="n">
        <f aca="false">SUM(J80:J91)</f>
        <v>0</v>
      </c>
      <c r="K79" s="24" t="n">
        <f aca="false">SUM(K80:K91)</f>
        <v>501</v>
      </c>
      <c r="L79" s="24" t="n">
        <f aca="false">SUM(L80:L91)</f>
        <v>64</v>
      </c>
      <c r="M79" s="24" t="n">
        <f aca="false">SUM(M80:M91)</f>
        <v>0</v>
      </c>
      <c r="N79" s="24" t="n">
        <f aca="false">SUM(N80:N91)</f>
        <v>57</v>
      </c>
      <c r="O79" s="24" t="n">
        <f aca="false">SUM(O80:O91)</f>
        <v>86</v>
      </c>
      <c r="P79" s="24" t="n">
        <f aca="false">SUM(P80:P91)</f>
        <v>0</v>
      </c>
      <c r="Q79" s="24" t="n">
        <f aca="false">SUM(Q80:Q91)</f>
        <v>732</v>
      </c>
      <c r="R79" s="25" t="n">
        <f aca="false">IF($Q$216&gt;0,Q79/$Q$216,0)</f>
        <v>0.11322505800464</v>
      </c>
    </row>
    <row r="80" customFormat="false" ht="15" hidden="false" customHeight="false" outlineLevel="0" collapsed="false">
      <c r="A80" s="26" t="str">
        <f aca="false">'Task Breakdown'!A302</f>
        <v>DR-2.01.01</v>
      </c>
      <c r="B80" s="27" t="str">
        <f aca="false">'Task Breakdown'!G302</f>
        <v>Define ingestion pattern per source (batch, CDC, event)</v>
      </c>
      <c r="C80" s="28"/>
      <c r="D80" s="28"/>
      <c r="E80" s="29" t="n">
        <f aca="false">'Task Breakdown'!I302</f>
        <v>0</v>
      </c>
      <c r="F80" s="29" t="n">
        <f aca="false">'Task Breakdown'!J302</f>
        <v>0</v>
      </c>
      <c r="G80" s="29" t="n">
        <f aca="false">'Task Breakdown'!K302</f>
        <v>0</v>
      </c>
      <c r="H80" s="29" t="n">
        <f aca="false">'Task Breakdown'!L302</f>
        <v>0</v>
      </c>
      <c r="I80" s="29" t="n">
        <f aca="false">'Task Breakdown'!M302</f>
        <v>0</v>
      </c>
      <c r="J80" s="29" t="n">
        <f aca="false">'Task Breakdown'!N302</f>
        <v>0</v>
      </c>
      <c r="K80" s="29" t="n">
        <f aca="false">'Task Breakdown'!O302</f>
        <v>29</v>
      </c>
      <c r="L80" s="29" t="n">
        <f aca="false">'Task Breakdown'!P302</f>
        <v>14</v>
      </c>
      <c r="M80" s="29" t="n">
        <f aca="false">'Task Breakdown'!Q302</f>
        <v>0</v>
      </c>
      <c r="N80" s="29" t="n">
        <f aca="false">'Task Breakdown'!R302</f>
        <v>0</v>
      </c>
      <c r="O80" s="29" t="n">
        <f aca="false">'Task Breakdown'!S302</f>
        <v>0</v>
      </c>
      <c r="P80" s="29" t="n">
        <f aca="false">'Task Breakdown'!T302</f>
        <v>0</v>
      </c>
      <c r="Q80" s="30" t="n">
        <f aca="false">SUM(E80:P80)</f>
        <v>43</v>
      </c>
      <c r="R80" s="31" t="n">
        <f aca="false">IF($Q$216&gt;0,Q80/$Q$216,0)</f>
        <v>0.00665119876256767</v>
      </c>
    </row>
    <row r="81" customFormat="false" ht="15" hidden="false" customHeight="false" outlineLevel="0" collapsed="false">
      <c r="A81" s="26" t="str">
        <f aca="false">'Task Breakdown'!A303</f>
        <v>DR-2.01.02</v>
      </c>
      <c r="B81" s="27" t="str">
        <f aca="false">'Task Breakdown'!G303</f>
        <v>Set up SAP connectivity (SAP Datasphere / BDC / ODP)</v>
      </c>
      <c r="C81" s="28"/>
      <c r="D81" s="28"/>
      <c r="E81" s="29" t="n">
        <f aca="false">'Task Breakdown'!I303</f>
        <v>0</v>
      </c>
      <c r="F81" s="29" t="n">
        <f aca="false">'Task Breakdown'!J303</f>
        <v>0</v>
      </c>
      <c r="G81" s="29" t="n">
        <f aca="false">'Task Breakdown'!K303</f>
        <v>0</v>
      </c>
      <c r="H81" s="29" t="n">
        <f aca="false">'Task Breakdown'!L303</f>
        <v>0</v>
      </c>
      <c r="I81" s="29" t="n">
        <f aca="false">'Task Breakdown'!M303</f>
        <v>0</v>
      </c>
      <c r="J81" s="29" t="n">
        <f aca="false">'Task Breakdown'!N303</f>
        <v>0</v>
      </c>
      <c r="K81" s="29" t="n">
        <f aca="false">'Task Breakdown'!O303</f>
        <v>86</v>
      </c>
      <c r="L81" s="29" t="n">
        <f aca="false">'Task Breakdown'!P303</f>
        <v>0</v>
      </c>
      <c r="M81" s="29" t="n">
        <f aca="false">'Task Breakdown'!Q303</f>
        <v>0</v>
      </c>
      <c r="N81" s="29" t="n">
        <f aca="false">'Task Breakdown'!R303</f>
        <v>0</v>
      </c>
      <c r="O81" s="29" t="n">
        <f aca="false">'Task Breakdown'!S303</f>
        <v>0</v>
      </c>
      <c r="P81" s="29" t="n">
        <f aca="false">'Task Breakdown'!T303</f>
        <v>0</v>
      </c>
      <c r="Q81" s="30" t="n">
        <f aca="false">SUM(E81:P81)</f>
        <v>86</v>
      </c>
      <c r="R81" s="31" t="n">
        <f aca="false">IF($Q$216&gt;0,Q81/$Q$216,0)</f>
        <v>0.0133023975251353</v>
      </c>
    </row>
    <row r="82" customFormat="false" ht="15" hidden="false" customHeight="false" outlineLevel="0" collapsed="false">
      <c r="A82" s="26" t="str">
        <f aca="false">'Task Breakdown'!A304</f>
        <v>DR-2.01.03</v>
      </c>
      <c r="B82" s="27" t="str">
        <f aca="false">'Task Breakdown'!G304</f>
        <v>Build SAP pipelines: materials, orders, maintenance, quality notifications</v>
      </c>
      <c r="C82" s="28"/>
      <c r="D82" s="28"/>
      <c r="E82" s="29" t="n">
        <f aca="false">'Task Breakdown'!I304</f>
        <v>0</v>
      </c>
      <c r="F82" s="29" t="n">
        <f aca="false">'Task Breakdown'!J304</f>
        <v>0</v>
      </c>
      <c r="G82" s="29" t="n">
        <f aca="false">'Task Breakdown'!K304</f>
        <v>0</v>
      </c>
      <c r="H82" s="29" t="n">
        <f aca="false">'Task Breakdown'!L304</f>
        <v>0</v>
      </c>
      <c r="I82" s="29" t="n">
        <f aca="false">'Task Breakdown'!M304</f>
        <v>0</v>
      </c>
      <c r="J82" s="29" t="n">
        <f aca="false">'Task Breakdown'!N304</f>
        <v>0</v>
      </c>
      <c r="K82" s="29" t="n">
        <f aca="false">'Task Breakdown'!O304</f>
        <v>114</v>
      </c>
      <c r="L82" s="29" t="n">
        <f aca="false">'Task Breakdown'!P304</f>
        <v>0</v>
      </c>
      <c r="M82" s="29" t="n">
        <f aca="false">'Task Breakdown'!Q304</f>
        <v>0</v>
      </c>
      <c r="N82" s="29" t="n">
        <f aca="false">'Task Breakdown'!R304</f>
        <v>0</v>
      </c>
      <c r="O82" s="29" t="n">
        <f aca="false">'Task Breakdown'!S304</f>
        <v>0</v>
      </c>
      <c r="P82" s="29" t="n">
        <f aca="false">'Task Breakdown'!T304</f>
        <v>0</v>
      </c>
      <c r="Q82" s="30" t="n">
        <f aca="false">SUM(E82:P82)</f>
        <v>114</v>
      </c>
      <c r="R82" s="31" t="n">
        <f aca="false">IF($Q$216&gt;0,Q82/$Q$216,0)</f>
        <v>0.0176334106728538</v>
      </c>
    </row>
    <row r="83" customFormat="false" ht="15" hidden="false" customHeight="false" outlineLevel="0" collapsed="false">
      <c r="A83" s="26" t="str">
        <f aca="false">'Task Breakdown'!A305</f>
        <v>DR-2.01.04</v>
      </c>
      <c r="B83" s="27" t="str">
        <f aca="false">'Task Breakdown'!G305</f>
        <v>Build MES pipelines: production, downtime, scrap</v>
      </c>
      <c r="C83" s="28"/>
      <c r="D83" s="28"/>
      <c r="E83" s="29" t="n">
        <f aca="false">'Task Breakdown'!I305</f>
        <v>0</v>
      </c>
      <c r="F83" s="29" t="n">
        <f aca="false">'Task Breakdown'!J305</f>
        <v>0</v>
      </c>
      <c r="G83" s="29" t="n">
        <f aca="false">'Task Breakdown'!K305</f>
        <v>0</v>
      </c>
      <c r="H83" s="29" t="n">
        <f aca="false">'Task Breakdown'!L305</f>
        <v>0</v>
      </c>
      <c r="I83" s="29" t="n">
        <f aca="false">'Task Breakdown'!M305</f>
        <v>0</v>
      </c>
      <c r="J83" s="29" t="n">
        <f aca="false">'Task Breakdown'!N305</f>
        <v>0</v>
      </c>
      <c r="K83" s="29" t="n">
        <f aca="false">'Task Breakdown'!O305</f>
        <v>86</v>
      </c>
      <c r="L83" s="29" t="n">
        <f aca="false">'Task Breakdown'!P305</f>
        <v>0</v>
      </c>
      <c r="M83" s="29" t="n">
        <f aca="false">'Task Breakdown'!Q305</f>
        <v>0</v>
      </c>
      <c r="N83" s="29" t="n">
        <f aca="false">'Task Breakdown'!R305</f>
        <v>0</v>
      </c>
      <c r="O83" s="29" t="n">
        <f aca="false">'Task Breakdown'!S305</f>
        <v>0</v>
      </c>
      <c r="P83" s="29" t="n">
        <f aca="false">'Task Breakdown'!T305</f>
        <v>0</v>
      </c>
      <c r="Q83" s="30" t="n">
        <f aca="false">SUM(E83:P83)</f>
        <v>86</v>
      </c>
      <c r="R83" s="31" t="n">
        <f aca="false">IF($Q$216&gt;0,Q83/$Q$216,0)</f>
        <v>0.0133023975251353</v>
      </c>
    </row>
    <row r="84" customFormat="false" ht="15" hidden="false" customHeight="false" outlineLevel="0" collapsed="false">
      <c r="A84" s="26" t="str">
        <f aca="false">'Task Breakdown'!A306</f>
        <v>DR-2.01.05</v>
      </c>
      <c r="B84" s="27" t="str">
        <f aca="false">'Task Breakdown'!G306</f>
        <v>Build SharePoint and file-share connectors for documents</v>
      </c>
      <c r="C84" s="28"/>
      <c r="D84" s="28"/>
      <c r="E84" s="29" t="n">
        <f aca="false">'Task Breakdown'!I306</f>
        <v>0</v>
      </c>
      <c r="F84" s="29" t="n">
        <f aca="false">'Task Breakdown'!J306</f>
        <v>0</v>
      </c>
      <c r="G84" s="29" t="n">
        <f aca="false">'Task Breakdown'!K306</f>
        <v>0</v>
      </c>
      <c r="H84" s="29" t="n">
        <f aca="false">'Task Breakdown'!L306</f>
        <v>0</v>
      </c>
      <c r="I84" s="29" t="n">
        <f aca="false">'Task Breakdown'!M306</f>
        <v>0</v>
      </c>
      <c r="J84" s="29" t="n">
        <f aca="false">'Task Breakdown'!N306</f>
        <v>0</v>
      </c>
      <c r="K84" s="29" t="n">
        <f aca="false">'Task Breakdown'!O306</f>
        <v>57</v>
      </c>
      <c r="L84" s="29" t="n">
        <f aca="false">'Task Breakdown'!P306</f>
        <v>0</v>
      </c>
      <c r="M84" s="29" t="n">
        <f aca="false">'Task Breakdown'!Q306</f>
        <v>0</v>
      </c>
      <c r="N84" s="29" t="n">
        <f aca="false">'Task Breakdown'!R306</f>
        <v>0</v>
      </c>
      <c r="O84" s="29" t="n">
        <f aca="false">'Task Breakdown'!S306</f>
        <v>0</v>
      </c>
      <c r="P84" s="29" t="n">
        <f aca="false">'Task Breakdown'!T306</f>
        <v>0</v>
      </c>
      <c r="Q84" s="30" t="n">
        <f aca="false">SUM(E84:P84)</f>
        <v>57</v>
      </c>
      <c r="R84" s="31" t="n">
        <f aca="false">IF($Q$216&gt;0,Q84/$Q$216,0)</f>
        <v>0.00881670533642691</v>
      </c>
    </row>
    <row r="85" customFormat="false" ht="15" hidden="false" customHeight="false" outlineLevel="0" collapsed="false">
      <c r="A85" s="26" t="str">
        <f aca="false">'Task Breakdown'!A307</f>
        <v>DR-2.01.06</v>
      </c>
      <c r="B85" s="27" t="str">
        <f aca="false">'Task Breakdown'!G307</f>
        <v>Map business rules and transformations with users</v>
      </c>
      <c r="C85" s="28"/>
      <c r="D85" s="28"/>
      <c r="E85" s="29" t="n">
        <f aca="false">'Task Breakdown'!I307</f>
        <v>0</v>
      </c>
      <c r="F85" s="29" t="n">
        <f aca="false">'Task Breakdown'!J307</f>
        <v>0</v>
      </c>
      <c r="G85" s="29" t="n">
        <f aca="false">'Task Breakdown'!K307</f>
        <v>0</v>
      </c>
      <c r="H85" s="29" t="n">
        <f aca="false">'Task Breakdown'!L307</f>
        <v>0</v>
      </c>
      <c r="I85" s="29" t="n">
        <f aca="false">'Task Breakdown'!M307</f>
        <v>0</v>
      </c>
      <c r="J85" s="29" t="n">
        <f aca="false">'Task Breakdown'!N307</f>
        <v>0</v>
      </c>
      <c r="K85" s="29" t="n">
        <f aca="false">'Task Breakdown'!O307</f>
        <v>0</v>
      </c>
      <c r="L85" s="29" t="n">
        <f aca="false">'Task Breakdown'!P307</f>
        <v>14</v>
      </c>
      <c r="M85" s="29" t="n">
        <f aca="false">'Task Breakdown'!Q307</f>
        <v>0</v>
      </c>
      <c r="N85" s="29" t="n">
        <f aca="false">'Task Breakdown'!R307</f>
        <v>57</v>
      </c>
      <c r="O85" s="29" t="n">
        <f aca="false">'Task Breakdown'!S307</f>
        <v>0</v>
      </c>
      <c r="P85" s="29" t="n">
        <f aca="false">'Task Breakdown'!T307</f>
        <v>0</v>
      </c>
      <c r="Q85" s="30" t="n">
        <f aca="false">SUM(E85:P85)</f>
        <v>71</v>
      </c>
      <c r="R85" s="31" t="n">
        <f aca="false">IF($Q$216&gt;0,Q85/$Q$216,0)</f>
        <v>0.0109822119102862</v>
      </c>
    </row>
    <row r="86" customFormat="false" ht="15" hidden="false" customHeight="false" outlineLevel="0" collapsed="false">
      <c r="A86" s="26" t="str">
        <f aca="false">'Task Breakdown'!A308</f>
        <v>DR-2.01.07</v>
      </c>
      <c r="B86" s="27" t="str">
        <f aca="false">'Task Breakdown'!G308</f>
        <v>Add scheduling, alerting and error handling</v>
      </c>
      <c r="C86" s="28"/>
      <c r="D86" s="28"/>
      <c r="E86" s="29" t="n">
        <f aca="false">'Task Breakdown'!I308</f>
        <v>0</v>
      </c>
      <c r="F86" s="29" t="n">
        <f aca="false">'Task Breakdown'!J308</f>
        <v>0</v>
      </c>
      <c r="G86" s="29" t="n">
        <f aca="false">'Task Breakdown'!K308</f>
        <v>0</v>
      </c>
      <c r="H86" s="29" t="n">
        <f aca="false">'Task Breakdown'!L308</f>
        <v>0</v>
      </c>
      <c r="I86" s="29" t="n">
        <f aca="false">'Task Breakdown'!M308</f>
        <v>0</v>
      </c>
      <c r="J86" s="29" t="n">
        <f aca="false">'Task Breakdown'!N308</f>
        <v>0</v>
      </c>
      <c r="K86" s="29" t="n">
        <f aca="false">'Task Breakdown'!O308</f>
        <v>57</v>
      </c>
      <c r="L86" s="29" t="n">
        <f aca="false">'Task Breakdown'!P308</f>
        <v>0</v>
      </c>
      <c r="M86" s="29" t="n">
        <f aca="false">'Task Breakdown'!Q308</f>
        <v>0</v>
      </c>
      <c r="N86" s="29" t="n">
        <f aca="false">'Task Breakdown'!R308</f>
        <v>0</v>
      </c>
      <c r="O86" s="29" t="n">
        <f aca="false">'Task Breakdown'!S308</f>
        <v>0</v>
      </c>
      <c r="P86" s="29" t="n">
        <f aca="false">'Task Breakdown'!T308</f>
        <v>0</v>
      </c>
      <c r="Q86" s="30" t="n">
        <f aca="false">SUM(E86:P86)</f>
        <v>57</v>
      </c>
      <c r="R86" s="31" t="n">
        <f aca="false">IF($Q$216&gt;0,Q86/$Q$216,0)</f>
        <v>0.00881670533642691</v>
      </c>
    </row>
    <row r="87" customFormat="false" ht="15" hidden="false" customHeight="false" outlineLevel="0" collapsed="false">
      <c r="A87" s="26" t="str">
        <f aca="false">'Task Breakdown'!A309</f>
        <v>DR-2.01.08</v>
      </c>
      <c r="B87" s="27" t="str">
        <f aca="false">'Task Breakdown'!G309</f>
        <v>Reconciliation testing against source systems</v>
      </c>
      <c r="C87" s="28"/>
      <c r="D87" s="28"/>
      <c r="E87" s="29" t="n">
        <f aca="false">'Task Breakdown'!I309</f>
        <v>0</v>
      </c>
      <c r="F87" s="29" t="n">
        <f aca="false">'Task Breakdown'!J309</f>
        <v>0</v>
      </c>
      <c r="G87" s="29" t="n">
        <f aca="false">'Task Breakdown'!K309</f>
        <v>0</v>
      </c>
      <c r="H87" s="29" t="n">
        <f aca="false">'Task Breakdown'!L309</f>
        <v>0</v>
      </c>
      <c r="I87" s="29" t="n">
        <f aca="false">'Task Breakdown'!M309</f>
        <v>0</v>
      </c>
      <c r="J87" s="29" t="n">
        <f aca="false">'Task Breakdown'!N309</f>
        <v>0</v>
      </c>
      <c r="K87" s="29" t="n">
        <f aca="false">'Task Breakdown'!O309</f>
        <v>0</v>
      </c>
      <c r="L87" s="29" t="n">
        <f aca="false">'Task Breakdown'!P309</f>
        <v>0</v>
      </c>
      <c r="M87" s="29" t="n">
        <f aca="false">'Task Breakdown'!Q309</f>
        <v>0</v>
      </c>
      <c r="N87" s="29" t="n">
        <f aca="false">'Task Breakdown'!R309</f>
        <v>0</v>
      </c>
      <c r="O87" s="29" t="n">
        <f aca="false">'Task Breakdown'!S309</f>
        <v>86</v>
      </c>
      <c r="P87" s="29" t="n">
        <f aca="false">'Task Breakdown'!T309</f>
        <v>0</v>
      </c>
      <c r="Q87" s="30" t="n">
        <f aca="false">SUM(E87:P87)</f>
        <v>86</v>
      </c>
      <c r="R87" s="31" t="n">
        <f aca="false">IF($Q$216&gt;0,Q87/$Q$216,0)</f>
        <v>0.0133023975251353</v>
      </c>
    </row>
    <row r="88" customFormat="false" ht="15" hidden="false" customHeight="false" outlineLevel="0" collapsed="false">
      <c r="A88" s="26" t="str">
        <f aca="false">'Task Breakdown'!A310</f>
        <v>DR-2.01.09</v>
      </c>
      <c r="B88" s="27" t="str">
        <f aca="false">'Task Breakdown'!G310</f>
        <v>Detailed design and design review</v>
      </c>
      <c r="C88" s="28"/>
      <c r="D88" s="28"/>
      <c r="E88" s="29" t="n">
        <f aca="false">'Task Breakdown'!I310</f>
        <v>0</v>
      </c>
      <c r="F88" s="29" t="n">
        <f aca="false">'Task Breakdown'!J310</f>
        <v>0</v>
      </c>
      <c r="G88" s="29" t="n">
        <f aca="false">'Task Breakdown'!K310</f>
        <v>0</v>
      </c>
      <c r="H88" s="29" t="n">
        <f aca="false">'Task Breakdown'!L310</f>
        <v>0</v>
      </c>
      <c r="I88" s="29" t="n">
        <f aca="false">'Task Breakdown'!M310</f>
        <v>0</v>
      </c>
      <c r="J88" s="29" t="n">
        <f aca="false">'Task Breakdown'!N310</f>
        <v>0</v>
      </c>
      <c r="K88" s="29" t="n">
        <f aca="false">'Task Breakdown'!O310</f>
        <v>0</v>
      </c>
      <c r="L88" s="29" t="n">
        <f aca="false">'Task Breakdown'!P310</f>
        <v>36</v>
      </c>
      <c r="M88" s="29" t="n">
        <f aca="false">'Task Breakdown'!Q310</f>
        <v>0</v>
      </c>
      <c r="N88" s="29" t="n">
        <f aca="false">'Task Breakdown'!R310</f>
        <v>0</v>
      </c>
      <c r="O88" s="29" t="n">
        <f aca="false">'Task Breakdown'!S310</f>
        <v>0</v>
      </c>
      <c r="P88" s="29" t="n">
        <f aca="false">'Task Breakdown'!T310</f>
        <v>0</v>
      </c>
      <c r="Q88" s="30" t="n">
        <f aca="false">SUM(E88:P88)</f>
        <v>36</v>
      </c>
      <c r="R88" s="31" t="n">
        <f aca="false">IF($Q$216&gt;0,Q88/$Q$216,0)</f>
        <v>0.00556844547563805</v>
      </c>
    </row>
    <row r="89" customFormat="false" ht="15" hidden="false" customHeight="false" outlineLevel="0" collapsed="false">
      <c r="A89" s="26" t="str">
        <f aca="false">'Task Breakdown'!A311</f>
        <v>DR-2.01.10</v>
      </c>
      <c r="B89" s="27" t="str">
        <f aca="false">'Task Breakdown'!G311</f>
        <v>Promote through dev / test / prod and release</v>
      </c>
      <c r="C89" s="28"/>
      <c r="D89" s="28"/>
      <c r="E89" s="29" t="n">
        <f aca="false">'Task Breakdown'!I311</f>
        <v>0</v>
      </c>
      <c r="F89" s="29" t="n">
        <f aca="false">'Task Breakdown'!J311</f>
        <v>0</v>
      </c>
      <c r="G89" s="29" t="n">
        <f aca="false">'Task Breakdown'!K311</f>
        <v>24</v>
      </c>
      <c r="H89" s="29" t="n">
        <f aca="false">'Task Breakdown'!L311</f>
        <v>0</v>
      </c>
      <c r="I89" s="29" t="n">
        <f aca="false">'Task Breakdown'!M311</f>
        <v>0</v>
      </c>
      <c r="J89" s="29" t="n">
        <f aca="false">'Task Breakdown'!N311</f>
        <v>0</v>
      </c>
      <c r="K89" s="29" t="n">
        <f aca="false">'Task Breakdown'!O311</f>
        <v>0</v>
      </c>
      <c r="L89" s="29" t="n">
        <f aca="false">'Task Breakdown'!P311</f>
        <v>0</v>
      </c>
      <c r="M89" s="29" t="n">
        <f aca="false">'Task Breakdown'!Q311</f>
        <v>0</v>
      </c>
      <c r="N89" s="29" t="n">
        <f aca="false">'Task Breakdown'!R311</f>
        <v>0</v>
      </c>
      <c r="O89" s="29" t="n">
        <f aca="false">'Task Breakdown'!S311</f>
        <v>0</v>
      </c>
      <c r="P89" s="29" t="n">
        <f aca="false">'Task Breakdown'!T311</f>
        <v>0</v>
      </c>
      <c r="Q89" s="30" t="n">
        <f aca="false">SUM(E89:P89)</f>
        <v>24</v>
      </c>
      <c r="R89" s="31" t="n">
        <f aca="false">IF($Q$216&gt;0,Q89/$Q$216,0)</f>
        <v>0.0037122969837587</v>
      </c>
    </row>
    <row r="90" customFormat="false" ht="15" hidden="false" customHeight="false" outlineLevel="0" collapsed="false">
      <c r="A90" s="26" t="str">
        <f aca="false">'Task Breakdown'!A312</f>
        <v>DR-2.01.11</v>
      </c>
      <c r="B90" s="27" t="str">
        <f aca="false">'Task Breakdown'!G312</f>
        <v>Documentation, runbook and knowledge transfer</v>
      </c>
      <c r="C90" s="28"/>
      <c r="D90" s="28"/>
      <c r="E90" s="29" t="n">
        <f aca="false">'Task Breakdown'!I312</f>
        <v>0</v>
      </c>
      <c r="F90" s="29" t="n">
        <f aca="false">'Task Breakdown'!J312</f>
        <v>0</v>
      </c>
      <c r="G90" s="29" t="n">
        <f aca="false">'Task Breakdown'!K312</f>
        <v>0</v>
      </c>
      <c r="H90" s="29" t="n">
        <f aca="false">'Task Breakdown'!L312</f>
        <v>0</v>
      </c>
      <c r="I90" s="29" t="n">
        <f aca="false">'Task Breakdown'!M312</f>
        <v>0</v>
      </c>
      <c r="J90" s="29" t="n">
        <f aca="false">'Task Breakdown'!N312</f>
        <v>0</v>
      </c>
      <c r="K90" s="29" t="n">
        <f aca="false">'Task Breakdown'!O312</f>
        <v>24</v>
      </c>
      <c r="L90" s="29" t="n">
        <f aca="false">'Task Breakdown'!P312</f>
        <v>0</v>
      </c>
      <c r="M90" s="29" t="n">
        <f aca="false">'Task Breakdown'!Q312</f>
        <v>0</v>
      </c>
      <c r="N90" s="29" t="n">
        <f aca="false">'Task Breakdown'!R312</f>
        <v>0</v>
      </c>
      <c r="O90" s="29" t="n">
        <f aca="false">'Task Breakdown'!S312</f>
        <v>0</v>
      </c>
      <c r="P90" s="29" t="n">
        <f aca="false">'Task Breakdown'!T312</f>
        <v>0</v>
      </c>
      <c r="Q90" s="30" t="n">
        <f aca="false">SUM(E90:P90)</f>
        <v>24</v>
      </c>
      <c r="R90" s="31" t="n">
        <f aca="false">IF($Q$216&gt;0,Q90/$Q$216,0)</f>
        <v>0.0037122969837587</v>
      </c>
    </row>
    <row r="91" customFormat="false" ht="15" hidden="false" customHeight="false" outlineLevel="0" collapsed="false">
      <c r="A91" s="26" t="str">
        <f aca="false">'Task Breakdown'!A313</f>
        <v>DR-2.01.12</v>
      </c>
      <c r="B91" s="27" t="str">
        <f aca="false">'Task Breakdown'!G313</f>
        <v>Defect fixing and rework after testing</v>
      </c>
      <c r="C91" s="28"/>
      <c r="D91" s="28"/>
      <c r="E91" s="29" t="n">
        <f aca="false">'Task Breakdown'!I313</f>
        <v>0</v>
      </c>
      <c r="F91" s="29" t="n">
        <f aca="false">'Task Breakdown'!J313</f>
        <v>0</v>
      </c>
      <c r="G91" s="29" t="n">
        <f aca="false">'Task Breakdown'!K313</f>
        <v>0</v>
      </c>
      <c r="H91" s="29" t="n">
        <f aca="false">'Task Breakdown'!L313</f>
        <v>0</v>
      </c>
      <c r="I91" s="29" t="n">
        <f aca="false">'Task Breakdown'!M313</f>
        <v>0</v>
      </c>
      <c r="J91" s="29" t="n">
        <f aca="false">'Task Breakdown'!N313</f>
        <v>0</v>
      </c>
      <c r="K91" s="29" t="n">
        <f aca="false">'Task Breakdown'!O313</f>
        <v>48</v>
      </c>
      <c r="L91" s="29" t="n">
        <f aca="false">'Task Breakdown'!P313</f>
        <v>0</v>
      </c>
      <c r="M91" s="29" t="n">
        <f aca="false">'Task Breakdown'!Q313</f>
        <v>0</v>
      </c>
      <c r="N91" s="29" t="n">
        <f aca="false">'Task Breakdown'!R313</f>
        <v>0</v>
      </c>
      <c r="O91" s="29" t="n">
        <f aca="false">'Task Breakdown'!S313</f>
        <v>0</v>
      </c>
      <c r="P91" s="29" t="n">
        <f aca="false">'Task Breakdown'!T313</f>
        <v>0</v>
      </c>
      <c r="Q91" s="30" t="n">
        <f aca="false">SUM(E91:P91)</f>
        <v>48</v>
      </c>
      <c r="R91" s="31" t="n">
        <f aca="false">IF($Q$216&gt;0,Q91/$Q$216,0)</f>
        <v>0.0074245939675174</v>
      </c>
    </row>
    <row r="92" customFormat="false" ht="15" hidden="false" customHeight="false" outlineLevel="0" collapsed="false">
      <c r="A92" s="23" t="s">
        <v>191</v>
      </c>
      <c r="B92" s="23" t="s">
        <v>192</v>
      </c>
      <c r="C92" s="23" t="s">
        <v>43</v>
      </c>
      <c r="D92" s="23" t="s">
        <v>193</v>
      </c>
      <c r="E92" s="24" t="n">
        <f aca="false">SUM(E93:E103)</f>
        <v>0</v>
      </c>
      <c r="F92" s="24" t="n">
        <f aca="false">SUM(F93:F103)</f>
        <v>0</v>
      </c>
      <c r="G92" s="24" t="n">
        <f aca="false">SUM(G93:G103)</f>
        <v>12</v>
      </c>
      <c r="H92" s="24" t="n">
        <f aca="false">SUM(H93:H103)</f>
        <v>0</v>
      </c>
      <c r="I92" s="24" t="n">
        <f aca="false">SUM(I93:I103)</f>
        <v>18</v>
      </c>
      <c r="J92" s="24" t="n">
        <f aca="false">SUM(J93:J103)</f>
        <v>159</v>
      </c>
      <c r="K92" s="24" t="n">
        <f aca="false">SUM(K93:K103)</f>
        <v>123</v>
      </c>
      <c r="L92" s="24" t="n">
        <f aca="false">SUM(L93:L103)</f>
        <v>0</v>
      </c>
      <c r="M92" s="24" t="n">
        <f aca="false">SUM(M93:M103)</f>
        <v>0</v>
      </c>
      <c r="N92" s="24" t="n">
        <f aca="false">SUM(N93:N103)</f>
        <v>0</v>
      </c>
      <c r="O92" s="24" t="n">
        <f aca="false">SUM(O93:O103)</f>
        <v>49</v>
      </c>
      <c r="P92" s="24" t="n">
        <f aca="false">SUM(P93:P103)</f>
        <v>0</v>
      </c>
      <c r="Q92" s="24" t="n">
        <f aca="false">SUM(Q93:Q103)</f>
        <v>361</v>
      </c>
      <c r="R92" s="25" t="n">
        <f aca="false">IF($Q$216&gt;0,Q92/$Q$216,0)</f>
        <v>0.0558391337973705</v>
      </c>
    </row>
    <row r="93" customFormat="false" ht="15" hidden="false" customHeight="false" outlineLevel="0" collapsed="false">
      <c r="A93" s="26" t="str">
        <f aca="false">'Task Breakdown'!A314</f>
        <v>DR-2.02.01</v>
      </c>
      <c r="B93" s="27" t="str">
        <f aca="false">'Task Breakdown'!G314</f>
        <v>Profile document types (PDF specs, scans, Excel, drawings)</v>
      </c>
      <c r="C93" s="28"/>
      <c r="D93" s="28"/>
      <c r="E93" s="29" t="n">
        <f aca="false">'Task Breakdown'!I314</f>
        <v>0</v>
      </c>
      <c r="F93" s="29" t="n">
        <f aca="false">'Task Breakdown'!J314</f>
        <v>0</v>
      </c>
      <c r="G93" s="29" t="n">
        <f aca="false">'Task Breakdown'!K314</f>
        <v>0</v>
      </c>
      <c r="H93" s="29" t="n">
        <f aca="false">'Task Breakdown'!L314</f>
        <v>0</v>
      </c>
      <c r="I93" s="29" t="n">
        <f aca="false">'Task Breakdown'!M314</f>
        <v>0</v>
      </c>
      <c r="J93" s="29" t="n">
        <f aca="false">'Task Breakdown'!N314</f>
        <v>12</v>
      </c>
      <c r="K93" s="29" t="n">
        <f aca="false">'Task Breakdown'!O314</f>
        <v>12</v>
      </c>
      <c r="L93" s="29" t="n">
        <f aca="false">'Task Breakdown'!P314</f>
        <v>0</v>
      </c>
      <c r="M93" s="29" t="n">
        <f aca="false">'Task Breakdown'!Q314</f>
        <v>0</v>
      </c>
      <c r="N93" s="29" t="n">
        <f aca="false">'Task Breakdown'!R314</f>
        <v>0</v>
      </c>
      <c r="O93" s="29" t="n">
        <f aca="false">'Task Breakdown'!S314</f>
        <v>0</v>
      </c>
      <c r="P93" s="29" t="n">
        <f aca="false">'Task Breakdown'!T314</f>
        <v>0</v>
      </c>
      <c r="Q93" s="30" t="n">
        <f aca="false">SUM(E93:P93)</f>
        <v>24</v>
      </c>
      <c r="R93" s="31" t="n">
        <f aca="false">IF($Q$216&gt;0,Q93/$Q$216,0)</f>
        <v>0.0037122969837587</v>
      </c>
    </row>
    <row r="94" customFormat="false" ht="15" hidden="false" customHeight="false" outlineLevel="0" collapsed="false">
      <c r="A94" s="26" t="str">
        <f aca="false">'Task Breakdown'!A315</f>
        <v>DR-2.02.02</v>
      </c>
      <c r="B94" s="27" t="str">
        <f aca="false">'Task Breakdown'!G315</f>
        <v>Set up Azure AI Document Intelligence for OCR and layout</v>
      </c>
      <c r="C94" s="28"/>
      <c r="D94" s="28"/>
      <c r="E94" s="29" t="n">
        <f aca="false">'Task Breakdown'!I315</f>
        <v>0</v>
      </c>
      <c r="F94" s="29" t="n">
        <f aca="false">'Task Breakdown'!J315</f>
        <v>0</v>
      </c>
      <c r="G94" s="29" t="n">
        <f aca="false">'Task Breakdown'!K315</f>
        <v>0</v>
      </c>
      <c r="H94" s="29" t="n">
        <f aca="false">'Task Breakdown'!L315</f>
        <v>0</v>
      </c>
      <c r="I94" s="29" t="n">
        <f aca="false">'Task Breakdown'!M315</f>
        <v>0</v>
      </c>
      <c r="J94" s="29" t="n">
        <f aca="false">'Task Breakdown'!N315</f>
        <v>25</v>
      </c>
      <c r="K94" s="29" t="n">
        <f aca="false">'Task Breakdown'!O315</f>
        <v>0</v>
      </c>
      <c r="L94" s="29" t="n">
        <f aca="false">'Task Breakdown'!P315</f>
        <v>0</v>
      </c>
      <c r="M94" s="29" t="n">
        <f aca="false">'Task Breakdown'!Q315</f>
        <v>0</v>
      </c>
      <c r="N94" s="29" t="n">
        <f aca="false">'Task Breakdown'!R315</f>
        <v>0</v>
      </c>
      <c r="O94" s="29" t="n">
        <f aca="false">'Task Breakdown'!S315</f>
        <v>0</v>
      </c>
      <c r="P94" s="29" t="n">
        <f aca="false">'Task Breakdown'!T315</f>
        <v>0</v>
      </c>
      <c r="Q94" s="30" t="n">
        <f aca="false">SUM(E94:P94)</f>
        <v>25</v>
      </c>
      <c r="R94" s="31" t="n">
        <f aca="false">IF($Q$216&gt;0,Q94/$Q$216,0)</f>
        <v>0.00386697602474865</v>
      </c>
    </row>
    <row r="95" customFormat="false" ht="15" hidden="false" customHeight="false" outlineLevel="0" collapsed="false">
      <c r="A95" s="26" t="str">
        <f aca="false">'Task Breakdown'!A316</f>
        <v>DR-2.02.03</v>
      </c>
      <c r="B95" s="27" t="str">
        <f aca="false">'Task Breakdown'!G316</f>
        <v>Build parsing for tables, headers and sections</v>
      </c>
      <c r="C95" s="28"/>
      <c r="D95" s="28"/>
      <c r="E95" s="29" t="n">
        <f aca="false">'Task Breakdown'!I316</f>
        <v>0</v>
      </c>
      <c r="F95" s="29" t="n">
        <f aca="false">'Task Breakdown'!J316</f>
        <v>0</v>
      </c>
      <c r="G95" s="29" t="n">
        <f aca="false">'Task Breakdown'!K316</f>
        <v>0</v>
      </c>
      <c r="H95" s="29" t="n">
        <f aca="false">'Task Breakdown'!L316</f>
        <v>0</v>
      </c>
      <c r="I95" s="29" t="n">
        <f aca="false">'Task Breakdown'!M316</f>
        <v>0</v>
      </c>
      <c r="J95" s="29" t="n">
        <f aca="false">'Task Breakdown'!N316</f>
        <v>37</v>
      </c>
      <c r="K95" s="29" t="n">
        <f aca="false">'Task Breakdown'!O316</f>
        <v>25</v>
      </c>
      <c r="L95" s="29" t="n">
        <f aca="false">'Task Breakdown'!P316</f>
        <v>0</v>
      </c>
      <c r="M95" s="29" t="n">
        <f aca="false">'Task Breakdown'!Q316</f>
        <v>0</v>
      </c>
      <c r="N95" s="29" t="n">
        <f aca="false">'Task Breakdown'!R316</f>
        <v>0</v>
      </c>
      <c r="O95" s="29" t="n">
        <f aca="false">'Task Breakdown'!S316</f>
        <v>0</v>
      </c>
      <c r="P95" s="29" t="n">
        <f aca="false">'Task Breakdown'!T316</f>
        <v>0</v>
      </c>
      <c r="Q95" s="30" t="n">
        <f aca="false">SUM(E95:P95)</f>
        <v>62</v>
      </c>
      <c r="R95" s="31" t="n">
        <f aca="false">IF($Q$216&gt;0,Q95/$Q$216,0)</f>
        <v>0.00959010054137664</v>
      </c>
    </row>
    <row r="96" customFormat="false" ht="15" hidden="false" customHeight="false" outlineLevel="0" collapsed="false">
      <c r="A96" s="26" t="str">
        <f aca="false">'Task Breakdown'!A317</f>
        <v>DR-2.02.04</v>
      </c>
      <c r="B96" s="27" t="str">
        <f aca="false">'Task Breakdown'!G317</f>
        <v>Implement chunking strategy (structure-aware, size, overlap)</v>
      </c>
      <c r="C96" s="28"/>
      <c r="D96" s="28"/>
      <c r="E96" s="29" t="n">
        <f aca="false">'Task Breakdown'!I317</f>
        <v>0</v>
      </c>
      <c r="F96" s="29" t="n">
        <f aca="false">'Task Breakdown'!J317</f>
        <v>0</v>
      </c>
      <c r="G96" s="29" t="n">
        <f aca="false">'Task Breakdown'!K317</f>
        <v>0</v>
      </c>
      <c r="H96" s="29" t="n">
        <f aca="false">'Task Breakdown'!L317</f>
        <v>0</v>
      </c>
      <c r="I96" s="29" t="n">
        <f aca="false">'Task Breakdown'!M317</f>
        <v>0</v>
      </c>
      <c r="J96" s="29" t="n">
        <f aca="false">'Task Breakdown'!N317</f>
        <v>37</v>
      </c>
      <c r="K96" s="29" t="n">
        <f aca="false">'Task Breakdown'!O317</f>
        <v>0</v>
      </c>
      <c r="L96" s="29" t="n">
        <f aca="false">'Task Breakdown'!P317</f>
        <v>0</v>
      </c>
      <c r="M96" s="29" t="n">
        <f aca="false">'Task Breakdown'!Q317</f>
        <v>0</v>
      </c>
      <c r="N96" s="29" t="n">
        <f aca="false">'Task Breakdown'!R317</f>
        <v>0</v>
      </c>
      <c r="O96" s="29" t="n">
        <f aca="false">'Task Breakdown'!S317</f>
        <v>0</v>
      </c>
      <c r="P96" s="29" t="n">
        <f aca="false">'Task Breakdown'!T317</f>
        <v>0</v>
      </c>
      <c r="Q96" s="30" t="n">
        <f aca="false">SUM(E96:P96)</f>
        <v>37</v>
      </c>
      <c r="R96" s="31" t="n">
        <f aca="false">IF($Q$216&gt;0,Q96/$Q$216,0)</f>
        <v>0.005723124516628</v>
      </c>
    </row>
    <row r="97" customFormat="false" ht="15" hidden="false" customHeight="false" outlineLevel="0" collapsed="false">
      <c r="A97" s="26" t="str">
        <f aca="false">'Task Breakdown'!A318</f>
        <v>DR-2.02.05</v>
      </c>
      <c r="B97" s="27" t="str">
        <f aca="false">'Task Breakdown'!G318</f>
        <v>Extract metadata (plant, product, revision, date)</v>
      </c>
      <c r="C97" s="28"/>
      <c r="D97" s="28"/>
      <c r="E97" s="29" t="n">
        <f aca="false">'Task Breakdown'!I318</f>
        <v>0</v>
      </c>
      <c r="F97" s="29" t="n">
        <f aca="false">'Task Breakdown'!J318</f>
        <v>0</v>
      </c>
      <c r="G97" s="29" t="n">
        <f aca="false">'Task Breakdown'!K318</f>
        <v>0</v>
      </c>
      <c r="H97" s="29" t="n">
        <f aca="false">'Task Breakdown'!L318</f>
        <v>0</v>
      </c>
      <c r="I97" s="29" t="n">
        <f aca="false">'Task Breakdown'!M318</f>
        <v>0</v>
      </c>
      <c r="J97" s="29" t="n">
        <f aca="false">'Task Breakdown'!N318</f>
        <v>12</v>
      </c>
      <c r="K97" s="29" t="n">
        <f aca="false">'Task Breakdown'!O318</f>
        <v>25</v>
      </c>
      <c r="L97" s="29" t="n">
        <f aca="false">'Task Breakdown'!P318</f>
        <v>0</v>
      </c>
      <c r="M97" s="29" t="n">
        <f aca="false">'Task Breakdown'!Q318</f>
        <v>0</v>
      </c>
      <c r="N97" s="29" t="n">
        <f aca="false">'Task Breakdown'!R318</f>
        <v>0</v>
      </c>
      <c r="O97" s="29" t="n">
        <f aca="false">'Task Breakdown'!S318</f>
        <v>0</v>
      </c>
      <c r="P97" s="29" t="n">
        <f aca="false">'Task Breakdown'!T318</f>
        <v>0</v>
      </c>
      <c r="Q97" s="30" t="n">
        <f aca="false">SUM(E97:P97)</f>
        <v>37</v>
      </c>
      <c r="R97" s="31" t="n">
        <f aca="false">IF($Q$216&gt;0,Q97/$Q$216,0)</f>
        <v>0.005723124516628</v>
      </c>
    </row>
    <row r="98" customFormat="false" ht="15" hidden="false" customHeight="false" outlineLevel="0" collapsed="false">
      <c r="A98" s="26" t="str">
        <f aca="false">'Task Breakdown'!A319</f>
        <v>DR-2.02.06</v>
      </c>
      <c r="B98" s="27" t="str">
        <f aca="false">'Task Breakdown'!G319</f>
        <v>Build incremental ingestion (new, changed, deleted documents)</v>
      </c>
      <c r="C98" s="28"/>
      <c r="D98" s="28"/>
      <c r="E98" s="29" t="n">
        <f aca="false">'Task Breakdown'!I319</f>
        <v>0</v>
      </c>
      <c r="F98" s="29" t="n">
        <f aca="false">'Task Breakdown'!J319</f>
        <v>0</v>
      </c>
      <c r="G98" s="29" t="n">
        <f aca="false">'Task Breakdown'!K319</f>
        <v>0</v>
      </c>
      <c r="H98" s="29" t="n">
        <f aca="false">'Task Breakdown'!L319</f>
        <v>0</v>
      </c>
      <c r="I98" s="29" t="n">
        <f aca="false">'Task Breakdown'!M319</f>
        <v>0</v>
      </c>
      <c r="J98" s="29" t="n">
        <f aca="false">'Task Breakdown'!N319</f>
        <v>0</v>
      </c>
      <c r="K98" s="29" t="n">
        <f aca="false">'Task Breakdown'!O319</f>
        <v>61</v>
      </c>
      <c r="L98" s="29" t="n">
        <f aca="false">'Task Breakdown'!P319</f>
        <v>0</v>
      </c>
      <c r="M98" s="29" t="n">
        <f aca="false">'Task Breakdown'!Q319</f>
        <v>0</v>
      </c>
      <c r="N98" s="29" t="n">
        <f aca="false">'Task Breakdown'!R319</f>
        <v>0</v>
      </c>
      <c r="O98" s="29" t="n">
        <f aca="false">'Task Breakdown'!S319</f>
        <v>0</v>
      </c>
      <c r="P98" s="29" t="n">
        <f aca="false">'Task Breakdown'!T319</f>
        <v>0</v>
      </c>
      <c r="Q98" s="30" t="n">
        <f aca="false">SUM(E98:P98)</f>
        <v>61</v>
      </c>
      <c r="R98" s="31" t="n">
        <f aca="false">IF($Q$216&gt;0,Q98/$Q$216,0)</f>
        <v>0.0094354215003867</v>
      </c>
    </row>
    <row r="99" customFormat="false" ht="15" hidden="false" customHeight="false" outlineLevel="0" collapsed="false">
      <c r="A99" s="26" t="str">
        <f aca="false">'Task Breakdown'!A320</f>
        <v>DR-2.02.07</v>
      </c>
      <c r="B99" s="27" t="str">
        <f aca="false">'Task Breakdown'!G320</f>
        <v>Quality checks on extracted text</v>
      </c>
      <c r="C99" s="28"/>
      <c r="D99" s="28"/>
      <c r="E99" s="29" t="n">
        <f aca="false">'Task Breakdown'!I320</f>
        <v>0</v>
      </c>
      <c r="F99" s="29" t="n">
        <f aca="false">'Task Breakdown'!J320</f>
        <v>0</v>
      </c>
      <c r="G99" s="29" t="n">
        <f aca="false">'Task Breakdown'!K320</f>
        <v>0</v>
      </c>
      <c r="H99" s="29" t="n">
        <f aca="false">'Task Breakdown'!L320</f>
        <v>0</v>
      </c>
      <c r="I99" s="29" t="n">
        <f aca="false">'Task Breakdown'!M320</f>
        <v>0</v>
      </c>
      <c r="J99" s="29" t="n">
        <f aca="false">'Task Breakdown'!N320</f>
        <v>0</v>
      </c>
      <c r="K99" s="29" t="n">
        <f aca="false">'Task Breakdown'!O320</f>
        <v>0</v>
      </c>
      <c r="L99" s="29" t="n">
        <f aca="false">'Task Breakdown'!P320</f>
        <v>0</v>
      </c>
      <c r="M99" s="29" t="n">
        <f aca="false">'Task Breakdown'!Q320</f>
        <v>0</v>
      </c>
      <c r="N99" s="29" t="n">
        <f aca="false">'Task Breakdown'!R320</f>
        <v>0</v>
      </c>
      <c r="O99" s="29" t="n">
        <f aca="false">'Task Breakdown'!S320</f>
        <v>49</v>
      </c>
      <c r="P99" s="29" t="n">
        <f aca="false">'Task Breakdown'!T320</f>
        <v>0</v>
      </c>
      <c r="Q99" s="30" t="n">
        <f aca="false">SUM(E99:P99)</f>
        <v>49</v>
      </c>
      <c r="R99" s="31" t="n">
        <f aca="false">IF($Q$216&gt;0,Q99/$Q$216,0)</f>
        <v>0.00757927300850735</v>
      </c>
    </row>
    <row r="100" customFormat="false" ht="15" hidden="false" customHeight="false" outlineLevel="0" collapsed="false">
      <c r="A100" s="26" t="str">
        <f aca="false">'Task Breakdown'!A321</f>
        <v>DR-2.02.08</v>
      </c>
      <c r="B100" s="27" t="str">
        <f aca="false">'Task Breakdown'!G321</f>
        <v>Detailed design and design review</v>
      </c>
      <c r="C100" s="28"/>
      <c r="D100" s="28"/>
      <c r="E100" s="29" t="n">
        <f aca="false">'Task Breakdown'!I321</f>
        <v>0</v>
      </c>
      <c r="F100" s="29" t="n">
        <f aca="false">'Task Breakdown'!J321</f>
        <v>0</v>
      </c>
      <c r="G100" s="29" t="n">
        <f aca="false">'Task Breakdown'!K321</f>
        <v>0</v>
      </c>
      <c r="H100" s="29" t="n">
        <f aca="false">'Task Breakdown'!L321</f>
        <v>0</v>
      </c>
      <c r="I100" s="29" t="n">
        <f aca="false">'Task Breakdown'!M321</f>
        <v>18</v>
      </c>
      <c r="J100" s="29" t="n">
        <f aca="false">'Task Breakdown'!N321</f>
        <v>0</v>
      </c>
      <c r="K100" s="29" t="n">
        <f aca="false">'Task Breakdown'!O321</f>
        <v>0</v>
      </c>
      <c r="L100" s="29" t="n">
        <f aca="false">'Task Breakdown'!P321</f>
        <v>0</v>
      </c>
      <c r="M100" s="29" t="n">
        <f aca="false">'Task Breakdown'!Q321</f>
        <v>0</v>
      </c>
      <c r="N100" s="29" t="n">
        <f aca="false">'Task Breakdown'!R321</f>
        <v>0</v>
      </c>
      <c r="O100" s="29" t="n">
        <f aca="false">'Task Breakdown'!S321</f>
        <v>0</v>
      </c>
      <c r="P100" s="29" t="n">
        <f aca="false">'Task Breakdown'!T321</f>
        <v>0</v>
      </c>
      <c r="Q100" s="30" t="n">
        <f aca="false">SUM(E100:P100)</f>
        <v>18</v>
      </c>
      <c r="R100" s="31" t="n">
        <f aca="false">IF($Q$216&gt;0,Q100/$Q$216,0)</f>
        <v>0.00278422273781903</v>
      </c>
    </row>
    <row r="101" customFormat="false" ht="15" hidden="false" customHeight="false" outlineLevel="0" collapsed="false">
      <c r="A101" s="26" t="str">
        <f aca="false">'Task Breakdown'!A322</f>
        <v>DR-2.02.09</v>
      </c>
      <c r="B101" s="27" t="str">
        <f aca="false">'Task Breakdown'!G322</f>
        <v>Promote through dev / test / prod and release</v>
      </c>
      <c r="C101" s="28"/>
      <c r="D101" s="28"/>
      <c r="E101" s="29" t="n">
        <f aca="false">'Task Breakdown'!I322</f>
        <v>0</v>
      </c>
      <c r="F101" s="29" t="n">
        <f aca="false">'Task Breakdown'!J322</f>
        <v>0</v>
      </c>
      <c r="G101" s="29" t="n">
        <f aca="false">'Task Breakdown'!K322</f>
        <v>12</v>
      </c>
      <c r="H101" s="29" t="n">
        <f aca="false">'Task Breakdown'!L322</f>
        <v>0</v>
      </c>
      <c r="I101" s="29" t="n">
        <f aca="false">'Task Breakdown'!M322</f>
        <v>0</v>
      </c>
      <c r="J101" s="29" t="n">
        <f aca="false">'Task Breakdown'!N322</f>
        <v>0</v>
      </c>
      <c r="K101" s="29" t="n">
        <f aca="false">'Task Breakdown'!O322</f>
        <v>0</v>
      </c>
      <c r="L101" s="29" t="n">
        <f aca="false">'Task Breakdown'!P322</f>
        <v>0</v>
      </c>
      <c r="M101" s="29" t="n">
        <f aca="false">'Task Breakdown'!Q322</f>
        <v>0</v>
      </c>
      <c r="N101" s="29" t="n">
        <f aca="false">'Task Breakdown'!R322</f>
        <v>0</v>
      </c>
      <c r="O101" s="29" t="n">
        <f aca="false">'Task Breakdown'!S322</f>
        <v>0</v>
      </c>
      <c r="P101" s="29" t="n">
        <f aca="false">'Task Breakdown'!T322</f>
        <v>0</v>
      </c>
      <c r="Q101" s="30" t="n">
        <f aca="false">SUM(E101:P101)</f>
        <v>12</v>
      </c>
      <c r="R101" s="31" t="n">
        <f aca="false">IF($Q$216&gt;0,Q101/$Q$216,0)</f>
        <v>0.00185614849187935</v>
      </c>
    </row>
    <row r="102" customFormat="false" ht="15" hidden="false" customHeight="false" outlineLevel="0" collapsed="false">
      <c r="A102" s="26" t="str">
        <f aca="false">'Task Breakdown'!A323</f>
        <v>DR-2.02.10</v>
      </c>
      <c r="B102" s="27" t="str">
        <f aca="false">'Task Breakdown'!G323</f>
        <v>Documentation, runbook and knowledge transfer</v>
      </c>
      <c r="C102" s="28"/>
      <c r="D102" s="28"/>
      <c r="E102" s="29" t="n">
        <f aca="false">'Task Breakdown'!I323</f>
        <v>0</v>
      </c>
      <c r="F102" s="29" t="n">
        <f aca="false">'Task Breakdown'!J323</f>
        <v>0</v>
      </c>
      <c r="G102" s="29" t="n">
        <f aca="false">'Task Breakdown'!K323</f>
        <v>0</v>
      </c>
      <c r="H102" s="29" t="n">
        <f aca="false">'Task Breakdown'!L323</f>
        <v>0</v>
      </c>
      <c r="I102" s="29" t="n">
        <f aca="false">'Task Breakdown'!M323</f>
        <v>0</v>
      </c>
      <c r="J102" s="29" t="n">
        <f aca="false">'Task Breakdown'!N323</f>
        <v>12</v>
      </c>
      <c r="K102" s="29" t="n">
        <f aca="false">'Task Breakdown'!O323</f>
        <v>0</v>
      </c>
      <c r="L102" s="29" t="n">
        <f aca="false">'Task Breakdown'!P323</f>
        <v>0</v>
      </c>
      <c r="M102" s="29" t="n">
        <f aca="false">'Task Breakdown'!Q323</f>
        <v>0</v>
      </c>
      <c r="N102" s="29" t="n">
        <f aca="false">'Task Breakdown'!R323</f>
        <v>0</v>
      </c>
      <c r="O102" s="29" t="n">
        <f aca="false">'Task Breakdown'!S323</f>
        <v>0</v>
      </c>
      <c r="P102" s="29" t="n">
        <f aca="false">'Task Breakdown'!T323</f>
        <v>0</v>
      </c>
      <c r="Q102" s="30" t="n">
        <f aca="false">SUM(E102:P102)</f>
        <v>12</v>
      </c>
      <c r="R102" s="31" t="n">
        <f aca="false">IF($Q$216&gt;0,Q102/$Q$216,0)</f>
        <v>0.00185614849187935</v>
      </c>
    </row>
    <row r="103" customFormat="false" ht="15" hidden="false" customHeight="false" outlineLevel="0" collapsed="false">
      <c r="A103" s="26" t="str">
        <f aca="false">'Task Breakdown'!A324</f>
        <v>DR-2.02.11</v>
      </c>
      <c r="B103" s="27" t="str">
        <f aca="false">'Task Breakdown'!G324</f>
        <v>Defect fixing and rework after testing</v>
      </c>
      <c r="C103" s="28"/>
      <c r="D103" s="28"/>
      <c r="E103" s="29" t="n">
        <f aca="false">'Task Breakdown'!I324</f>
        <v>0</v>
      </c>
      <c r="F103" s="29" t="n">
        <f aca="false">'Task Breakdown'!J324</f>
        <v>0</v>
      </c>
      <c r="G103" s="29" t="n">
        <f aca="false">'Task Breakdown'!K324</f>
        <v>0</v>
      </c>
      <c r="H103" s="29" t="n">
        <f aca="false">'Task Breakdown'!L324</f>
        <v>0</v>
      </c>
      <c r="I103" s="29" t="n">
        <f aca="false">'Task Breakdown'!M324</f>
        <v>0</v>
      </c>
      <c r="J103" s="29" t="n">
        <f aca="false">'Task Breakdown'!N324</f>
        <v>24</v>
      </c>
      <c r="K103" s="29" t="n">
        <f aca="false">'Task Breakdown'!O324</f>
        <v>0</v>
      </c>
      <c r="L103" s="29" t="n">
        <f aca="false">'Task Breakdown'!P324</f>
        <v>0</v>
      </c>
      <c r="M103" s="29" t="n">
        <f aca="false">'Task Breakdown'!Q324</f>
        <v>0</v>
      </c>
      <c r="N103" s="29" t="n">
        <f aca="false">'Task Breakdown'!R324</f>
        <v>0</v>
      </c>
      <c r="O103" s="29" t="n">
        <f aca="false">'Task Breakdown'!S324</f>
        <v>0</v>
      </c>
      <c r="P103" s="29" t="n">
        <f aca="false">'Task Breakdown'!T324</f>
        <v>0</v>
      </c>
      <c r="Q103" s="30" t="n">
        <f aca="false">SUM(E103:P103)</f>
        <v>24</v>
      </c>
      <c r="R103" s="31" t="n">
        <f aca="false">IF($Q$216&gt;0,Q103/$Q$216,0)</f>
        <v>0.0037122969837587</v>
      </c>
    </row>
    <row r="104" customFormat="false" ht="15" hidden="false" customHeight="false" outlineLevel="0" collapsed="false">
      <c r="A104" s="23" t="s">
        <v>194</v>
      </c>
      <c r="B104" s="23" t="s">
        <v>195</v>
      </c>
      <c r="C104" s="23" t="s">
        <v>43</v>
      </c>
      <c r="D104" s="23" t="s">
        <v>196</v>
      </c>
      <c r="E104" s="24" t="n">
        <f aca="false">SUM(E105:E113)</f>
        <v>0</v>
      </c>
      <c r="F104" s="24" t="n">
        <f aca="false">SUM(F105:F113)</f>
        <v>0</v>
      </c>
      <c r="G104" s="24" t="n">
        <f aca="false">SUM(G105:G113)</f>
        <v>4</v>
      </c>
      <c r="H104" s="24" t="n">
        <f aca="false">SUM(H105:H113)</f>
        <v>0</v>
      </c>
      <c r="I104" s="24" t="n">
        <f aca="false">SUM(I105:I113)</f>
        <v>22</v>
      </c>
      <c r="J104" s="24" t="n">
        <f aca="false">SUM(J105:J113)</f>
        <v>77</v>
      </c>
      <c r="K104" s="24" t="n">
        <f aca="false">SUM(K105:K113)</f>
        <v>0</v>
      </c>
      <c r="L104" s="24" t="n">
        <f aca="false">SUM(L105:L113)</f>
        <v>0</v>
      </c>
      <c r="M104" s="24" t="n">
        <f aca="false">SUM(M105:M113)</f>
        <v>0</v>
      </c>
      <c r="N104" s="24" t="n">
        <f aca="false">SUM(N105:N113)</f>
        <v>0</v>
      </c>
      <c r="O104" s="24" t="n">
        <f aca="false">SUM(O105:O113)</f>
        <v>16</v>
      </c>
      <c r="P104" s="24" t="n">
        <f aca="false">SUM(P105:P113)</f>
        <v>0</v>
      </c>
      <c r="Q104" s="24" t="n">
        <f aca="false">SUM(Q105:Q113)</f>
        <v>119</v>
      </c>
      <c r="R104" s="25" t="n">
        <f aca="false">IF($Q$216&gt;0,Q104/$Q$216,0)</f>
        <v>0.0184068058778036</v>
      </c>
    </row>
    <row r="105" customFormat="false" ht="15" hidden="false" customHeight="false" outlineLevel="0" collapsed="false">
      <c r="A105" s="26" t="str">
        <f aca="false">'Task Breakdown'!A325</f>
        <v>DR-2.03.01</v>
      </c>
      <c r="B105" s="27" t="str">
        <f aca="false">'Task Breakdown'!G325</f>
        <v>Benchmark embedding models on Ball documents</v>
      </c>
      <c r="C105" s="28"/>
      <c r="D105" s="28"/>
      <c r="E105" s="29" t="n">
        <f aca="false">'Task Breakdown'!I325</f>
        <v>0</v>
      </c>
      <c r="F105" s="29" t="n">
        <f aca="false">'Task Breakdown'!J325</f>
        <v>0</v>
      </c>
      <c r="G105" s="29" t="n">
        <f aca="false">'Task Breakdown'!K325</f>
        <v>0</v>
      </c>
      <c r="H105" s="29" t="n">
        <f aca="false">'Task Breakdown'!L325</f>
        <v>0</v>
      </c>
      <c r="I105" s="29" t="n">
        <f aca="false">'Task Breakdown'!M325</f>
        <v>8</v>
      </c>
      <c r="J105" s="29" t="n">
        <f aca="false">'Task Breakdown'!N325</f>
        <v>25</v>
      </c>
      <c r="K105" s="29" t="n">
        <f aca="false">'Task Breakdown'!O325</f>
        <v>0</v>
      </c>
      <c r="L105" s="29" t="n">
        <f aca="false">'Task Breakdown'!P325</f>
        <v>0</v>
      </c>
      <c r="M105" s="29" t="n">
        <f aca="false">'Task Breakdown'!Q325</f>
        <v>0</v>
      </c>
      <c r="N105" s="29" t="n">
        <f aca="false">'Task Breakdown'!R325</f>
        <v>0</v>
      </c>
      <c r="O105" s="29" t="n">
        <f aca="false">'Task Breakdown'!S325</f>
        <v>0</v>
      </c>
      <c r="P105" s="29" t="n">
        <f aca="false">'Task Breakdown'!T325</f>
        <v>0</v>
      </c>
      <c r="Q105" s="30" t="n">
        <f aca="false">SUM(E105:P105)</f>
        <v>33</v>
      </c>
      <c r="R105" s="31" t="n">
        <f aca="false">IF($Q$216&gt;0,Q105/$Q$216,0)</f>
        <v>0.00510440835266821</v>
      </c>
    </row>
    <row r="106" customFormat="false" ht="15" hidden="false" customHeight="false" outlineLevel="0" collapsed="false">
      <c r="A106" s="26" t="str">
        <f aca="false">'Task Breakdown'!A326</f>
        <v>DR-2.03.02</v>
      </c>
      <c r="B106" s="27" t="str">
        <f aca="false">'Task Breakdown'!G326</f>
        <v>Select model and vector dimensions</v>
      </c>
      <c r="C106" s="28"/>
      <c r="D106" s="28"/>
      <c r="E106" s="29" t="n">
        <f aca="false">'Task Breakdown'!I326</f>
        <v>0</v>
      </c>
      <c r="F106" s="29" t="n">
        <f aca="false">'Task Breakdown'!J326</f>
        <v>0</v>
      </c>
      <c r="G106" s="29" t="n">
        <f aca="false">'Task Breakdown'!K326</f>
        <v>0</v>
      </c>
      <c r="H106" s="29" t="n">
        <f aca="false">'Task Breakdown'!L326</f>
        <v>0</v>
      </c>
      <c r="I106" s="29" t="n">
        <f aca="false">'Task Breakdown'!M326</f>
        <v>8</v>
      </c>
      <c r="J106" s="29" t="n">
        <f aca="false">'Task Breakdown'!N326</f>
        <v>0</v>
      </c>
      <c r="K106" s="29" t="n">
        <f aca="false">'Task Breakdown'!O326</f>
        <v>0</v>
      </c>
      <c r="L106" s="29" t="n">
        <f aca="false">'Task Breakdown'!P326</f>
        <v>0</v>
      </c>
      <c r="M106" s="29" t="n">
        <f aca="false">'Task Breakdown'!Q326</f>
        <v>0</v>
      </c>
      <c r="N106" s="29" t="n">
        <f aca="false">'Task Breakdown'!R326</f>
        <v>0</v>
      </c>
      <c r="O106" s="29" t="n">
        <f aca="false">'Task Breakdown'!S326</f>
        <v>0</v>
      </c>
      <c r="P106" s="29" t="n">
        <f aca="false">'Task Breakdown'!T326</f>
        <v>0</v>
      </c>
      <c r="Q106" s="30" t="n">
        <f aca="false">SUM(E106:P106)</f>
        <v>8</v>
      </c>
      <c r="R106" s="31" t="n">
        <f aca="false">IF($Q$216&gt;0,Q106/$Q$216,0)</f>
        <v>0.00123743232791957</v>
      </c>
    </row>
    <row r="107" customFormat="false" ht="15" hidden="false" customHeight="false" outlineLevel="0" collapsed="false">
      <c r="A107" s="26" t="str">
        <f aca="false">'Task Breakdown'!A327</f>
        <v>DR-2.03.03</v>
      </c>
      <c r="B107" s="27" t="str">
        <f aca="false">'Task Breakdown'!G327</f>
        <v>Deploy embedding endpoints (Foundry and self-hosted BGE / E5)</v>
      </c>
      <c r="C107" s="28"/>
      <c r="D107" s="28"/>
      <c r="E107" s="29" t="n">
        <f aca="false">'Task Breakdown'!I327</f>
        <v>0</v>
      </c>
      <c r="F107" s="29" t="n">
        <f aca="false">'Task Breakdown'!J327</f>
        <v>0</v>
      </c>
      <c r="G107" s="29" t="n">
        <f aca="false">'Task Breakdown'!K327</f>
        <v>0</v>
      </c>
      <c r="H107" s="29" t="n">
        <f aca="false">'Task Breakdown'!L327</f>
        <v>0</v>
      </c>
      <c r="I107" s="29" t="n">
        <f aca="false">'Task Breakdown'!M327</f>
        <v>0</v>
      </c>
      <c r="J107" s="29" t="n">
        <f aca="false">'Task Breakdown'!N327</f>
        <v>16</v>
      </c>
      <c r="K107" s="29" t="n">
        <f aca="false">'Task Breakdown'!O327</f>
        <v>0</v>
      </c>
      <c r="L107" s="29" t="n">
        <f aca="false">'Task Breakdown'!P327</f>
        <v>0</v>
      </c>
      <c r="M107" s="29" t="n">
        <f aca="false">'Task Breakdown'!Q327</f>
        <v>0</v>
      </c>
      <c r="N107" s="29" t="n">
        <f aca="false">'Task Breakdown'!R327</f>
        <v>0</v>
      </c>
      <c r="O107" s="29" t="n">
        <f aca="false">'Task Breakdown'!S327</f>
        <v>0</v>
      </c>
      <c r="P107" s="29" t="n">
        <f aca="false">'Task Breakdown'!T327</f>
        <v>0</v>
      </c>
      <c r="Q107" s="30" t="n">
        <f aca="false">SUM(E107:P107)</f>
        <v>16</v>
      </c>
      <c r="R107" s="31" t="n">
        <f aca="false">IF($Q$216&gt;0,Q107/$Q$216,0)</f>
        <v>0.00247486465583913</v>
      </c>
    </row>
    <row r="108" customFormat="false" ht="15" hidden="false" customHeight="false" outlineLevel="0" collapsed="false">
      <c r="A108" s="26" t="str">
        <f aca="false">'Task Breakdown'!A328</f>
        <v>DR-2.03.04</v>
      </c>
      <c r="B108" s="27" t="str">
        <f aca="false">'Task Breakdown'!G328</f>
        <v>Build batch embedding job with retries</v>
      </c>
      <c r="C108" s="28"/>
      <c r="D108" s="28"/>
      <c r="E108" s="29" t="n">
        <f aca="false">'Task Breakdown'!I328</f>
        <v>0</v>
      </c>
      <c r="F108" s="29" t="n">
        <f aca="false">'Task Breakdown'!J328</f>
        <v>0</v>
      </c>
      <c r="G108" s="29" t="n">
        <f aca="false">'Task Breakdown'!K328</f>
        <v>0</v>
      </c>
      <c r="H108" s="29" t="n">
        <f aca="false">'Task Breakdown'!L328</f>
        <v>0</v>
      </c>
      <c r="I108" s="29" t="n">
        <f aca="false">'Task Breakdown'!M328</f>
        <v>0</v>
      </c>
      <c r="J108" s="29" t="n">
        <f aca="false">'Task Breakdown'!N328</f>
        <v>16</v>
      </c>
      <c r="K108" s="29" t="n">
        <f aca="false">'Task Breakdown'!O328</f>
        <v>0</v>
      </c>
      <c r="L108" s="29" t="n">
        <f aca="false">'Task Breakdown'!P328</f>
        <v>0</v>
      </c>
      <c r="M108" s="29" t="n">
        <f aca="false">'Task Breakdown'!Q328</f>
        <v>0</v>
      </c>
      <c r="N108" s="29" t="n">
        <f aca="false">'Task Breakdown'!R328</f>
        <v>0</v>
      </c>
      <c r="O108" s="29" t="n">
        <f aca="false">'Task Breakdown'!S328</f>
        <v>0</v>
      </c>
      <c r="P108" s="29" t="n">
        <f aca="false">'Task Breakdown'!T328</f>
        <v>0</v>
      </c>
      <c r="Q108" s="30" t="n">
        <f aca="false">SUM(E108:P108)</f>
        <v>16</v>
      </c>
      <c r="R108" s="31" t="n">
        <f aca="false">IF($Q$216&gt;0,Q108/$Q$216,0)</f>
        <v>0.00247486465583913</v>
      </c>
    </row>
    <row r="109" customFormat="false" ht="15" hidden="false" customHeight="false" outlineLevel="0" collapsed="false">
      <c r="A109" s="26" t="str">
        <f aca="false">'Task Breakdown'!A329</f>
        <v>DR-2.03.05</v>
      </c>
      <c r="B109" s="27" t="str">
        <f aca="false">'Task Breakdown'!G329</f>
        <v>Embedding quality testing</v>
      </c>
      <c r="C109" s="28"/>
      <c r="D109" s="28"/>
      <c r="E109" s="29" t="n">
        <f aca="false">'Task Breakdown'!I329</f>
        <v>0</v>
      </c>
      <c r="F109" s="29" t="n">
        <f aca="false">'Task Breakdown'!J329</f>
        <v>0</v>
      </c>
      <c r="G109" s="29" t="n">
        <f aca="false">'Task Breakdown'!K329</f>
        <v>0</v>
      </c>
      <c r="H109" s="29" t="n">
        <f aca="false">'Task Breakdown'!L329</f>
        <v>0</v>
      </c>
      <c r="I109" s="29" t="n">
        <f aca="false">'Task Breakdown'!M329</f>
        <v>0</v>
      </c>
      <c r="J109" s="29" t="n">
        <f aca="false">'Task Breakdown'!N329</f>
        <v>8</v>
      </c>
      <c r="K109" s="29" t="n">
        <f aca="false">'Task Breakdown'!O329</f>
        <v>0</v>
      </c>
      <c r="L109" s="29" t="n">
        <f aca="false">'Task Breakdown'!P329</f>
        <v>0</v>
      </c>
      <c r="M109" s="29" t="n">
        <f aca="false">'Task Breakdown'!Q329</f>
        <v>0</v>
      </c>
      <c r="N109" s="29" t="n">
        <f aca="false">'Task Breakdown'!R329</f>
        <v>0</v>
      </c>
      <c r="O109" s="29" t="n">
        <f aca="false">'Task Breakdown'!S329</f>
        <v>16</v>
      </c>
      <c r="P109" s="29" t="n">
        <f aca="false">'Task Breakdown'!T329</f>
        <v>0</v>
      </c>
      <c r="Q109" s="30" t="n">
        <f aca="false">SUM(E109:P109)</f>
        <v>24</v>
      </c>
      <c r="R109" s="31" t="n">
        <f aca="false">IF($Q$216&gt;0,Q109/$Q$216,0)</f>
        <v>0.0037122969837587</v>
      </c>
    </row>
    <row r="110" customFormat="false" ht="15" hidden="false" customHeight="false" outlineLevel="0" collapsed="false">
      <c r="A110" s="26" t="str">
        <f aca="false">'Task Breakdown'!A330</f>
        <v>DR-2.03.06</v>
      </c>
      <c r="B110" s="27" t="str">
        <f aca="false">'Task Breakdown'!G330</f>
        <v>Detailed design and design review</v>
      </c>
      <c r="C110" s="28"/>
      <c r="D110" s="28"/>
      <c r="E110" s="29" t="n">
        <f aca="false">'Task Breakdown'!I330</f>
        <v>0</v>
      </c>
      <c r="F110" s="29" t="n">
        <f aca="false">'Task Breakdown'!J330</f>
        <v>0</v>
      </c>
      <c r="G110" s="29" t="n">
        <f aca="false">'Task Breakdown'!K330</f>
        <v>0</v>
      </c>
      <c r="H110" s="29" t="n">
        <f aca="false">'Task Breakdown'!L330</f>
        <v>0</v>
      </c>
      <c r="I110" s="29" t="n">
        <f aca="false">'Task Breakdown'!M330</f>
        <v>6</v>
      </c>
      <c r="J110" s="29" t="n">
        <f aca="false">'Task Breakdown'!N330</f>
        <v>0</v>
      </c>
      <c r="K110" s="29" t="n">
        <f aca="false">'Task Breakdown'!O330</f>
        <v>0</v>
      </c>
      <c r="L110" s="29" t="n">
        <f aca="false">'Task Breakdown'!P330</f>
        <v>0</v>
      </c>
      <c r="M110" s="29" t="n">
        <f aca="false">'Task Breakdown'!Q330</f>
        <v>0</v>
      </c>
      <c r="N110" s="29" t="n">
        <f aca="false">'Task Breakdown'!R330</f>
        <v>0</v>
      </c>
      <c r="O110" s="29" t="n">
        <f aca="false">'Task Breakdown'!S330</f>
        <v>0</v>
      </c>
      <c r="P110" s="29" t="n">
        <f aca="false">'Task Breakdown'!T330</f>
        <v>0</v>
      </c>
      <c r="Q110" s="30" t="n">
        <f aca="false">SUM(E110:P110)</f>
        <v>6</v>
      </c>
      <c r="R110" s="31" t="n">
        <f aca="false">IF($Q$216&gt;0,Q110/$Q$216,0)</f>
        <v>0.000928074245939675</v>
      </c>
    </row>
    <row r="111" customFormat="false" ht="15" hidden="false" customHeight="false" outlineLevel="0" collapsed="false">
      <c r="A111" s="26" t="str">
        <f aca="false">'Task Breakdown'!A331</f>
        <v>DR-2.03.07</v>
      </c>
      <c r="B111" s="27" t="str">
        <f aca="false">'Task Breakdown'!G331</f>
        <v>Promote through dev / test / prod and release</v>
      </c>
      <c r="C111" s="28"/>
      <c r="D111" s="28"/>
      <c r="E111" s="29" t="n">
        <f aca="false">'Task Breakdown'!I331</f>
        <v>0</v>
      </c>
      <c r="F111" s="29" t="n">
        <f aca="false">'Task Breakdown'!J331</f>
        <v>0</v>
      </c>
      <c r="G111" s="29" t="n">
        <f aca="false">'Task Breakdown'!K331</f>
        <v>4</v>
      </c>
      <c r="H111" s="29" t="n">
        <f aca="false">'Task Breakdown'!L331</f>
        <v>0</v>
      </c>
      <c r="I111" s="29" t="n">
        <f aca="false">'Task Breakdown'!M331</f>
        <v>0</v>
      </c>
      <c r="J111" s="29" t="n">
        <f aca="false">'Task Breakdown'!N331</f>
        <v>0</v>
      </c>
      <c r="K111" s="29" t="n">
        <f aca="false">'Task Breakdown'!O331</f>
        <v>0</v>
      </c>
      <c r="L111" s="29" t="n">
        <f aca="false">'Task Breakdown'!P331</f>
        <v>0</v>
      </c>
      <c r="M111" s="29" t="n">
        <f aca="false">'Task Breakdown'!Q331</f>
        <v>0</v>
      </c>
      <c r="N111" s="29" t="n">
        <f aca="false">'Task Breakdown'!R331</f>
        <v>0</v>
      </c>
      <c r="O111" s="29" t="n">
        <f aca="false">'Task Breakdown'!S331</f>
        <v>0</v>
      </c>
      <c r="P111" s="29" t="n">
        <f aca="false">'Task Breakdown'!T331</f>
        <v>0</v>
      </c>
      <c r="Q111" s="30" t="n">
        <f aca="false">SUM(E111:P111)</f>
        <v>4</v>
      </c>
      <c r="R111" s="31" t="n">
        <f aca="false">IF($Q$216&gt;0,Q111/$Q$216,0)</f>
        <v>0.000618716163959783</v>
      </c>
    </row>
    <row r="112" customFormat="false" ht="15" hidden="false" customHeight="false" outlineLevel="0" collapsed="false">
      <c r="A112" s="26" t="str">
        <f aca="false">'Task Breakdown'!A332</f>
        <v>DR-2.03.08</v>
      </c>
      <c r="B112" s="27" t="str">
        <f aca="false">'Task Breakdown'!G332</f>
        <v>Documentation, runbook and knowledge transfer</v>
      </c>
      <c r="C112" s="28"/>
      <c r="D112" s="28"/>
      <c r="E112" s="29" t="n">
        <f aca="false">'Task Breakdown'!I332</f>
        <v>0</v>
      </c>
      <c r="F112" s="29" t="n">
        <f aca="false">'Task Breakdown'!J332</f>
        <v>0</v>
      </c>
      <c r="G112" s="29" t="n">
        <f aca="false">'Task Breakdown'!K332</f>
        <v>0</v>
      </c>
      <c r="H112" s="29" t="n">
        <f aca="false">'Task Breakdown'!L332</f>
        <v>0</v>
      </c>
      <c r="I112" s="29" t="n">
        <f aca="false">'Task Breakdown'!M332</f>
        <v>0</v>
      </c>
      <c r="J112" s="29" t="n">
        <f aca="false">'Task Breakdown'!N332</f>
        <v>4</v>
      </c>
      <c r="K112" s="29" t="n">
        <f aca="false">'Task Breakdown'!O332</f>
        <v>0</v>
      </c>
      <c r="L112" s="29" t="n">
        <f aca="false">'Task Breakdown'!P332</f>
        <v>0</v>
      </c>
      <c r="M112" s="29" t="n">
        <f aca="false">'Task Breakdown'!Q332</f>
        <v>0</v>
      </c>
      <c r="N112" s="29" t="n">
        <f aca="false">'Task Breakdown'!R332</f>
        <v>0</v>
      </c>
      <c r="O112" s="29" t="n">
        <f aca="false">'Task Breakdown'!S332</f>
        <v>0</v>
      </c>
      <c r="P112" s="29" t="n">
        <f aca="false">'Task Breakdown'!T332</f>
        <v>0</v>
      </c>
      <c r="Q112" s="30" t="n">
        <f aca="false">SUM(E112:P112)</f>
        <v>4</v>
      </c>
      <c r="R112" s="31" t="n">
        <f aca="false">IF($Q$216&gt;0,Q112/$Q$216,0)</f>
        <v>0.000618716163959783</v>
      </c>
    </row>
    <row r="113" customFormat="false" ht="15" hidden="false" customHeight="false" outlineLevel="0" collapsed="false">
      <c r="A113" s="26" t="str">
        <f aca="false">'Task Breakdown'!A333</f>
        <v>DR-2.03.09</v>
      </c>
      <c r="B113" s="27" t="str">
        <f aca="false">'Task Breakdown'!G333</f>
        <v>Defect fixing and rework after testing</v>
      </c>
      <c r="C113" s="28"/>
      <c r="D113" s="28"/>
      <c r="E113" s="29" t="n">
        <f aca="false">'Task Breakdown'!I333</f>
        <v>0</v>
      </c>
      <c r="F113" s="29" t="n">
        <f aca="false">'Task Breakdown'!J333</f>
        <v>0</v>
      </c>
      <c r="G113" s="29" t="n">
        <f aca="false">'Task Breakdown'!K333</f>
        <v>0</v>
      </c>
      <c r="H113" s="29" t="n">
        <f aca="false">'Task Breakdown'!L333</f>
        <v>0</v>
      </c>
      <c r="I113" s="29" t="n">
        <f aca="false">'Task Breakdown'!M333</f>
        <v>0</v>
      </c>
      <c r="J113" s="29" t="n">
        <f aca="false">'Task Breakdown'!N333</f>
        <v>8</v>
      </c>
      <c r="K113" s="29" t="n">
        <f aca="false">'Task Breakdown'!O333</f>
        <v>0</v>
      </c>
      <c r="L113" s="29" t="n">
        <f aca="false">'Task Breakdown'!P333</f>
        <v>0</v>
      </c>
      <c r="M113" s="29" t="n">
        <f aca="false">'Task Breakdown'!Q333</f>
        <v>0</v>
      </c>
      <c r="N113" s="29" t="n">
        <f aca="false">'Task Breakdown'!R333</f>
        <v>0</v>
      </c>
      <c r="O113" s="29" t="n">
        <f aca="false">'Task Breakdown'!S333</f>
        <v>0</v>
      </c>
      <c r="P113" s="29" t="n">
        <f aca="false">'Task Breakdown'!T333</f>
        <v>0</v>
      </c>
      <c r="Q113" s="30" t="n">
        <f aca="false">SUM(E113:P113)</f>
        <v>8</v>
      </c>
      <c r="R113" s="31" t="n">
        <f aca="false">IF($Q$216&gt;0,Q113/$Q$216,0)</f>
        <v>0.00123743232791957</v>
      </c>
    </row>
    <row r="114" customFormat="false" ht="15" hidden="false" customHeight="false" outlineLevel="0" collapsed="false">
      <c r="A114" s="23" t="s">
        <v>197</v>
      </c>
      <c r="B114" s="23" t="s">
        <v>198</v>
      </c>
      <c r="C114" s="23" t="s">
        <v>43</v>
      </c>
      <c r="D114" s="23" t="s">
        <v>199</v>
      </c>
      <c r="E114" s="24" t="n">
        <f aca="false">SUM(E115:E125)</f>
        <v>0</v>
      </c>
      <c r="F114" s="24" t="n">
        <f aca="false">SUM(F115:F125)</f>
        <v>0</v>
      </c>
      <c r="G114" s="24" t="n">
        <f aca="false">SUM(G115:G125)</f>
        <v>9</v>
      </c>
      <c r="H114" s="24" t="n">
        <f aca="false">SUM(H115:H125)</f>
        <v>0</v>
      </c>
      <c r="I114" s="24" t="n">
        <f aca="false">SUM(I115:I125)</f>
        <v>44</v>
      </c>
      <c r="J114" s="24" t="n">
        <f aca="false">SUM(J115:J125)</f>
        <v>150</v>
      </c>
      <c r="K114" s="24" t="n">
        <f aca="false">SUM(K115:K125)</f>
        <v>41</v>
      </c>
      <c r="L114" s="24" t="n">
        <f aca="false">SUM(L115:L125)</f>
        <v>0</v>
      </c>
      <c r="M114" s="24" t="n">
        <f aca="false">SUM(M115:M125)</f>
        <v>0</v>
      </c>
      <c r="N114" s="24" t="n">
        <f aca="false">SUM(N115:N125)</f>
        <v>0</v>
      </c>
      <c r="O114" s="24" t="n">
        <f aca="false">SUM(O115:O125)</f>
        <v>41</v>
      </c>
      <c r="P114" s="24" t="n">
        <f aca="false">SUM(P115:P125)</f>
        <v>0</v>
      </c>
      <c r="Q114" s="24" t="n">
        <f aca="false">SUM(Q115:Q125)</f>
        <v>285</v>
      </c>
      <c r="R114" s="25" t="n">
        <f aca="false">IF($Q$216&gt;0,Q114/$Q$216,0)</f>
        <v>0.0440835266821346</v>
      </c>
    </row>
    <row r="115" customFormat="false" ht="15" hidden="false" customHeight="false" outlineLevel="0" collapsed="false">
      <c r="A115" s="26" t="str">
        <f aca="false">'Task Breakdown'!A334</f>
        <v>DR-2.04.01</v>
      </c>
      <c r="B115" s="27" t="str">
        <f aca="false">'Task Breakdown'!G334</f>
        <v>Design index schema and fields</v>
      </c>
      <c r="C115" s="28"/>
      <c r="D115" s="28"/>
      <c r="E115" s="29" t="n">
        <f aca="false">'Task Breakdown'!I334</f>
        <v>0</v>
      </c>
      <c r="F115" s="29" t="n">
        <f aca="false">'Task Breakdown'!J334</f>
        <v>0</v>
      </c>
      <c r="G115" s="29" t="n">
        <f aca="false">'Task Breakdown'!K334</f>
        <v>0</v>
      </c>
      <c r="H115" s="29" t="n">
        <f aca="false">'Task Breakdown'!L334</f>
        <v>0</v>
      </c>
      <c r="I115" s="29" t="n">
        <f aca="false">'Task Breakdown'!M334</f>
        <v>15</v>
      </c>
      <c r="J115" s="29" t="n">
        <f aca="false">'Task Breakdown'!N334</f>
        <v>10</v>
      </c>
      <c r="K115" s="29" t="n">
        <f aca="false">'Task Breakdown'!O334</f>
        <v>0</v>
      </c>
      <c r="L115" s="29" t="n">
        <f aca="false">'Task Breakdown'!P334</f>
        <v>0</v>
      </c>
      <c r="M115" s="29" t="n">
        <f aca="false">'Task Breakdown'!Q334</f>
        <v>0</v>
      </c>
      <c r="N115" s="29" t="n">
        <f aca="false">'Task Breakdown'!R334</f>
        <v>0</v>
      </c>
      <c r="O115" s="29" t="n">
        <f aca="false">'Task Breakdown'!S334</f>
        <v>0</v>
      </c>
      <c r="P115" s="29" t="n">
        <f aca="false">'Task Breakdown'!T334</f>
        <v>0</v>
      </c>
      <c r="Q115" s="30" t="n">
        <f aca="false">SUM(E115:P115)</f>
        <v>25</v>
      </c>
      <c r="R115" s="31" t="n">
        <f aca="false">IF($Q$216&gt;0,Q115/$Q$216,0)</f>
        <v>0.00386697602474865</v>
      </c>
    </row>
    <row r="116" customFormat="false" ht="15" hidden="false" customHeight="false" outlineLevel="0" collapsed="false">
      <c r="A116" s="26" t="str">
        <f aca="false">'Task Breakdown'!A335</f>
        <v>DR-2.04.02</v>
      </c>
      <c r="B116" s="27" t="str">
        <f aca="false">'Task Breakdown'!G335</f>
        <v>Deploy Azure AI Search (tier, replicas, partitions)</v>
      </c>
      <c r="C116" s="28"/>
      <c r="D116" s="28"/>
      <c r="E116" s="29" t="n">
        <f aca="false">'Task Breakdown'!I335</f>
        <v>0</v>
      </c>
      <c r="F116" s="29" t="n">
        <f aca="false">'Task Breakdown'!J335</f>
        <v>0</v>
      </c>
      <c r="G116" s="29" t="n">
        <f aca="false">'Task Breakdown'!K335</f>
        <v>0</v>
      </c>
      <c r="H116" s="29" t="n">
        <f aca="false">'Task Breakdown'!L335</f>
        <v>0</v>
      </c>
      <c r="I116" s="29" t="n">
        <f aca="false">'Task Breakdown'!M335</f>
        <v>0</v>
      </c>
      <c r="J116" s="29" t="n">
        <f aca="false">'Task Breakdown'!N335</f>
        <v>10</v>
      </c>
      <c r="K116" s="29" t="n">
        <f aca="false">'Task Breakdown'!O335</f>
        <v>0</v>
      </c>
      <c r="L116" s="29" t="n">
        <f aca="false">'Task Breakdown'!P335</f>
        <v>0</v>
      </c>
      <c r="M116" s="29" t="n">
        <f aca="false">'Task Breakdown'!Q335</f>
        <v>0</v>
      </c>
      <c r="N116" s="29" t="n">
        <f aca="false">'Task Breakdown'!R335</f>
        <v>0</v>
      </c>
      <c r="O116" s="29" t="n">
        <f aca="false">'Task Breakdown'!S335</f>
        <v>0</v>
      </c>
      <c r="P116" s="29" t="n">
        <f aca="false">'Task Breakdown'!T335</f>
        <v>0</v>
      </c>
      <c r="Q116" s="30" t="n">
        <f aca="false">SUM(E116:P116)</f>
        <v>10</v>
      </c>
      <c r="R116" s="31" t="n">
        <f aca="false">IF($Q$216&gt;0,Q116/$Q$216,0)</f>
        <v>0.00154679040989946</v>
      </c>
    </row>
    <row r="117" customFormat="false" ht="15" hidden="false" customHeight="false" outlineLevel="0" collapsed="false">
      <c r="A117" s="26" t="str">
        <f aca="false">'Task Breakdown'!A336</f>
        <v>DR-2.04.03</v>
      </c>
      <c r="B117" s="27" t="str">
        <f aca="false">'Task Breakdown'!G336</f>
        <v>Build indexers / push pipeline from the chunk store</v>
      </c>
      <c r="C117" s="28"/>
      <c r="D117" s="28"/>
      <c r="E117" s="29" t="n">
        <f aca="false">'Task Breakdown'!I336</f>
        <v>0</v>
      </c>
      <c r="F117" s="29" t="n">
        <f aca="false">'Task Breakdown'!J336</f>
        <v>0</v>
      </c>
      <c r="G117" s="29" t="n">
        <f aca="false">'Task Breakdown'!K336</f>
        <v>0</v>
      </c>
      <c r="H117" s="29" t="n">
        <f aca="false">'Task Breakdown'!L336</f>
        <v>0</v>
      </c>
      <c r="I117" s="29" t="n">
        <f aca="false">'Task Breakdown'!M336</f>
        <v>0</v>
      </c>
      <c r="J117" s="29" t="n">
        <f aca="false">'Task Breakdown'!N336</f>
        <v>31</v>
      </c>
      <c r="K117" s="29" t="n">
        <f aca="false">'Task Breakdown'!O336</f>
        <v>31</v>
      </c>
      <c r="L117" s="29" t="n">
        <f aca="false">'Task Breakdown'!P336</f>
        <v>0</v>
      </c>
      <c r="M117" s="29" t="n">
        <f aca="false">'Task Breakdown'!Q336</f>
        <v>0</v>
      </c>
      <c r="N117" s="29" t="n">
        <f aca="false">'Task Breakdown'!R336</f>
        <v>0</v>
      </c>
      <c r="O117" s="29" t="n">
        <f aca="false">'Task Breakdown'!S336</f>
        <v>0</v>
      </c>
      <c r="P117" s="29" t="n">
        <f aca="false">'Task Breakdown'!T336</f>
        <v>0</v>
      </c>
      <c r="Q117" s="30" t="n">
        <f aca="false">SUM(E117:P117)</f>
        <v>62</v>
      </c>
      <c r="R117" s="31" t="n">
        <f aca="false">IF($Q$216&gt;0,Q117/$Q$216,0)</f>
        <v>0.00959010054137664</v>
      </c>
    </row>
    <row r="118" customFormat="false" ht="15" hidden="false" customHeight="false" outlineLevel="0" collapsed="false">
      <c r="A118" s="26" t="str">
        <f aca="false">'Task Breakdown'!A337</f>
        <v>DR-2.04.04</v>
      </c>
      <c r="B118" s="27" t="str">
        <f aca="false">'Task Breakdown'!G337</f>
        <v>Configure vector + BM25 hybrid search and semantic ranker</v>
      </c>
      <c r="C118" s="28"/>
      <c r="D118" s="28"/>
      <c r="E118" s="29" t="n">
        <f aca="false">'Task Breakdown'!I337</f>
        <v>0</v>
      </c>
      <c r="F118" s="29" t="n">
        <f aca="false">'Task Breakdown'!J337</f>
        <v>0</v>
      </c>
      <c r="G118" s="29" t="n">
        <f aca="false">'Task Breakdown'!K337</f>
        <v>0</v>
      </c>
      <c r="H118" s="29" t="n">
        <f aca="false">'Task Breakdown'!L337</f>
        <v>0</v>
      </c>
      <c r="I118" s="29" t="n">
        <f aca="false">'Task Breakdown'!M337</f>
        <v>0</v>
      </c>
      <c r="J118" s="29" t="n">
        <f aca="false">'Task Breakdown'!N337</f>
        <v>31</v>
      </c>
      <c r="K118" s="29" t="n">
        <f aca="false">'Task Breakdown'!O337</f>
        <v>0</v>
      </c>
      <c r="L118" s="29" t="n">
        <f aca="false">'Task Breakdown'!P337</f>
        <v>0</v>
      </c>
      <c r="M118" s="29" t="n">
        <f aca="false">'Task Breakdown'!Q337</f>
        <v>0</v>
      </c>
      <c r="N118" s="29" t="n">
        <f aca="false">'Task Breakdown'!R337</f>
        <v>0</v>
      </c>
      <c r="O118" s="29" t="n">
        <f aca="false">'Task Breakdown'!S337</f>
        <v>0</v>
      </c>
      <c r="P118" s="29" t="n">
        <f aca="false">'Task Breakdown'!T337</f>
        <v>0</v>
      </c>
      <c r="Q118" s="30" t="n">
        <f aca="false">SUM(E118:P118)</f>
        <v>31</v>
      </c>
      <c r="R118" s="31" t="n">
        <f aca="false">IF($Q$216&gt;0,Q118/$Q$216,0)</f>
        <v>0.00479505027068832</v>
      </c>
    </row>
    <row r="119" customFormat="false" ht="15" hidden="false" customHeight="false" outlineLevel="0" collapsed="false">
      <c r="A119" s="26" t="str">
        <f aca="false">'Task Breakdown'!A338</f>
        <v>DR-2.04.05</v>
      </c>
      <c r="B119" s="27" t="str">
        <f aca="false">'Task Breakdown'!G338</f>
        <v>Add filters (plant, document type, security)</v>
      </c>
      <c r="C119" s="28"/>
      <c r="D119" s="28"/>
      <c r="E119" s="29" t="n">
        <f aca="false">'Task Breakdown'!I338</f>
        <v>0</v>
      </c>
      <c r="F119" s="29" t="n">
        <f aca="false">'Task Breakdown'!J338</f>
        <v>0</v>
      </c>
      <c r="G119" s="29" t="n">
        <f aca="false">'Task Breakdown'!K338</f>
        <v>0</v>
      </c>
      <c r="H119" s="29" t="n">
        <f aca="false">'Task Breakdown'!L338</f>
        <v>0</v>
      </c>
      <c r="I119" s="29" t="n">
        <f aca="false">'Task Breakdown'!M338</f>
        <v>0</v>
      </c>
      <c r="J119" s="29" t="n">
        <f aca="false">'Task Breakdown'!N338</f>
        <v>20</v>
      </c>
      <c r="K119" s="29" t="n">
        <f aca="false">'Task Breakdown'!O338</f>
        <v>10</v>
      </c>
      <c r="L119" s="29" t="n">
        <f aca="false">'Task Breakdown'!P338</f>
        <v>0</v>
      </c>
      <c r="M119" s="29" t="n">
        <f aca="false">'Task Breakdown'!Q338</f>
        <v>0</v>
      </c>
      <c r="N119" s="29" t="n">
        <f aca="false">'Task Breakdown'!R338</f>
        <v>0</v>
      </c>
      <c r="O119" s="29" t="n">
        <f aca="false">'Task Breakdown'!S338</f>
        <v>0</v>
      </c>
      <c r="P119" s="29" t="n">
        <f aca="false">'Task Breakdown'!T338</f>
        <v>0</v>
      </c>
      <c r="Q119" s="30" t="n">
        <f aca="false">SUM(E119:P119)</f>
        <v>30</v>
      </c>
      <c r="R119" s="31" t="n">
        <f aca="false">IF($Q$216&gt;0,Q119/$Q$216,0)</f>
        <v>0.00464037122969838</v>
      </c>
    </row>
    <row r="120" customFormat="false" ht="15" hidden="false" customHeight="false" outlineLevel="0" collapsed="false">
      <c r="A120" s="26" t="str">
        <f aca="false">'Task Breakdown'!A339</f>
        <v>DR-2.04.06</v>
      </c>
      <c r="B120" s="27" t="str">
        <f aca="false">'Task Breakdown'!G339</f>
        <v>Tune relevance with test queries</v>
      </c>
      <c r="C120" s="28"/>
      <c r="D120" s="28"/>
      <c r="E120" s="29" t="n">
        <f aca="false">'Task Breakdown'!I339</f>
        <v>0</v>
      </c>
      <c r="F120" s="29" t="n">
        <f aca="false">'Task Breakdown'!J339</f>
        <v>0</v>
      </c>
      <c r="G120" s="29" t="n">
        <f aca="false">'Task Breakdown'!K339</f>
        <v>0</v>
      </c>
      <c r="H120" s="29" t="n">
        <f aca="false">'Task Breakdown'!L339</f>
        <v>0</v>
      </c>
      <c r="I120" s="29" t="n">
        <f aca="false">'Task Breakdown'!M339</f>
        <v>15</v>
      </c>
      <c r="J120" s="29" t="n">
        <f aca="false">'Task Breakdown'!N339</f>
        <v>20</v>
      </c>
      <c r="K120" s="29" t="n">
        <f aca="false">'Task Breakdown'!O339</f>
        <v>0</v>
      </c>
      <c r="L120" s="29" t="n">
        <f aca="false">'Task Breakdown'!P339</f>
        <v>0</v>
      </c>
      <c r="M120" s="29" t="n">
        <f aca="false">'Task Breakdown'!Q339</f>
        <v>0</v>
      </c>
      <c r="N120" s="29" t="n">
        <f aca="false">'Task Breakdown'!R339</f>
        <v>0</v>
      </c>
      <c r="O120" s="29" t="n">
        <f aca="false">'Task Breakdown'!S339</f>
        <v>0</v>
      </c>
      <c r="P120" s="29" t="n">
        <f aca="false">'Task Breakdown'!T339</f>
        <v>0</v>
      </c>
      <c r="Q120" s="30" t="n">
        <f aca="false">SUM(E120:P120)</f>
        <v>35</v>
      </c>
      <c r="R120" s="31" t="n">
        <f aca="false">IF($Q$216&gt;0,Q120/$Q$216,0)</f>
        <v>0.00541376643464811</v>
      </c>
    </row>
    <row r="121" customFormat="false" ht="15" hidden="false" customHeight="false" outlineLevel="0" collapsed="false">
      <c r="A121" s="26" t="str">
        <f aca="false">'Task Breakdown'!A340</f>
        <v>DR-2.04.07</v>
      </c>
      <c r="B121" s="27" t="str">
        <f aca="false">'Task Breakdown'!G340</f>
        <v>Search quality testing</v>
      </c>
      <c r="C121" s="28"/>
      <c r="D121" s="28"/>
      <c r="E121" s="29" t="n">
        <f aca="false">'Task Breakdown'!I340</f>
        <v>0</v>
      </c>
      <c r="F121" s="29" t="n">
        <f aca="false">'Task Breakdown'!J340</f>
        <v>0</v>
      </c>
      <c r="G121" s="29" t="n">
        <f aca="false">'Task Breakdown'!K340</f>
        <v>0</v>
      </c>
      <c r="H121" s="29" t="n">
        <f aca="false">'Task Breakdown'!L340</f>
        <v>0</v>
      </c>
      <c r="I121" s="29" t="n">
        <f aca="false">'Task Breakdown'!M340</f>
        <v>0</v>
      </c>
      <c r="J121" s="29" t="n">
        <f aca="false">'Task Breakdown'!N340</f>
        <v>0</v>
      </c>
      <c r="K121" s="29" t="n">
        <f aca="false">'Task Breakdown'!O340</f>
        <v>0</v>
      </c>
      <c r="L121" s="29" t="n">
        <f aca="false">'Task Breakdown'!P340</f>
        <v>0</v>
      </c>
      <c r="M121" s="29" t="n">
        <f aca="false">'Task Breakdown'!Q340</f>
        <v>0</v>
      </c>
      <c r="N121" s="29" t="n">
        <f aca="false">'Task Breakdown'!R340</f>
        <v>0</v>
      </c>
      <c r="O121" s="29" t="n">
        <f aca="false">'Task Breakdown'!S340</f>
        <v>41</v>
      </c>
      <c r="P121" s="29" t="n">
        <f aca="false">'Task Breakdown'!T340</f>
        <v>0</v>
      </c>
      <c r="Q121" s="30" t="n">
        <f aca="false">SUM(E121:P121)</f>
        <v>41</v>
      </c>
      <c r="R121" s="31" t="n">
        <f aca="false">IF($Q$216&gt;0,Q121/$Q$216,0)</f>
        <v>0.00634184068058778</v>
      </c>
    </row>
    <row r="122" customFormat="false" ht="15" hidden="false" customHeight="false" outlineLevel="0" collapsed="false">
      <c r="A122" s="26" t="str">
        <f aca="false">'Task Breakdown'!A341</f>
        <v>DR-2.04.08</v>
      </c>
      <c r="B122" s="27" t="str">
        <f aca="false">'Task Breakdown'!G341</f>
        <v>Detailed design and design review</v>
      </c>
      <c r="C122" s="28"/>
      <c r="D122" s="28"/>
      <c r="E122" s="29" t="n">
        <f aca="false">'Task Breakdown'!I341</f>
        <v>0</v>
      </c>
      <c r="F122" s="29" t="n">
        <f aca="false">'Task Breakdown'!J341</f>
        <v>0</v>
      </c>
      <c r="G122" s="29" t="n">
        <f aca="false">'Task Breakdown'!K341</f>
        <v>0</v>
      </c>
      <c r="H122" s="29" t="n">
        <f aca="false">'Task Breakdown'!L341</f>
        <v>0</v>
      </c>
      <c r="I122" s="29" t="n">
        <f aca="false">'Task Breakdown'!M341</f>
        <v>14</v>
      </c>
      <c r="J122" s="29" t="n">
        <f aca="false">'Task Breakdown'!N341</f>
        <v>0</v>
      </c>
      <c r="K122" s="29" t="n">
        <f aca="false">'Task Breakdown'!O341</f>
        <v>0</v>
      </c>
      <c r="L122" s="29" t="n">
        <f aca="false">'Task Breakdown'!P341</f>
        <v>0</v>
      </c>
      <c r="M122" s="29" t="n">
        <f aca="false">'Task Breakdown'!Q341</f>
        <v>0</v>
      </c>
      <c r="N122" s="29" t="n">
        <f aca="false">'Task Breakdown'!R341</f>
        <v>0</v>
      </c>
      <c r="O122" s="29" t="n">
        <f aca="false">'Task Breakdown'!S341</f>
        <v>0</v>
      </c>
      <c r="P122" s="29" t="n">
        <f aca="false">'Task Breakdown'!T341</f>
        <v>0</v>
      </c>
      <c r="Q122" s="30" t="n">
        <f aca="false">SUM(E122:P122)</f>
        <v>14</v>
      </c>
      <c r="R122" s="31" t="n">
        <f aca="false">IF($Q$216&gt;0,Q122/$Q$216,0)</f>
        <v>0.00216550657385924</v>
      </c>
    </row>
    <row r="123" customFormat="false" ht="15" hidden="false" customHeight="false" outlineLevel="0" collapsed="false">
      <c r="A123" s="26" t="str">
        <f aca="false">'Task Breakdown'!A342</f>
        <v>DR-2.04.09</v>
      </c>
      <c r="B123" s="27" t="str">
        <f aca="false">'Task Breakdown'!G342</f>
        <v>Promote through dev / test / prod and release</v>
      </c>
      <c r="C123" s="28"/>
      <c r="D123" s="28"/>
      <c r="E123" s="29" t="n">
        <f aca="false">'Task Breakdown'!I342</f>
        <v>0</v>
      </c>
      <c r="F123" s="29" t="n">
        <f aca="false">'Task Breakdown'!J342</f>
        <v>0</v>
      </c>
      <c r="G123" s="29" t="n">
        <f aca="false">'Task Breakdown'!K342</f>
        <v>9</v>
      </c>
      <c r="H123" s="29" t="n">
        <f aca="false">'Task Breakdown'!L342</f>
        <v>0</v>
      </c>
      <c r="I123" s="29" t="n">
        <f aca="false">'Task Breakdown'!M342</f>
        <v>0</v>
      </c>
      <c r="J123" s="29" t="n">
        <f aca="false">'Task Breakdown'!N342</f>
        <v>0</v>
      </c>
      <c r="K123" s="29" t="n">
        <f aca="false">'Task Breakdown'!O342</f>
        <v>0</v>
      </c>
      <c r="L123" s="29" t="n">
        <f aca="false">'Task Breakdown'!P342</f>
        <v>0</v>
      </c>
      <c r="M123" s="29" t="n">
        <f aca="false">'Task Breakdown'!Q342</f>
        <v>0</v>
      </c>
      <c r="N123" s="29" t="n">
        <f aca="false">'Task Breakdown'!R342</f>
        <v>0</v>
      </c>
      <c r="O123" s="29" t="n">
        <f aca="false">'Task Breakdown'!S342</f>
        <v>0</v>
      </c>
      <c r="P123" s="29" t="n">
        <f aca="false">'Task Breakdown'!T342</f>
        <v>0</v>
      </c>
      <c r="Q123" s="30" t="n">
        <f aca="false">SUM(E123:P123)</f>
        <v>9</v>
      </c>
      <c r="R123" s="31" t="n">
        <f aca="false">IF($Q$216&gt;0,Q123/$Q$216,0)</f>
        <v>0.00139211136890951</v>
      </c>
    </row>
    <row r="124" customFormat="false" ht="15" hidden="false" customHeight="false" outlineLevel="0" collapsed="false">
      <c r="A124" s="26" t="str">
        <f aca="false">'Task Breakdown'!A343</f>
        <v>DR-2.04.10</v>
      </c>
      <c r="B124" s="27" t="str">
        <f aca="false">'Task Breakdown'!G343</f>
        <v>Documentation, runbook and knowledge transfer</v>
      </c>
      <c r="C124" s="28"/>
      <c r="D124" s="28"/>
      <c r="E124" s="29" t="n">
        <f aca="false">'Task Breakdown'!I343</f>
        <v>0</v>
      </c>
      <c r="F124" s="29" t="n">
        <f aca="false">'Task Breakdown'!J343</f>
        <v>0</v>
      </c>
      <c r="G124" s="29" t="n">
        <f aca="false">'Task Breakdown'!K343</f>
        <v>0</v>
      </c>
      <c r="H124" s="29" t="n">
        <f aca="false">'Task Breakdown'!L343</f>
        <v>0</v>
      </c>
      <c r="I124" s="29" t="n">
        <f aca="false">'Task Breakdown'!M343</f>
        <v>0</v>
      </c>
      <c r="J124" s="29" t="n">
        <f aca="false">'Task Breakdown'!N343</f>
        <v>9</v>
      </c>
      <c r="K124" s="29" t="n">
        <f aca="false">'Task Breakdown'!O343</f>
        <v>0</v>
      </c>
      <c r="L124" s="29" t="n">
        <f aca="false">'Task Breakdown'!P343</f>
        <v>0</v>
      </c>
      <c r="M124" s="29" t="n">
        <f aca="false">'Task Breakdown'!Q343</f>
        <v>0</v>
      </c>
      <c r="N124" s="29" t="n">
        <f aca="false">'Task Breakdown'!R343</f>
        <v>0</v>
      </c>
      <c r="O124" s="29" t="n">
        <f aca="false">'Task Breakdown'!S343</f>
        <v>0</v>
      </c>
      <c r="P124" s="29" t="n">
        <f aca="false">'Task Breakdown'!T343</f>
        <v>0</v>
      </c>
      <c r="Q124" s="30" t="n">
        <f aca="false">SUM(E124:P124)</f>
        <v>9</v>
      </c>
      <c r="R124" s="31" t="n">
        <f aca="false">IF($Q$216&gt;0,Q124/$Q$216,0)</f>
        <v>0.00139211136890951</v>
      </c>
    </row>
    <row r="125" customFormat="false" ht="15" hidden="false" customHeight="false" outlineLevel="0" collapsed="false">
      <c r="A125" s="26" t="str">
        <f aca="false">'Task Breakdown'!A344</f>
        <v>DR-2.04.11</v>
      </c>
      <c r="B125" s="27" t="str">
        <f aca="false">'Task Breakdown'!G344</f>
        <v>Defect fixing and rework after testing</v>
      </c>
      <c r="C125" s="28"/>
      <c r="D125" s="28"/>
      <c r="E125" s="29" t="n">
        <f aca="false">'Task Breakdown'!I344</f>
        <v>0</v>
      </c>
      <c r="F125" s="29" t="n">
        <f aca="false">'Task Breakdown'!J344</f>
        <v>0</v>
      </c>
      <c r="G125" s="29" t="n">
        <f aca="false">'Task Breakdown'!K344</f>
        <v>0</v>
      </c>
      <c r="H125" s="29" t="n">
        <f aca="false">'Task Breakdown'!L344</f>
        <v>0</v>
      </c>
      <c r="I125" s="29" t="n">
        <f aca="false">'Task Breakdown'!M344</f>
        <v>0</v>
      </c>
      <c r="J125" s="29" t="n">
        <f aca="false">'Task Breakdown'!N344</f>
        <v>19</v>
      </c>
      <c r="K125" s="29" t="n">
        <f aca="false">'Task Breakdown'!O344</f>
        <v>0</v>
      </c>
      <c r="L125" s="29" t="n">
        <f aca="false">'Task Breakdown'!P344</f>
        <v>0</v>
      </c>
      <c r="M125" s="29" t="n">
        <f aca="false">'Task Breakdown'!Q344</f>
        <v>0</v>
      </c>
      <c r="N125" s="29" t="n">
        <f aca="false">'Task Breakdown'!R344</f>
        <v>0</v>
      </c>
      <c r="O125" s="29" t="n">
        <f aca="false">'Task Breakdown'!S344</f>
        <v>0</v>
      </c>
      <c r="P125" s="29" t="n">
        <f aca="false">'Task Breakdown'!T344</f>
        <v>0</v>
      </c>
      <c r="Q125" s="30" t="n">
        <f aca="false">SUM(E125:P125)</f>
        <v>19</v>
      </c>
      <c r="R125" s="31" t="n">
        <f aca="false">IF($Q$216&gt;0,Q125/$Q$216,0)</f>
        <v>0.00293890177880897</v>
      </c>
    </row>
    <row r="126" customFormat="false" ht="15" hidden="false" customHeight="false" outlineLevel="0" collapsed="false">
      <c r="A126" s="23" t="s">
        <v>200</v>
      </c>
      <c r="B126" s="23" t="s">
        <v>201</v>
      </c>
      <c r="C126" s="23" t="s">
        <v>44</v>
      </c>
      <c r="D126" s="23" t="s">
        <v>202</v>
      </c>
      <c r="E126" s="24" t="n">
        <f aca="false">SUM(E127:E135)</f>
        <v>0</v>
      </c>
      <c r="F126" s="24" t="n">
        <f aca="false">SUM(F127:F135)</f>
        <v>0</v>
      </c>
      <c r="G126" s="24" t="n">
        <f aca="false">SUM(G127:G135)</f>
        <v>10</v>
      </c>
      <c r="H126" s="24" t="n">
        <f aca="false">SUM(H127:H135)</f>
        <v>0</v>
      </c>
      <c r="I126" s="24" t="n">
        <f aca="false">SUM(I127:I135)</f>
        <v>0</v>
      </c>
      <c r="J126" s="24" t="n">
        <f aca="false">SUM(J127:J135)</f>
        <v>0</v>
      </c>
      <c r="K126" s="24" t="n">
        <f aca="false">SUM(K127:K135)</f>
        <v>152</v>
      </c>
      <c r="L126" s="24" t="n">
        <f aca="false">SUM(L127:L135)</f>
        <v>65</v>
      </c>
      <c r="M126" s="24" t="n">
        <f aca="false">SUM(M127:M135)</f>
        <v>0</v>
      </c>
      <c r="N126" s="24" t="n">
        <f aca="false">SUM(N127:N135)</f>
        <v>25</v>
      </c>
      <c r="O126" s="24" t="n">
        <f aca="false">SUM(O127:O135)</f>
        <v>49</v>
      </c>
      <c r="P126" s="24" t="n">
        <f aca="false">SUM(P127:P135)</f>
        <v>0</v>
      </c>
      <c r="Q126" s="24" t="n">
        <f aca="false">SUM(Q127:Q135)</f>
        <v>301</v>
      </c>
      <c r="R126" s="25" t="n">
        <f aca="false">IF($Q$216&gt;0,Q126/$Q$216,0)</f>
        <v>0.0465583913379737</v>
      </c>
    </row>
    <row r="127" customFormat="false" ht="15" hidden="false" customHeight="false" outlineLevel="0" collapsed="false">
      <c r="A127" s="26" t="str">
        <f aca="false">'Task Breakdown'!A345</f>
        <v>DR-2.05.01</v>
      </c>
      <c r="B127" s="27" t="str">
        <f aca="false">'Task Breakdown'!G345</f>
        <v>Define quality rules with data owners</v>
      </c>
      <c r="C127" s="28"/>
      <c r="D127" s="28"/>
      <c r="E127" s="29" t="n">
        <f aca="false">'Task Breakdown'!I345</f>
        <v>0</v>
      </c>
      <c r="F127" s="29" t="n">
        <f aca="false">'Task Breakdown'!J345</f>
        <v>0</v>
      </c>
      <c r="G127" s="29" t="n">
        <f aca="false">'Task Breakdown'!K345</f>
        <v>0</v>
      </c>
      <c r="H127" s="29" t="n">
        <f aca="false">'Task Breakdown'!L345</f>
        <v>0</v>
      </c>
      <c r="I127" s="29" t="n">
        <f aca="false">'Task Breakdown'!M345</f>
        <v>0</v>
      </c>
      <c r="J127" s="29" t="n">
        <f aca="false">'Task Breakdown'!N345</f>
        <v>0</v>
      </c>
      <c r="K127" s="29" t="n">
        <f aca="false">'Task Breakdown'!O345</f>
        <v>0</v>
      </c>
      <c r="L127" s="29" t="n">
        <f aca="false">'Task Breakdown'!P345</f>
        <v>25</v>
      </c>
      <c r="M127" s="29" t="n">
        <f aca="false">'Task Breakdown'!Q345</f>
        <v>0</v>
      </c>
      <c r="N127" s="29" t="n">
        <f aca="false">'Task Breakdown'!R345</f>
        <v>25</v>
      </c>
      <c r="O127" s="29" t="n">
        <f aca="false">'Task Breakdown'!S345</f>
        <v>0</v>
      </c>
      <c r="P127" s="29" t="n">
        <f aca="false">'Task Breakdown'!T345</f>
        <v>0</v>
      </c>
      <c r="Q127" s="30" t="n">
        <f aca="false">SUM(E127:P127)</f>
        <v>50</v>
      </c>
      <c r="R127" s="31" t="n">
        <f aca="false">IF($Q$216&gt;0,Q127/$Q$216,0)</f>
        <v>0.00773395204949729</v>
      </c>
    </row>
    <row r="128" customFormat="false" ht="15" hidden="false" customHeight="false" outlineLevel="0" collapsed="false">
      <c r="A128" s="26" t="str">
        <f aca="false">'Task Breakdown'!A346</f>
        <v>DR-2.05.02</v>
      </c>
      <c r="B128" s="27" t="str">
        <f aca="false">'Task Breakdown'!G346</f>
        <v>Implement rules (completeness, validity, freshness) in pipelines</v>
      </c>
      <c r="C128" s="28"/>
      <c r="D128" s="28"/>
      <c r="E128" s="29" t="n">
        <f aca="false">'Task Breakdown'!I346</f>
        <v>0</v>
      </c>
      <c r="F128" s="29" t="n">
        <f aca="false">'Task Breakdown'!J346</f>
        <v>0</v>
      </c>
      <c r="G128" s="29" t="n">
        <f aca="false">'Task Breakdown'!K346</f>
        <v>0</v>
      </c>
      <c r="H128" s="29" t="n">
        <f aca="false">'Task Breakdown'!L346</f>
        <v>0</v>
      </c>
      <c r="I128" s="29" t="n">
        <f aca="false">'Task Breakdown'!M346</f>
        <v>0</v>
      </c>
      <c r="J128" s="29" t="n">
        <f aca="false">'Task Breakdown'!N346</f>
        <v>0</v>
      </c>
      <c r="K128" s="29" t="n">
        <f aca="false">'Task Breakdown'!O346</f>
        <v>73</v>
      </c>
      <c r="L128" s="29" t="n">
        <f aca="false">'Task Breakdown'!P346</f>
        <v>0</v>
      </c>
      <c r="M128" s="29" t="n">
        <f aca="false">'Task Breakdown'!Q346</f>
        <v>0</v>
      </c>
      <c r="N128" s="29" t="n">
        <f aca="false">'Task Breakdown'!R346</f>
        <v>0</v>
      </c>
      <c r="O128" s="29" t="n">
        <f aca="false">'Task Breakdown'!S346</f>
        <v>0</v>
      </c>
      <c r="P128" s="29" t="n">
        <f aca="false">'Task Breakdown'!T346</f>
        <v>0</v>
      </c>
      <c r="Q128" s="30" t="n">
        <f aca="false">SUM(E128:P128)</f>
        <v>73</v>
      </c>
      <c r="R128" s="31" t="n">
        <f aca="false">IF($Q$216&gt;0,Q128/$Q$216,0)</f>
        <v>0.011291569992266</v>
      </c>
    </row>
    <row r="129" customFormat="false" ht="15" hidden="false" customHeight="false" outlineLevel="0" collapsed="false">
      <c r="A129" s="26" t="str">
        <f aca="false">'Task Breakdown'!A347</f>
        <v>DR-2.05.03</v>
      </c>
      <c r="B129" s="27" t="str">
        <f aca="false">'Task Breakdown'!G347</f>
        <v>Build data quality dashboard and alerts</v>
      </c>
      <c r="C129" s="28"/>
      <c r="D129" s="28"/>
      <c r="E129" s="29" t="n">
        <f aca="false">'Task Breakdown'!I347</f>
        <v>0</v>
      </c>
      <c r="F129" s="29" t="n">
        <f aca="false">'Task Breakdown'!J347</f>
        <v>0</v>
      </c>
      <c r="G129" s="29" t="n">
        <f aca="false">'Task Breakdown'!K347</f>
        <v>0</v>
      </c>
      <c r="H129" s="29" t="n">
        <f aca="false">'Task Breakdown'!L347</f>
        <v>0</v>
      </c>
      <c r="I129" s="29" t="n">
        <f aca="false">'Task Breakdown'!M347</f>
        <v>0</v>
      </c>
      <c r="J129" s="29" t="n">
        <f aca="false">'Task Breakdown'!N347</f>
        <v>0</v>
      </c>
      <c r="K129" s="29" t="n">
        <f aca="false">'Task Breakdown'!O347</f>
        <v>37</v>
      </c>
      <c r="L129" s="29" t="n">
        <f aca="false">'Task Breakdown'!P347</f>
        <v>0</v>
      </c>
      <c r="M129" s="29" t="n">
        <f aca="false">'Task Breakdown'!Q347</f>
        <v>0</v>
      </c>
      <c r="N129" s="29" t="n">
        <f aca="false">'Task Breakdown'!R347</f>
        <v>0</v>
      </c>
      <c r="O129" s="29" t="n">
        <f aca="false">'Task Breakdown'!S347</f>
        <v>0</v>
      </c>
      <c r="P129" s="29" t="n">
        <f aca="false">'Task Breakdown'!T347</f>
        <v>0</v>
      </c>
      <c r="Q129" s="30" t="n">
        <f aca="false">SUM(E129:P129)</f>
        <v>37</v>
      </c>
      <c r="R129" s="31" t="n">
        <f aca="false">IF($Q$216&gt;0,Q129/$Q$216,0)</f>
        <v>0.005723124516628</v>
      </c>
    </row>
    <row r="130" customFormat="false" ht="15" hidden="false" customHeight="false" outlineLevel="0" collapsed="false">
      <c r="A130" s="26" t="str">
        <f aca="false">'Task Breakdown'!A348</f>
        <v>DR-2.05.04</v>
      </c>
      <c r="B130" s="27" t="str">
        <f aca="false">'Task Breakdown'!G348</f>
        <v>Define issue triage process</v>
      </c>
      <c r="C130" s="28"/>
      <c r="D130" s="28"/>
      <c r="E130" s="29" t="n">
        <f aca="false">'Task Breakdown'!I348</f>
        <v>0</v>
      </c>
      <c r="F130" s="29" t="n">
        <f aca="false">'Task Breakdown'!J348</f>
        <v>0</v>
      </c>
      <c r="G130" s="29" t="n">
        <f aca="false">'Task Breakdown'!K348</f>
        <v>0</v>
      </c>
      <c r="H130" s="29" t="n">
        <f aca="false">'Task Breakdown'!L348</f>
        <v>0</v>
      </c>
      <c r="I130" s="29" t="n">
        <f aca="false">'Task Breakdown'!M348</f>
        <v>0</v>
      </c>
      <c r="J130" s="29" t="n">
        <f aca="false">'Task Breakdown'!N348</f>
        <v>0</v>
      </c>
      <c r="K130" s="29" t="n">
        <f aca="false">'Task Breakdown'!O348</f>
        <v>0</v>
      </c>
      <c r="L130" s="29" t="n">
        <f aca="false">'Task Breakdown'!P348</f>
        <v>25</v>
      </c>
      <c r="M130" s="29" t="n">
        <f aca="false">'Task Breakdown'!Q348</f>
        <v>0</v>
      </c>
      <c r="N130" s="29" t="n">
        <f aca="false">'Task Breakdown'!R348</f>
        <v>0</v>
      </c>
      <c r="O130" s="29" t="n">
        <f aca="false">'Task Breakdown'!S348</f>
        <v>0</v>
      </c>
      <c r="P130" s="29" t="n">
        <f aca="false">'Task Breakdown'!T348</f>
        <v>0</v>
      </c>
      <c r="Q130" s="30" t="n">
        <f aca="false">SUM(E130:P130)</f>
        <v>25</v>
      </c>
      <c r="R130" s="31" t="n">
        <f aca="false">IF($Q$216&gt;0,Q130/$Q$216,0)</f>
        <v>0.00386697602474865</v>
      </c>
    </row>
    <row r="131" customFormat="false" ht="15" hidden="false" customHeight="false" outlineLevel="0" collapsed="false">
      <c r="A131" s="26" t="str">
        <f aca="false">'Task Breakdown'!A349</f>
        <v>DR-2.05.05</v>
      </c>
      <c r="B131" s="27" t="str">
        <f aca="false">'Task Breakdown'!G349</f>
        <v>Test the rules</v>
      </c>
      <c r="C131" s="28"/>
      <c r="D131" s="28"/>
      <c r="E131" s="29" t="n">
        <f aca="false">'Task Breakdown'!I349</f>
        <v>0</v>
      </c>
      <c r="F131" s="29" t="n">
        <f aca="false">'Task Breakdown'!J349</f>
        <v>0</v>
      </c>
      <c r="G131" s="29" t="n">
        <f aca="false">'Task Breakdown'!K349</f>
        <v>0</v>
      </c>
      <c r="H131" s="29" t="n">
        <f aca="false">'Task Breakdown'!L349</f>
        <v>0</v>
      </c>
      <c r="I131" s="29" t="n">
        <f aca="false">'Task Breakdown'!M349</f>
        <v>0</v>
      </c>
      <c r="J131" s="29" t="n">
        <f aca="false">'Task Breakdown'!N349</f>
        <v>0</v>
      </c>
      <c r="K131" s="29" t="n">
        <f aca="false">'Task Breakdown'!O349</f>
        <v>12</v>
      </c>
      <c r="L131" s="29" t="n">
        <f aca="false">'Task Breakdown'!P349</f>
        <v>0</v>
      </c>
      <c r="M131" s="29" t="n">
        <f aca="false">'Task Breakdown'!Q349</f>
        <v>0</v>
      </c>
      <c r="N131" s="29" t="n">
        <f aca="false">'Task Breakdown'!R349</f>
        <v>0</v>
      </c>
      <c r="O131" s="29" t="n">
        <f aca="false">'Task Breakdown'!S349</f>
        <v>49</v>
      </c>
      <c r="P131" s="29" t="n">
        <f aca="false">'Task Breakdown'!T349</f>
        <v>0</v>
      </c>
      <c r="Q131" s="30" t="n">
        <f aca="false">SUM(E131:P131)</f>
        <v>61</v>
      </c>
      <c r="R131" s="31" t="n">
        <f aca="false">IF($Q$216&gt;0,Q131/$Q$216,0)</f>
        <v>0.0094354215003867</v>
      </c>
    </row>
    <row r="132" customFormat="false" ht="15" hidden="false" customHeight="false" outlineLevel="0" collapsed="false">
      <c r="A132" s="26" t="str">
        <f aca="false">'Task Breakdown'!A350</f>
        <v>DR-2.05.06</v>
      </c>
      <c r="B132" s="27" t="str">
        <f aca="false">'Task Breakdown'!G350</f>
        <v>Detailed design and design review</v>
      </c>
      <c r="C132" s="28"/>
      <c r="D132" s="28"/>
      <c r="E132" s="29" t="n">
        <f aca="false">'Task Breakdown'!I350</f>
        <v>0</v>
      </c>
      <c r="F132" s="29" t="n">
        <f aca="false">'Task Breakdown'!J350</f>
        <v>0</v>
      </c>
      <c r="G132" s="29" t="n">
        <f aca="false">'Task Breakdown'!K350</f>
        <v>0</v>
      </c>
      <c r="H132" s="29" t="n">
        <f aca="false">'Task Breakdown'!L350</f>
        <v>0</v>
      </c>
      <c r="I132" s="29" t="n">
        <f aca="false">'Task Breakdown'!M350</f>
        <v>0</v>
      </c>
      <c r="J132" s="29" t="n">
        <f aca="false">'Task Breakdown'!N350</f>
        <v>0</v>
      </c>
      <c r="K132" s="29" t="n">
        <f aca="false">'Task Breakdown'!O350</f>
        <v>0</v>
      </c>
      <c r="L132" s="29" t="n">
        <f aca="false">'Task Breakdown'!P350</f>
        <v>15</v>
      </c>
      <c r="M132" s="29" t="n">
        <f aca="false">'Task Breakdown'!Q350</f>
        <v>0</v>
      </c>
      <c r="N132" s="29" t="n">
        <f aca="false">'Task Breakdown'!R350</f>
        <v>0</v>
      </c>
      <c r="O132" s="29" t="n">
        <f aca="false">'Task Breakdown'!S350</f>
        <v>0</v>
      </c>
      <c r="P132" s="29" t="n">
        <f aca="false">'Task Breakdown'!T350</f>
        <v>0</v>
      </c>
      <c r="Q132" s="30" t="n">
        <f aca="false">SUM(E132:P132)</f>
        <v>15</v>
      </c>
      <c r="R132" s="31" t="n">
        <f aca="false">IF($Q$216&gt;0,Q132/$Q$216,0)</f>
        <v>0.00232018561484919</v>
      </c>
    </row>
    <row r="133" customFormat="false" ht="15" hidden="false" customHeight="false" outlineLevel="0" collapsed="false">
      <c r="A133" s="26" t="str">
        <f aca="false">'Task Breakdown'!A351</f>
        <v>DR-2.05.07</v>
      </c>
      <c r="B133" s="27" t="str">
        <f aca="false">'Task Breakdown'!G351</f>
        <v>Promote through dev / test / prod and release</v>
      </c>
      <c r="C133" s="28"/>
      <c r="D133" s="28"/>
      <c r="E133" s="29" t="n">
        <f aca="false">'Task Breakdown'!I351</f>
        <v>0</v>
      </c>
      <c r="F133" s="29" t="n">
        <f aca="false">'Task Breakdown'!J351</f>
        <v>0</v>
      </c>
      <c r="G133" s="29" t="n">
        <f aca="false">'Task Breakdown'!K351</f>
        <v>10</v>
      </c>
      <c r="H133" s="29" t="n">
        <f aca="false">'Task Breakdown'!L351</f>
        <v>0</v>
      </c>
      <c r="I133" s="29" t="n">
        <f aca="false">'Task Breakdown'!M351</f>
        <v>0</v>
      </c>
      <c r="J133" s="29" t="n">
        <f aca="false">'Task Breakdown'!N351</f>
        <v>0</v>
      </c>
      <c r="K133" s="29" t="n">
        <f aca="false">'Task Breakdown'!O351</f>
        <v>0</v>
      </c>
      <c r="L133" s="29" t="n">
        <f aca="false">'Task Breakdown'!P351</f>
        <v>0</v>
      </c>
      <c r="M133" s="29" t="n">
        <f aca="false">'Task Breakdown'!Q351</f>
        <v>0</v>
      </c>
      <c r="N133" s="29" t="n">
        <f aca="false">'Task Breakdown'!R351</f>
        <v>0</v>
      </c>
      <c r="O133" s="29" t="n">
        <f aca="false">'Task Breakdown'!S351</f>
        <v>0</v>
      </c>
      <c r="P133" s="29" t="n">
        <f aca="false">'Task Breakdown'!T351</f>
        <v>0</v>
      </c>
      <c r="Q133" s="30" t="n">
        <f aca="false">SUM(E133:P133)</f>
        <v>10</v>
      </c>
      <c r="R133" s="31" t="n">
        <f aca="false">IF($Q$216&gt;0,Q133/$Q$216,0)</f>
        <v>0.00154679040989946</v>
      </c>
    </row>
    <row r="134" customFormat="false" ht="15" hidden="false" customHeight="false" outlineLevel="0" collapsed="false">
      <c r="A134" s="26" t="str">
        <f aca="false">'Task Breakdown'!A352</f>
        <v>DR-2.05.08</v>
      </c>
      <c r="B134" s="27" t="str">
        <f aca="false">'Task Breakdown'!G352</f>
        <v>Documentation, runbook and knowledge transfer</v>
      </c>
      <c r="C134" s="28"/>
      <c r="D134" s="28"/>
      <c r="E134" s="29" t="n">
        <f aca="false">'Task Breakdown'!I352</f>
        <v>0</v>
      </c>
      <c r="F134" s="29" t="n">
        <f aca="false">'Task Breakdown'!J352</f>
        <v>0</v>
      </c>
      <c r="G134" s="29" t="n">
        <f aca="false">'Task Breakdown'!K352</f>
        <v>0</v>
      </c>
      <c r="H134" s="29" t="n">
        <f aca="false">'Task Breakdown'!L352</f>
        <v>0</v>
      </c>
      <c r="I134" s="29" t="n">
        <f aca="false">'Task Breakdown'!M352</f>
        <v>0</v>
      </c>
      <c r="J134" s="29" t="n">
        <f aca="false">'Task Breakdown'!N352</f>
        <v>0</v>
      </c>
      <c r="K134" s="29" t="n">
        <f aca="false">'Task Breakdown'!O352</f>
        <v>10</v>
      </c>
      <c r="L134" s="29" t="n">
        <f aca="false">'Task Breakdown'!P352</f>
        <v>0</v>
      </c>
      <c r="M134" s="29" t="n">
        <f aca="false">'Task Breakdown'!Q352</f>
        <v>0</v>
      </c>
      <c r="N134" s="29" t="n">
        <f aca="false">'Task Breakdown'!R352</f>
        <v>0</v>
      </c>
      <c r="O134" s="29" t="n">
        <f aca="false">'Task Breakdown'!S352</f>
        <v>0</v>
      </c>
      <c r="P134" s="29" t="n">
        <f aca="false">'Task Breakdown'!T352</f>
        <v>0</v>
      </c>
      <c r="Q134" s="30" t="n">
        <f aca="false">SUM(E134:P134)</f>
        <v>10</v>
      </c>
      <c r="R134" s="31" t="n">
        <f aca="false">IF($Q$216&gt;0,Q134/$Q$216,0)</f>
        <v>0.00154679040989946</v>
      </c>
    </row>
    <row r="135" customFormat="false" ht="15" hidden="false" customHeight="false" outlineLevel="0" collapsed="false">
      <c r="A135" s="26" t="str">
        <f aca="false">'Task Breakdown'!A353</f>
        <v>DR-2.05.09</v>
      </c>
      <c r="B135" s="27" t="str">
        <f aca="false">'Task Breakdown'!G353</f>
        <v>Defect fixing and rework after testing</v>
      </c>
      <c r="C135" s="28"/>
      <c r="D135" s="28"/>
      <c r="E135" s="29" t="n">
        <f aca="false">'Task Breakdown'!I353</f>
        <v>0</v>
      </c>
      <c r="F135" s="29" t="n">
        <f aca="false">'Task Breakdown'!J353</f>
        <v>0</v>
      </c>
      <c r="G135" s="29" t="n">
        <f aca="false">'Task Breakdown'!K353</f>
        <v>0</v>
      </c>
      <c r="H135" s="29" t="n">
        <f aca="false">'Task Breakdown'!L353</f>
        <v>0</v>
      </c>
      <c r="I135" s="29" t="n">
        <f aca="false">'Task Breakdown'!M353</f>
        <v>0</v>
      </c>
      <c r="J135" s="29" t="n">
        <f aca="false">'Task Breakdown'!N353</f>
        <v>0</v>
      </c>
      <c r="K135" s="29" t="n">
        <f aca="false">'Task Breakdown'!O353</f>
        <v>20</v>
      </c>
      <c r="L135" s="29" t="n">
        <f aca="false">'Task Breakdown'!P353</f>
        <v>0</v>
      </c>
      <c r="M135" s="29" t="n">
        <f aca="false">'Task Breakdown'!Q353</f>
        <v>0</v>
      </c>
      <c r="N135" s="29" t="n">
        <f aca="false">'Task Breakdown'!R353</f>
        <v>0</v>
      </c>
      <c r="O135" s="29" t="n">
        <f aca="false">'Task Breakdown'!S353</f>
        <v>0</v>
      </c>
      <c r="P135" s="29" t="n">
        <f aca="false">'Task Breakdown'!T353</f>
        <v>0</v>
      </c>
      <c r="Q135" s="30" t="n">
        <f aca="false">SUM(E135:P135)</f>
        <v>20</v>
      </c>
      <c r="R135" s="31" t="n">
        <f aca="false">IF($Q$216&gt;0,Q135/$Q$216,0)</f>
        <v>0.00309358081979892</v>
      </c>
    </row>
    <row r="136" customFormat="false" ht="15" hidden="false" customHeight="false" outlineLevel="0" collapsed="false">
      <c r="A136" s="23" t="s">
        <v>203</v>
      </c>
      <c r="B136" s="23" t="s">
        <v>204</v>
      </c>
      <c r="C136" s="23" t="s">
        <v>44</v>
      </c>
      <c r="D136" s="23" t="s">
        <v>205</v>
      </c>
      <c r="E136" s="24" t="n">
        <f aca="false">SUM(E137:E146)</f>
        <v>0</v>
      </c>
      <c r="F136" s="24" t="n">
        <f aca="false">SUM(F137:F146)</f>
        <v>24</v>
      </c>
      <c r="G136" s="24" t="n">
        <f aca="false">SUM(G137:G146)</f>
        <v>60</v>
      </c>
      <c r="H136" s="24" t="n">
        <f aca="false">SUM(H137:H146)</f>
        <v>0</v>
      </c>
      <c r="I136" s="24" t="n">
        <f aca="false">SUM(I137:I146)</f>
        <v>0</v>
      </c>
      <c r="J136" s="24" t="n">
        <f aca="false">SUM(J137:J146)</f>
        <v>0</v>
      </c>
      <c r="K136" s="24" t="n">
        <f aca="false">SUM(K137:K146)</f>
        <v>205</v>
      </c>
      <c r="L136" s="24" t="n">
        <f aca="false">SUM(L137:L146)</f>
        <v>41</v>
      </c>
      <c r="M136" s="24" t="n">
        <f aca="false">SUM(M137:M146)</f>
        <v>0</v>
      </c>
      <c r="N136" s="24" t="n">
        <f aca="false">SUM(N137:N146)</f>
        <v>0</v>
      </c>
      <c r="O136" s="24" t="n">
        <f aca="false">SUM(O137:O146)</f>
        <v>0</v>
      </c>
      <c r="P136" s="24" t="n">
        <f aca="false">SUM(P137:P146)</f>
        <v>0</v>
      </c>
      <c r="Q136" s="24" t="n">
        <f aca="false">SUM(Q137:Q146)</f>
        <v>330</v>
      </c>
      <c r="R136" s="25" t="n">
        <f aca="false">IF($Q$216&gt;0,Q136/$Q$216,0)</f>
        <v>0.0510440835266821</v>
      </c>
    </row>
    <row r="137" customFormat="false" ht="15" hidden="false" customHeight="false" outlineLevel="0" collapsed="false">
      <c r="A137" s="26" t="str">
        <f aca="false">'Task Breakdown'!A354</f>
        <v>DR-2.06.01</v>
      </c>
      <c r="B137" s="27" t="str">
        <f aca="false">'Task Breakdown'!G354</f>
        <v>Design Fabric workspaces and capacity</v>
      </c>
      <c r="C137" s="28"/>
      <c r="D137" s="28"/>
      <c r="E137" s="29" t="n">
        <f aca="false">'Task Breakdown'!I354</f>
        <v>0</v>
      </c>
      <c r="F137" s="29" t="n">
        <f aca="false">'Task Breakdown'!J354</f>
        <v>18</v>
      </c>
      <c r="G137" s="29" t="n">
        <f aca="false">'Task Breakdown'!K354</f>
        <v>0</v>
      </c>
      <c r="H137" s="29" t="n">
        <f aca="false">'Task Breakdown'!L354</f>
        <v>0</v>
      </c>
      <c r="I137" s="29" t="n">
        <f aca="false">'Task Breakdown'!M354</f>
        <v>0</v>
      </c>
      <c r="J137" s="29" t="n">
        <f aca="false">'Task Breakdown'!N354</f>
        <v>0</v>
      </c>
      <c r="K137" s="29" t="n">
        <f aca="false">'Task Breakdown'!O354</f>
        <v>0</v>
      </c>
      <c r="L137" s="29" t="n">
        <f aca="false">'Task Breakdown'!P354</f>
        <v>0</v>
      </c>
      <c r="M137" s="29" t="n">
        <f aca="false">'Task Breakdown'!Q354</f>
        <v>0</v>
      </c>
      <c r="N137" s="29" t="n">
        <f aca="false">'Task Breakdown'!R354</f>
        <v>0</v>
      </c>
      <c r="O137" s="29" t="n">
        <f aca="false">'Task Breakdown'!S354</f>
        <v>0</v>
      </c>
      <c r="P137" s="29" t="n">
        <f aca="false">'Task Breakdown'!T354</f>
        <v>0</v>
      </c>
      <c r="Q137" s="30" t="n">
        <f aca="false">SUM(E137:P137)</f>
        <v>18</v>
      </c>
      <c r="R137" s="31" t="n">
        <f aca="false">IF($Q$216&gt;0,Q137/$Q$216,0)</f>
        <v>0.00278422273781903</v>
      </c>
    </row>
    <row r="138" customFormat="false" ht="15" hidden="false" customHeight="false" outlineLevel="0" collapsed="false">
      <c r="A138" s="26" t="str">
        <f aca="false">'Task Breakdown'!A355</f>
        <v>DR-2.06.02</v>
      </c>
      <c r="B138" s="27" t="str">
        <f aca="false">'Task Breakdown'!G355</f>
        <v>Provision Fabric capacity and workspaces</v>
      </c>
      <c r="C138" s="28"/>
      <c r="D138" s="28"/>
      <c r="E138" s="29" t="n">
        <f aca="false">'Task Breakdown'!I355</f>
        <v>0</v>
      </c>
      <c r="F138" s="29" t="n">
        <f aca="false">'Task Breakdown'!J355</f>
        <v>0</v>
      </c>
      <c r="G138" s="29" t="n">
        <f aca="false">'Task Breakdown'!K355</f>
        <v>31</v>
      </c>
      <c r="H138" s="29" t="n">
        <f aca="false">'Task Breakdown'!L355</f>
        <v>0</v>
      </c>
      <c r="I138" s="29" t="n">
        <f aca="false">'Task Breakdown'!M355</f>
        <v>0</v>
      </c>
      <c r="J138" s="29" t="n">
        <f aca="false">'Task Breakdown'!N355</f>
        <v>0</v>
      </c>
      <c r="K138" s="29" t="n">
        <f aca="false">'Task Breakdown'!O355</f>
        <v>0</v>
      </c>
      <c r="L138" s="29" t="n">
        <f aca="false">'Task Breakdown'!P355</f>
        <v>0</v>
      </c>
      <c r="M138" s="29" t="n">
        <f aca="false">'Task Breakdown'!Q355</f>
        <v>0</v>
      </c>
      <c r="N138" s="29" t="n">
        <f aca="false">'Task Breakdown'!R355</f>
        <v>0</v>
      </c>
      <c r="O138" s="29" t="n">
        <f aca="false">'Task Breakdown'!S355</f>
        <v>0</v>
      </c>
      <c r="P138" s="29" t="n">
        <f aca="false">'Task Breakdown'!T355</f>
        <v>0</v>
      </c>
      <c r="Q138" s="30" t="n">
        <f aca="false">SUM(E138:P138)</f>
        <v>31</v>
      </c>
      <c r="R138" s="31" t="n">
        <f aca="false">IF($Q$216&gt;0,Q138/$Q$216,0)</f>
        <v>0.00479505027068832</v>
      </c>
    </row>
    <row r="139" customFormat="false" ht="15" hidden="false" customHeight="false" outlineLevel="0" collapsed="false">
      <c r="A139" s="26" t="str">
        <f aca="false">'Task Breakdown'!A356</f>
        <v>DR-2.06.03</v>
      </c>
      <c r="B139" s="27" t="str">
        <f aca="false">'Task Breakdown'!G356</f>
        <v>Set up OneLake shortcuts to ADLS</v>
      </c>
      <c r="C139" s="28"/>
      <c r="D139" s="28"/>
      <c r="E139" s="29" t="n">
        <f aca="false">'Task Breakdown'!I356</f>
        <v>0</v>
      </c>
      <c r="F139" s="29" t="n">
        <f aca="false">'Task Breakdown'!J356</f>
        <v>0</v>
      </c>
      <c r="G139" s="29" t="n">
        <f aca="false">'Task Breakdown'!K356</f>
        <v>0</v>
      </c>
      <c r="H139" s="29" t="n">
        <f aca="false">'Task Breakdown'!L356</f>
        <v>0</v>
      </c>
      <c r="I139" s="29" t="n">
        <f aca="false">'Task Breakdown'!M356</f>
        <v>0</v>
      </c>
      <c r="J139" s="29" t="n">
        <f aca="false">'Task Breakdown'!N356</f>
        <v>0</v>
      </c>
      <c r="K139" s="29" t="n">
        <f aca="false">'Task Breakdown'!O356</f>
        <v>25</v>
      </c>
      <c r="L139" s="29" t="n">
        <f aca="false">'Task Breakdown'!P356</f>
        <v>0</v>
      </c>
      <c r="M139" s="29" t="n">
        <f aca="false">'Task Breakdown'!Q356</f>
        <v>0</v>
      </c>
      <c r="N139" s="29" t="n">
        <f aca="false">'Task Breakdown'!R356</f>
        <v>0</v>
      </c>
      <c r="O139" s="29" t="n">
        <f aca="false">'Task Breakdown'!S356</f>
        <v>0</v>
      </c>
      <c r="P139" s="29" t="n">
        <f aca="false">'Task Breakdown'!T356</f>
        <v>0</v>
      </c>
      <c r="Q139" s="30" t="n">
        <f aca="false">SUM(E139:P139)</f>
        <v>25</v>
      </c>
      <c r="R139" s="31" t="n">
        <f aca="false">IF($Q$216&gt;0,Q139/$Q$216,0)</f>
        <v>0.00386697602474865</v>
      </c>
    </row>
    <row r="140" customFormat="false" ht="15" hidden="false" customHeight="false" outlineLevel="0" collapsed="false">
      <c r="A140" s="26" t="str">
        <f aca="false">'Task Breakdown'!A357</f>
        <v>DR-2.06.04</v>
      </c>
      <c r="B140" s="27" t="str">
        <f aca="false">'Task Breakdown'!G357</f>
        <v>Build lakehouse / warehouse models (production, quality, supply)</v>
      </c>
      <c r="C140" s="28"/>
      <c r="D140" s="28"/>
      <c r="E140" s="29" t="n">
        <f aca="false">'Task Breakdown'!I357</f>
        <v>0</v>
      </c>
      <c r="F140" s="29" t="n">
        <f aca="false">'Task Breakdown'!J357</f>
        <v>0</v>
      </c>
      <c r="G140" s="29" t="n">
        <f aca="false">'Task Breakdown'!K357</f>
        <v>0</v>
      </c>
      <c r="H140" s="29" t="n">
        <f aca="false">'Task Breakdown'!L357</f>
        <v>0</v>
      </c>
      <c r="I140" s="29" t="n">
        <f aca="false">'Task Breakdown'!M357</f>
        <v>0</v>
      </c>
      <c r="J140" s="29" t="n">
        <f aca="false">'Task Breakdown'!N357</f>
        <v>0</v>
      </c>
      <c r="K140" s="29" t="n">
        <f aca="false">'Task Breakdown'!O357</f>
        <v>98</v>
      </c>
      <c r="L140" s="29" t="n">
        <f aca="false">'Task Breakdown'!P357</f>
        <v>0</v>
      </c>
      <c r="M140" s="29" t="n">
        <f aca="false">'Task Breakdown'!Q357</f>
        <v>0</v>
      </c>
      <c r="N140" s="29" t="n">
        <f aca="false">'Task Breakdown'!R357</f>
        <v>0</v>
      </c>
      <c r="O140" s="29" t="n">
        <f aca="false">'Task Breakdown'!S357</f>
        <v>0</v>
      </c>
      <c r="P140" s="29" t="n">
        <f aca="false">'Task Breakdown'!T357</f>
        <v>0</v>
      </c>
      <c r="Q140" s="30" t="n">
        <f aca="false">SUM(E140:P140)</f>
        <v>98</v>
      </c>
      <c r="R140" s="31" t="n">
        <f aca="false">IF($Q$216&gt;0,Q140/$Q$216,0)</f>
        <v>0.0151585460170147</v>
      </c>
    </row>
    <row r="141" customFormat="false" ht="15" hidden="false" customHeight="false" outlineLevel="0" collapsed="false">
      <c r="A141" s="26" t="str">
        <f aca="false">'Task Breakdown'!A358</f>
        <v>DR-2.06.05</v>
      </c>
      <c r="B141" s="27" t="str">
        <f aca="false">'Task Breakdown'!G358</f>
        <v>Build semantic model for the Analyst agent</v>
      </c>
      <c r="C141" s="28"/>
      <c r="D141" s="28"/>
      <c r="E141" s="29" t="n">
        <f aca="false">'Task Breakdown'!I358</f>
        <v>0</v>
      </c>
      <c r="F141" s="29" t="n">
        <f aca="false">'Task Breakdown'!J358</f>
        <v>0</v>
      </c>
      <c r="G141" s="29" t="n">
        <f aca="false">'Task Breakdown'!K358</f>
        <v>0</v>
      </c>
      <c r="H141" s="29" t="n">
        <f aca="false">'Task Breakdown'!L358</f>
        <v>0</v>
      </c>
      <c r="I141" s="29" t="n">
        <f aca="false">'Task Breakdown'!M358</f>
        <v>0</v>
      </c>
      <c r="J141" s="29" t="n">
        <f aca="false">'Task Breakdown'!N358</f>
        <v>0</v>
      </c>
      <c r="K141" s="29" t="n">
        <f aca="false">'Task Breakdown'!O358</f>
        <v>49</v>
      </c>
      <c r="L141" s="29" t="n">
        <f aca="false">'Task Breakdown'!P358</f>
        <v>0</v>
      </c>
      <c r="M141" s="29" t="n">
        <f aca="false">'Task Breakdown'!Q358</f>
        <v>0</v>
      </c>
      <c r="N141" s="29" t="n">
        <f aca="false">'Task Breakdown'!R358</f>
        <v>0</v>
      </c>
      <c r="O141" s="29" t="n">
        <f aca="false">'Task Breakdown'!S358</f>
        <v>0</v>
      </c>
      <c r="P141" s="29" t="n">
        <f aca="false">'Task Breakdown'!T358</f>
        <v>0</v>
      </c>
      <c r="Q141" s="30" t="n">
        <f aca="false">SUM(E141:P141)</f>
        <v>49</v>
      </c>
      <c r="R141" s="31" t="n">
        <f aca="false">IF($Q$216&gt;0,Q141/$Q$216,0)</f>
        <v>0.00757927300850735</v>
      </c>
    </row>
    <row r="142" customFormat="false" ht="15" hidden="false" customHeight="false" outlineLevel="0" collapsed="false">
      <c r="A142" s="26" t="str">
        <f aca="false">'Task Breakdown'!A359</f>
        <v>DR-2.06.06</v>
      </c>
      <c r="B142" s="27" t="str">
        <f aca="false">'Task Breakdown'!G359</f>
        <v>Apply workspace security and governance</v>
      </c>
      <c r="C142" s="28"/>
      <c r="D142" s="28"/>
      <c r="E142" s="29" t="n">
        <f aca="false">'Task Breakdown'!I359</f>
        <v>0</v>
      </c>
      <c r="F142" s="29" t="n">
        <f aca="false">'Task Breakdown'!J359</f>
        <v>6</v>
      </c>
      <c r="G142" s="29" t="n">
        <f aca="false">'Task Breakdown'!K359</f>
        <v>18</v>
      </c>
      <c r="H142" s="29" t="n">
        <f aca="false">'Task Breakdown'!L359</f>
        <v>0</v>
      </c>
      <c r="I142" s="29" t="n">
        <f aca="false">'Task Breakdown'!M359</f>
        <v>0</v>
      </c>
      <c r="J142" s="29" t="n">
        <f aca="false">'Task Breakdown'!N359</f>
        <v>0</v>
      </c>
      <c r="K142" s="29" t="n">
        <f aca="false">'Task Breakdown'!O359</f>
        <v>0</v>
      </c>
      <c r="L142" s="29" t="n">
        <f aca="false">'Task Breakdown'!P359</f>
        <v>25</v>
      </c>
      <c r="M142" s="29" t="n">
        <f aca="false">'Task Breakdown'!Q359</f>
        <v>0</v>
      </c>
      <c r="N142" s="29" t="n">
        <f aca="false">'Task Breakdown'!R359</f>
        <v>0</v>
      </c>
      <c r="O142" s="29" t="n">
        <f aca="false">'Task Breakdown'!S359</f>
        <v>0</v>
      </c>
      <c r="P142" s="29" t="n">
        <f aca="false">'Task Breakdown'!T359</f>
        <v>0</v>
      </c>
      <c r="Q142" s="30" t="n">
        <f aca="false">SUM(E142:P142)</f>
        <v>49</v>
      </c>
      <c r="R142" s="31" t="n">
        <f aca="false">IF($Q$216&gt;0,Q142/$Q$216,0)</f>
        <v>0.00757927300850735</v>
      </c>
    </row>
    <row r="143" customFormat="false" ht="15" hidden="false" customHeight="false" outlineLevel="0" collapsed="false">
      <c r="A143" s="26" t="str">
        <f aca="false">'Task Breakdown'!A360</f>
        <v>DR-2.06.07</v>
      </c>
      <c r="B143" s="27" t="str">
        <f aca="false">'Task Breakdown'!G360</f>
        <v>Detailed design and design review</v>
      </c>
      <c r="C143" s="28"/>
      <c r="D143" s="28"/>
      <c r="E143" s="29" t="n">
        <f aca="false">'Task Breakdown'!I360</f>
        <v>0</v>
      </c>
      <c r="F143" s="29" t="n">
        <f aca="false">'Task Breakdown'!J360</f>
        <v>0</v>
      </c>
      <c r="G143" s="29" t="n">
        <f aca="false">'Task Breakdown'!K360</f>
        <v>0</v>
      </c>
      <c r="H143" s="29" t="n">
        <f aca="false">'Task Breakdown'!L360</f>
        <v>0</v>
      </c>
      <c r="I143" s="29" t="n">
        <f aca="false">'Task Breakdown'!M360</f>
        <v>0</v>
      </c>
      <c r="J143" s="29" t="n">
        <f aca="false">'Task Breakdown'!N360</f>
        <v>0</v>
      </c>
      <c r="K143" s="29" t="n">
        <f aca="false">'Task Breakdown'!O360</f>
        <v>0</v>
      </c>
      <c r="L143" s="29" t="n">
        <f aca="false">'Task Breakdown'!P360</f>
        <v>16</v>
      </c>
      <c r="M143" s="29" t="n">
        <f aca="false">'Task Breakdown'!Q360</f>
        <v>0</v>
      </c>
      <c r="N143" s="29" t="n">
        <f aca="false">'Task Breakdown'!R360</f>
        <v>0</v>
      </c>
      <c r="O143" s="29" t="n">
        <f aca="false">'Task Breakdown'!S360</f>
        <v>0</v>
      </c>
      <c r="P143" s="29" t="n">
        <f aca="false">'Task Breakdown'!T360</f>
        <v>0</v>
      </c>
      <c r="Q143" s="30" t="n">
        <f aca="false">SUM(E143:P143)</f>
        <v>16</v>
      </c>
      <c r="R143" s="31" t="n">
        <f aca="false">IF($Q$216&gt;0,Q143/$Q$216,0)</f>
        <v>0.00247486465583913</v>
      </c>
    </row>
    <row r="144" customFormat="false" ht="15" hidden="false" customHeight="false" outlineLevel="0" collapsed="false">
      <c r="A144" s="26" t="str">
        <f aca="false">'Task Breakdown'!A361</f>
        <v>DR-2.06.08</v>
      </c>
      <c r="B144" s="27" t="str">
        <f aca="false">'Task Breakdown'!G361</f>
        <v>Promote through dev / test / prod and release</v>
      </c>
      <c r="C144" s="28"/>
      <c r="D144" s="28"/>
      <c r="E144" s="29" t="n">
        <f aca="false">'Task Breakdown'!I361</f>
        <v>0</v>
      </c>
      <c r="F144" s="29" t="n">
        <f aca="false">'Task Breakdown'!J361</f>
        <v>0</v>
      </c>
      <c r="G144" s="29" t="n">
        <f aca="false">'Task Breakdown'!K361</f>
        <v>11</v>
      </c>
      <c r="H144" s="29" t="n">
        <f aca="false">'Task Breakdown'!L361</f>
        <v>0</v>
      </c>
      <c r="I144" s="29" t="n">
        <f aca="false">'Task Breakdown'!M361</f>
        <v>0</v>
      </c>
      <c r="J144" s="29" t="n">
        <f aca="false">'Task Breakdown'!N361</f>
        <v>0</v>
      </c>
      <c r="K144" s="29" t="n">
        <f aca="false">'Task Breakdown'!O361</f>
        <v>0</v>
      </c>
      <c r="L144" s="29" t="n">
        <f aca="false">'Task Breakdown'!P361</f>
        <v>0</v>
      </c>
      <c r="M144" s="29" t="n">
        <f aca="false">'Task Breakdown'!Q361</f>
        <v>0</v>
      </c>
      <c r="N144" s="29" t="n">
        <f aca="false">'Task Breakdown'!R361</f>
        <v>0</v>
      </c>
      <c r="O144" s="29" t="n">
        <f aca="false">'Task Breakdown'!S361</f>
        <v>0</v>
      </c>
      <c r="P144" s="29" t="n">
        <f aca="false">'Task Breakdown'!T361</f>
        <v>0</v>
      </c>
      <c r="Q144" s="30" t="n">
        <f aca="false">SUM(E144:P144)</f>
        <v>11</v>
      </c>
      <c r="R144" s="31" t="n">
        <f aca="false">IF($Q$216&gt;0,Q144/$Q$216,0)</f>
        <v>0.0017014694508894</v>
      </c>
    </row>
    <row r="145" customFormat="false" ht="15" hidden="false" customHeight="false" outlineLevel="0" collapsed="false">
      <c r="A145" s="26" t="str">
        <f aca="false">'Task Breakdown'!A362</f>
        <v>DR-2.06.09</v>
      </c>
      <c r="B145" s="27" t="str">
        <f aca="false">'Task Breakdown'!G362</f>
        <v>Documentation, runbook and knowledge transfer</v>
      </c>
      <c r="C145" s="28"/>
      <c r="D145" s="28"/>
      <c r="E145" s="29" t="n">
        <f aca="false">'Task Breakdown'!I362</f>
        <v>0</v>
      </c>
      <c r="F145" s="29" t="n">
        <f aca="false">'Task Breakdown'!J362</f>
        <v>0</v>
      </c>
      <c r="G145" s="29" t="n">
        <f aca="false">'Task Breakdown'!K362</f>
        <v>0</v>
      </c>
      <c r="H145" s="29" t="n">
        <f aca="false">'Task Breakdown'!L362</f>
        <v>0</v>
      </c>
      <c r="I145" s="29" t="n">
        <f aca="false">'Task Breakdown'!M362</f>
        <v>0</v>
      </c>
      <c r="J145" s="29" t="n">
        <f aca="false">'Task Breakdown'!N362</f>
        <v>0</v>
      </c>
      <c r="K145" s="29" t="n">
        <f aca="false">'Task Breakdown'!O362</f>
        <v>11</v>
      </c>
      <c r="L145" s="29" t="n">
        <f aca="false">'Task Breakdown'!P362</f>
        <v>0</v>
      </c>
      <c r="M145" s="29" t="n">
        <f aca="false">'Task Breakdown'!Q362</f>
        <v>0</v>
      </c>
      <c r="N145" s="29" t="n">
        <f aca="false">'Task Breakdown'!R362</f>
        <v>0</v>
      </c>
      <c r="O145" s="29" t="n">
        <f aca="false">'Task Breakdown'!S362</f>
        <v>0</v>
      </c>
      <c r="P145" s="29" t="n">
        <f aca="false">'Task Breakdown'!T362</f>
        <v>0</v>
      </c>
      <c r="Q145" s="30" t="n">
        <f aca="false">SUM(E145:P145)</f>
        <v>11</v>
      </c>
      <c r="R145" s="31" t="n">
        <f aca="false">IF($Q$216&gt;0,Q145/$Q$216,0)</f>
        <v>0.0017014694508894</v>
      </c>
    </row>
    <row r="146" customFormat="false" ht="15" hidden="false" customHeight="false" outlineLevel="0" collapsed="false">
      <c r="A146" s="26" t="str">
        <f aca="false">'Task Breakdown'!A363</f>
        <v>DR-2.06.10</v>
      </c>
      <c r="B146" s="27" t="str">
        <f aca="false">'Task Breakdown'!G363</f>
        <v>Defect fixing and rework after testing</v>
      </c>
      <c r="C146" s="28"/>
      <c r="D146" s="28"/>
      <c r="E146" s="29" t="n">
        <f aca="false">'Task Breakdown'!I363</f>
        <v>0</v>
      </c>
      <c r="F146" s="29" t="n">
        <f aca="false">'Task Breakdown'!J363</f>
        <v>0</v>
      </c>
      <c r="G146" s="29" t="n">
        <f aca="false">'Task Breakdown'!K363</f>
        <v>0</v>
      </c>
      <c r="H146" s="29" t="n">
        <f aca="false">'Task Breakdown'!L363</f>
        <v>0</v>
      </c>
      <c r="I146" s="29" t="n">
        <f aca="false">'Task Breakdown'!M363</f>
        <v>0</v>
      </c>
      <c r="J146" s="29" t="n">
        <f aca="false">'Task Breakdown'!N363</f>
        <v>0</v>
      </c>
      <c r="K146" s="29" t="n">
        <f aca="false">'Task Breakdown'!O363</f>
        <v>22</v>
      </c>
      <c r="L146" s="29" t="n">
        <f aca="false">'Task Breakdown'!P363</f>
        <v>0</v>
      </c>
      <c r="M146" s="29" t="n">
        <f aca="false">'Task Breakdown'!Q363</f>
        <v>0</v>
      </c>
      <c r="N146" s="29" t="n">
        <f aca="false">'Task Breakdown'!R363</f>
        <v>0</v>
      </c>
      <c r="O146" s="29" t="n">
        <f aca="false">'Task Breakdown'!S363</f>
        <v>0</v>
      </c>
      <c r="P146" s="29" t="n">
        <f aca="false">'Task Breakdown'!T363</f>
        <v>0</v>
      </c>
      <c r="Q146" s="30" t="n">
        <f aca="false">SUM(E146:P146)</f>
        <v>22</v>
      </c>
      <c r="R146" s="31" t="n">
        <f aca="false">IF($Q$216&gt;0,Q146/$Q$216,0)</f>
        <v>0.00340293890177881</v>
      </c>
    </row>
    <row r="147" customFormat="false" ht="15" hidden="false" customHeight="false" outlineLevel="0" collapsed="false">
      <c r="A147" s="9"/>
      <c r="B147" s="10" t="s">
        <v>139</v>
      </c>
      <c r="C147" s="9"/>
      <c r="D147" s="9"/>
      <c r="E147" s="32" t="n">
        <f aca="false">E79+E92+E104+E114+E126+E136</f>
        <v>0</v>
      </c>
      <c r="F147" s="32" t="n">
        <f aca="false">F79+F92+F104+F114+F126+F136</f>
        <v>24</v>
      </c>
      <c r="G147" s="32" t="n">
        <f aca="false">G79+G92+G104+G114+G126+G136</f>
        <v>119</v>
      </c>
      <c r="H147" s="32" t="n">
        <f aca="false">H79+H92+H104+H114+H126+H136</f>
        <v>0</v>
      </c>
      <c r="I147" s="32" t="n">
        <f aca="false">I79+I92+I104+I114+I126+I136</f>
        <v>84</v>
      </c>
      <c r="J147" s="32" t="n">
        <f aca="false">J79+J92+J104+J114+J126+J136</f>
        <v>386</v>
      </c>
      <c r="K147" s="32" t="n">
        <f aca="false">K79+K92+K104+K114+K126+K136</f>
        <v>1022</v>
      </c>
      <c r="L147" s="32" t="n">
        <f aca="false">L79+L92+L104+L114+L126+L136</f>
        <v>170</v>
      </c>
      <c r="M147" s="32" t="n">
        <f aca="false">M79+M92+M104+M114+M126+M136</f>
        <v>0</v>
      </c>
      <c r="N147" s="32" t="n">
        <f aca="false">N79+N92+N104+N114+N126+N136</f>
        <v>82</v>
      </c>
      <c r="O147" s="32" t="n">
        <f aca="false">O79+O92+O104+O114+O126+O136</f>
        <v>241</v>
      </c>
      <c r="P147" s="32" t="n">
        <f aca="false">P79+P92+P104+P114+P126+P136</f>
        <v>0</v>
      </c>
      <c r="Q147" s="32" t="n">
        <f aca="false">Q79+Q92+Q104+Q114+Q126+Q136</f>
        <v>2128</v>
      </c>
      <c r="R147" s="33" t="n">
        <f aca="false">IF($Q$216&gt;0,Q147/$Q$216,0)</f>
        <v>0.329156999226605</v>
      </c>
    </row>
    <row r="149" customFormat="false" ht="15" hidden="false" customHeight="false" outlineLevel="0" collapsed="false">
      <c r="A149" s="21" t="s">
        <v>206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</row>
    <row r="150" customFormat="false" ht="15" hidden="false" customHeight="false" outlineLevel="0" collapsed="false">
      <c r="A150" s="23" t="s">
        <v>207</v>
      </c>
      <c r="B150" s="23" t="s">
        <v>208</v>
      </c>
      <c r="C150" s="23" t="s">
        <v>45</v>
      </c>
      <c r="D150" s="23" t="s">
        <v>209</v>
      </c>
      <c r="E150" s="24" t="n">
        <f aca="false">SUM(E151:E161)</f>
        <v>0</v>
      </c>
      <c r="F150" s="24" t="n">
        <f aca="false">SUM(F151:F161)</f>
        <v>0</v>
      </c>
      <c r="G150" s="24" t="n">
        <f aca="false">SUM(G151:G161)</f>
        <v>24</v>
      </c>
      <c r="H150" s="24" t="n">
        <f aca="false">SUM(H151:H161)</f>
        <v>0</v>
      </c>
      <c r="I150" s="24" t="n">
        <f aca="false">SUM(I151:I161)</f>
        <v>35</v>
      </c>
      <c r="J150" s="24" t="n">
        <f aca="false">SUM(J151:J161)</f>
        <v>316</v>
      </c>
      <c r="K150" s="24" t="n">
        <f aca="false">SUM(K151:K161)</f>
        <v>121</v>
      </c>
      <c r="L150" s="24" t="n">
        <f aca="false">SUM(L151:L161)</f>
        <v>0</v>
      </c>
      <c r="M150" s="24" t="n">
        <f aca="false">SUM(M151:M161)</f>
        <v>48</v>
      </c>
      <c r="N150" s="24" t="n">
        <f aca="false">SUM(N151:N161)</f>
        <v>73</v>
      </c>
      <c r="O150" s="24" t="n">
        <f aca="false">SUM(O151:O161)</f>
        <v>98</v>
      </c>
      <c r="P150" s="24" t="n">
        <f aca="false">SUM(P151:P161)</f>
        <v>0</v>
      </c>
      <c r="Q150" s="24" t="n">
        <f aca="false">SUM(Q151:Q161)</f>
        <v>715</v>
      </c>
      <c r="R150" s="25" t="n">
        <f aca="false">IF($Q$216&gt;0,Q150/$Q$216,0)</f>
        <v>0.110595514307811</v>
      </c>
    </row>
    <row r="151" customFormat="false" ht="15" hidden="false" customHeight="false" outlineLevel="0" collapsed="false">
      <c r="A151" s="26" t="str">
        <f aca="false">'Task Breakdown'!A488</f>
        <v>UC-2.01.01</v>
      </c>
      <c r="B151" s="27" t="str">
        <f aca="false">'Task Breakdown'!G488</f>
        <v>Gather question catalog and metric definitions</v>
      </c>
      <c r="C151" s="28"/>
      <c r="D151" s="28"/>
      <c r="E151" s="29" t="n">
        <f aca="false">'Task Breakdown'!I488</f>
        <v>0</v>
      </c>
      <c r="F151" s="29" t="n">
        <f aca="false">'Task Breakdown'!J488</f>
        <v>0</v>
      </c>
      <c r="G151" s="29" t="n">
        <f aca="false">'Task Breakdown'!K488</f>
        <v>0</v>
      </c>
      <c r="H151" s="29" t="n">
        <f aca="false">'Task Breakdown'!L488</f>
        <v>0</v>
      </c>
      <c r="I151" s="29" t="n">
        <f aca="false">'Task Breakdown'!M488</f>
        <v>0</v>
      </c>
      <c r="J151" s="29" t="n">
        <f aca="false">'Task Breakdown'!N488</f>
        <v>0</v>
      </c>
      <c r="K151" s="29" t="n">
        <f aca="false">'Task Breakdown'!O488</f>
        <v>0</v>
      </c>
      <c r="L151" s="29" t="n">
        <f aca="false">'Task Breakdown'!P488</f>
        <v>0</v>
      </c>
      <c r="M151" s="29" t="n">
        <f aca="false">'Task Breakdown'!Q488</f>
        <v>0</v>
      </c>
      <c r="N151" s="29" t="n">
        <f aca="false">'Task Breakdown'!R488</f>
        <v>49</v>
      </c>
      <c r="O151" s="29" t="n">
        <f aca="false">'Task Breakdown'!S488</f>
        <v>0</v>
      </c>
      <c r="P151" s="29" t="n">
        <f aca="false">'Task Breakdown'!T488</f>
        <v>0</v>
      </c>
      <c r="Q151" s="30" t="n">
        <f aca="false">SUM(E151:P151)</f>
        <v>49</v>
      </c>
      <c r="R151" s="31" t="n">
        <f aca="false">IF($Q$216&gt;0,Q151/$Q$216,0)</f>
        <v>0.00757927300850735</v>
      </c>
    </row>
    <row r="152" customFormat="false" ht="15" hidden="false" customHeight="false" outlineLevel="0" collapsed="false">
      <c r="A152" s="26" t="str">
        <f aca="false">'Task Breakdown'!A489</f>
        <v>UC-2.01.02</v>
      </c>
      <c r="B152" s="27" t="str">
        <f aca="false">'Task Breakdown'!G489</f>
        <v>Prepare semantic model and metadata for NL-to-SQL / DAX</v>
      </c>
      <c r="C152" s="28"/>
      <c r="D152" s="28"/>
      <c r="E152" s="29" t="n">
        <f aca="false">'Task Breakdown'!I489</f>
        <v>0</v>
      </c>
      <c r="F152" s="29" t="n">
        <f aca="false">'Task Breakdown'!J489</f>
        <v>0</v>
      </c>
      <c r="G152" s="29" t="n">
        <f aca="false">'Task Breakdown'!K489</f>
        <v>0</v>
      </c>
      <c r="H152" s="29" t="n">
        <f aca="false">'Task Breakdown'!L489</f>
        <v>0</v>
      </c>
      <c r="I152" s="29" t="n">
        <f aca="false">'Task Breakdown'!M489</f>
        <v>0</v>
      </c>
      <c r="J152" s="29" t="n">
        <f aca="false">'Task Breakdown'!N489</f>
        <v>0</v>
      </c>
      <c r="K152" s="29" t="n">
        <f aca="false">'Task Breakdown'!O489</f>
        <v>73</v>
      </c>
      <c r="L152" s="29" t="n">
        <f aca="false">'Task Breakdown'!P489</f>
        <v>0</v>
      </c>
      <c r="M152" s="29" t="n">
        <f aca="false">'Task Breakdown'!Q489</f>
        <v>0</v>
      </c>
      <c r="N152" s="29" t="n">
        <f aca="false">'Task Breakdown'!R489</f>
        <v>0</v>
      </c>
      <c r="O152" s="29" t="n">
        <f aca="false">'Task Breakdown'!S489</f>
        <v>0</v>
      </c>
      <c r="P152" s="29" t="n">
        <f aca="false">'Task Breakdown'!T489</f>
        <v>0</v>
      </c>
      <c r="Q152" s="30" t="n">
        <f aca="false">SUM(E152:P152)</f>
        <v>73</v>
      </c>
      <c r="R152" s="31" t="n">
        <f aca="false">IF($Q$216&gt;0,Q152/$Q$216,0)</f>
        <v>0.011291569992266</v>
      </c>
    </row>
    <row r="153" customFormat="false" ht="15" hidden="false" customHeight="false" outlineLevel="0" collapsed="false">
      <c r="A153" s="26" t="str">
        <f aca="false">'Task Breakdown'!A490</f>
        <v>UC-2.01.03</v>
      </c>
      <c r="B153" s="27" t="str">
        <f aca="false">'Task Breakdown'!G490</f>
        <v>Build NL-to-SQL tool with schema grounding</v>
      </c>
      <c r="C153" s="28"/>
      <c r="D153" s="28"/>
      <c r="E153" s="29" t="n">
        <f aca="false">'Task Breakdown'!I490</f>
        <v>0</v>
      </c>
      <c r="F153" s="29" t="n">
        <f aca="false">'Task Breakdown'!J490</f>
        <v>0</v>
      </c>
      <c r="G153" s="29" t="n">
        <f aca="false">'Task Breakdown'!K490</f>
        <v>0</v>
      </c>
      <c r="H153" s="29" t="n">
        <f aca="false">'Task Breakdown'!L490</f>
        <v>0</v>
      </c>
      <c r="I153" s="29" t="n">
        <f aca="false">'Task Breakdown'!M490</f>
        <v>0</v>
      </c>
      <c r="J153" s="29" t="n">
        <f aca="false">'Task Breakdown'!N490</f>
        <v>98</v>
      </c>
      <c r="K153" s="29" t="n">
        <f aca="false">'Task Breakdown'!O490</f>
        <v>0</v>
      </c>
      <c r="L153" s="29" t="n">
        <f aca="false">'Task Breakdown'!P490</f>
        <v>0</v>
      </c>
      <c r="M153" s="29" t="n">
        <f aca="false">'Task Breakdown'!Q490</f>
        <v>0</v>
      </c>
      <c r="N153" s="29" t="n">
        <f aca="false">'Task Breakdown'!R490</f>
        <v>0</v>
      </c>
      <c r="O153" s="29" t="n">
        <f aca="false">'Task Breakdown'!S490</f>
        <v>0</v>
      </c>
      <c r="P153" s="29" t="n">
        <f aca="false">'Task Breakdown'!T490</f>
        <v>0</v>
      </c>
      <c r="Q153" s="30" t="n">
        <f aca="false">SUM(E153:P153)</f>
        <v>98</v>
      </c>
      <c r="R153" s="31" t="n">
        <f aca="false">IF($Q$216&gt;0,Q153/$Q$216,0)</f>
        <v>0.0151585460170147</v>
      </c>
    </row>
    <row r="154" customFormat="false" ht="15" hidden="false" customHeight="false" outlineLevel="0" collapsed="false">
      <c r="A154" s="26" t="str">
        <f aca="false">'Task Breakdown'!A491</f>
        <v>UC-2.01.04</v>
      </c>
      <c r="B154" s="27" t="str">
        <f aca="false">'Task Breakdown'!G491</f>
        <v>Add result explanation and chart generation</v>
      </c>
      <c r="C154" s="28"/>
      <c r="D154" s="28"/>
      <c r="E154" s="29" t="n">
        <f aca="false">'Task Breakdown'!I491</f>
        <v>0</v>
      </c>
      <c r="F154" s="29" t="n">
        <f aca="false">'Task Breakdown'!J491</f>
        <v>0</v>
      </c>
      <c r="G154" s="29" t="n">
        <f aca="false">'Task Breakdown'!K491</f>
        <v>0</v>
      </c>
      <c r="H154" s="29" t="n">
        <f aca="false">'Task Breakdown'!L491</f>
        <v>0</v>
      </c>
      <c r="I154" s="29" t="n">
        <f aca="false">'Task Breakdown'!M491</f>
        <v>0</v>
      </c>
      <c r="J154" s="29" t="n">
        <f aca="false">'Task Breakdown'!N491</f>
        <v>49</v>
      </c>
      <c r="K154" s="29" t="n">
        <f aca="false">'Task Breakdown'!O491</f>
        <v>0</v>
      </c>
      <c r="L154" s="29" t="n">
        <f aca="false">'Task Breakdown'!P491</f>
        <v>0</v>
      </c>
      <c r="M154" s="29" t="n">
        <f aca="false">'Task Breakdown'!Q491</f>
        <v>24</v>
      </c>
      <c r="N154" s="29" t="n">
        <f aca="false">'Task Breakdown'!R491</f>
        <v>0</v>
      </c>
      <c r="O154" s="29" t="n">
        <f aca="false">'Task Breakdown'!S491</f>
        <v>0</v>
      </c>
      <c r="P154" s="29" t="n">
        <f aca="false">'Task Breakdown'!T491</f>
        <v>0</v>
      </c>
      <c r="Q154" s="30" t="n">
        <f aca="false">SUM(E154:P154)</f>
        <v>73</v>
      </c>
      <c r="R154" s="31" t="n">
        <f aca="false">IF($Q$216&gt;0,Q154/$Q$216,0)</f>
        <v>0.011291569992266</v>
      </c>
    </row>
    <row r="155" customFormat="false" ht="15" hidden="false" customHeight="false" outlineLevel="0" collapsed="false">
      <c r="A155" s="26" t="str">
        <f aca="false">'Task Breakdown'!A492</f>
        <v>UC-2.01.05</v>
      </c>
      <c r="B155" s="27" t="str">
        <f aca="false">'Task Breakdown'!G492</f>
        <v>Add guardrails (row limits, read-only, row-level security)</v>
      </c>
      <c r="C155" s="28"/>
      <c r="D155" s="28"/>
      <c r="E155" s="29" t="n">
        <f aca="false">'Task Breakdown'!I492</f>
        <v>0</v>
      </c>
      <c r="F155" s="29" t="n">
        <f aca="false">'Task Breakdown'!J492</f>
        <v>0</v>
      </c>
      <c r="G155" s="29" t="n">
        <f aca="false">'Task Breakdown'!K492</f>
        <v>0</v>
      </c>
      <c r="H155" s="29" t="n">
        <f aca="false">'Task Breakdown'!L492</f>
        <v>0</v>
      </c>
      <c r="I155" s="29" t="n">
        <f aca="false">'Task Breakdown'!M492</f>
        <v>0</v>
      </c>
      <c r="J155" s="29" t="n">
        <f aca="false">'Task Breakdown'!N492</f>
        <v>37</v>
      </c>
      <c r="K155" s="29" t="n">
        <f aca="false">'Task Breakdown'!O492</f>
        <v>24</v>
      </c>
      <c r="L155" s="29" t="n">
        <f aca="false">'Task Breakdown'!P492</f>
        <v>0</v>
      </c>
      <c r="M155" s="29" t="n">
        <f aca="false">'Task Breakdown'!Q492</f>
        <v>0</v>
      </c>
      <c r="N155" s="29" t="n">
        <f aca="false">'Task Breakdown'!R492</f>
        <v>0</v>
      </c>
      <c r="O155" s="29" t="n">
        <f aca="false">'Task Breakdown'!S492</f>
        <v>0</v>
      </c>
      <c r="P155" s="29" t="n">
        <f aca="false">'Task Breakdown'!T492</f>
        <v>0</v>
      </c>
      <c r="Q155" s="30" t="n">
        <f aca="false">SUM(E155:P155)</f>
        <v>61</v>
      </c>
      <c r="R155" s="31" t="n">
        <f aca="false">IF($Q$216&gt;0,Q155/$Q$216,0)</f>
        <v>0.0094354215003867</v>
      </c>
    </row>
    <row r="156" customFormat="false" ht="15" hidden="false" customHeight="false" outlineLevel="0" collapsed="false">
      <c r="A156" s="26" t="str">
        <f aca="false">'Task Breakdown'!A493</f>
        <v>UC-2.01.06</v>
      </c>
      <c r="B156" s="27" t="str">
        <f aca="false">'Task Breakdown'!G493</f>
        <v>Integrate with orchestrator and memory</v>
      </c>
      <c r="C156" s="28"/>
      <c r="D156" s="28"/>
      <c r="E156" s="29" t="n">
        <f aca="false">'Task Breakdown'!I493</f>
        <v>0</v>
      </c>
      <c r="F156" s="29" t="n">
        <f aca="false">'Task Breakdown'!J493</f>
        <v>0</v>
      </c>
      <c r="G156" s="29" t="n">
        <f aca="false">'Task Breakdown'!K493</f>
        <v>0</v>
      </c>
      <c r="H156" s="29" t="n">
        <f aca="false">'Task Breakdown'!L493</f>
        <v>0</v>
      </c>
      <c r="I156" s="29" t="n">
        <f aca="false">'Task Breakdown'!M493</f>
        <v>0</v>
      </c>
      <c r="J156" s="29" t="n">
        <f aca="false">'Task Breakdown'!N493</f>
        <v>37</v>
      </c>
      <c r="K156" s="29" t="n">
        <f aca="false">'Task Breakdown'!O493</f>
        <v>0</v>
      </c>
      <c r="L156" s="29" t="n">
        <f aca="false">'Task Breakdown'!P493</f>
        <v>0</v>
      </c>
      <c r="M156" s="29" t="n">
        <f aca="false">'Task Breakdown'!Q493</f>
        <v>24</v>
      </c>
      <c r="N156" s="29" t="n">
        <f aca="false">'Task Breakdown'!R493</f>
        <v>0</v>
      </c>
      <c r="O156" s="29" t="n">
        <f aca="false">'Task Breakdown'!S493</f>
        <v>0</v>
      </c>
      <c r="P156" s="29" t="n">
        <f aca="false">'Task Breakdown'!T493</f>
        <v>0</v>
      </c>
      <c r="Q156" s="30" t="n">
        <f aca="false">SUM(E156:P156)</f>
        <v>61</v>
      </c>
      <c r="R156" s="31" t="n">
        <f aca="false">IF($Q$216&gt;0,Q156/$Q$216,0)</f>
        <v>0.0094354215003867</v>
      </c>
    </row>
    <row r="157" customFormat="false" ht="15" hidden="false" customHeight="false" outlineLevel="0" collapsed="false">
      <c r="A157" s="26" t="str">
        <f aca="false">'Task Breakdown'!A494</f>
        <v>UC-2.01.07</v>
      </c>
      <c r="B157" s="27" t="str">
        <f aca="false">'Task Breakdown'!G494</f>
        <v>Accuracy testing on the golden set</v>
      </c>
      <c r="C157" s="28"/>
      <c r="D157" s="28"/>
      <c r="E157" s="29" t="n">
        <f aca="false">'Task Breakdown'!I494</f>
        <v>0</v>
      </c>
      <c r="F157" s="29" t="n">
        <f aca="false">'Task Breakdown'!J494</f>
        <v>0</v>
      </c>
      <c r="G157" s="29" t="n">
        <f aca="false">'Task Breakdown'!K494</f>
        <v>0</v>
      </c>
      <c r="H157" s="29" t="n">
        <f aca="false">'Task Breakdown'!L494</f>
        <v>0</v>
      </c>
      <c r="I157" s="29" t="n">
        <f aca="false">'Task Breakdown'!M494</f>
        <v>0</v>
      </c>
      <c r="J157" s="29" t="n">
        <f aca="false">'Task Breakdown'!N494</f>
        <v>24</v>
      </c>
      <c r="K157" s="29" t="n">
        <f aca="false">'Task Breakdown'!O494</f>
        <v>24</v>
      </c>
      <c r="L157" s="29" t="n">
        <f aca="false">'Task Breakdown'!P494</f>
        <v>0</v>
      </c>
      <c r="M157" s="29" t="n">
        <f aca="false">'Task Breakdown'!Q494</f>
        <v>0</v>
      </c>
      <c r="N157" s="29" t="n">
        <f aca="false">'Task Breakdown'!R494</f>
        <v>24</v>
      </c>
      <c r="O157" s="29" t="n">
        <f aca="false">'Task Breakdown'!S494</f>
        <v>98</v>
      </c>
      <c r="P157" s="29" t="n">
        <f aca="false">'Task Breakdown'!T494</f>
        <v>0</v>
      </c>
      <c r="Q157" s="30" t="n">
        <f aca="false">SUM(E157:P157)</f>
        <v>170</v>
      </c>
      <c r="R157" s="31" t="n">
        <f aca="false">IF($Q$216&gt;0,Q157/$Q$216,0)</f>
        <v>0.0262954369682908</v>
      </c>
    </row>
    <row r="158" customFormat="false" ht="15" hidden="false" customHeight="false" outlineLevel="0" collapsed="false">
      <c r="A158" s="26" t="str">
        <f aca="false">'Task Breakdown'!A495</f>
        <v>UC-2.01.08</v>
      </c>
      <c r="B158" s="27" t="str">
        <f aca="false">'Task Breakdown'!G495</f>
        <v>Detailed design and design review</v>
      </c>
      <c r="C158" s="28"/>
      <c r="D158" s="28"/>
      <c r="E158" s="29" t="n">
        <f aca="false">'Task Breakdown'!I495</f>
        <v>0</v>
      </c>
      <c r="F158" s="29" t="n">
        <f aca="false">'Task Breakdown'!J495</f>
        <v>0</v>
      </c>
      <c r="G158" s="29" t="n">
        <f aca="false">'Task Breakdown'!K495</f>
        <v>0</v>
      </c>
      <c r="H158" s="29" t="n">
        <f aca="false">'Task Breakdown'!L495</f>
        <v>0</v>
      </c>
      <c r="I158" s="29" t="n">
        <f aca="false">'Task Breakdown'!M495</f>
        <v>35</v>
      </c>
      <c r="J158" s="29" t="n">
        <f aca="false">'Task Breakdown'!N495</f>
        <v>0</v>
      </c>
      <c r="K158" s="29" t="n">
        <f aca="false">'Task Breakdown'!O495</f>
        <v>0</v>
      </c>
      <c r="L158" s="29" t="n">
        <f aca="false">'Task Breakdown'!P495</f>
        <v>0</v>
      </c>
      <c r="M158" s="29" t="n">
        <f aca="false">'Task Breakdown'!Q495</f>
        <v>0</v>
      </c>
      <c r="N158" s="29" t="n">
        <f aca="false">'Task Breakdown'!R495</f>
        <v>0</v>
      </c>
      <c r="O158" s="29" t="n">
        <f aca="false">'Task Breakdown'!S495</f>
        <v>0</v>
      </c>
      <c r="P158" s="29" t="n">
        <f aca="false">'Task Breakdown'!T495</f>
        <v>0</v>
      </c>
      <c r="Q158" s="30" t="n">
        <f aca="false">SUM(E158:P158)</f>
        <v>35</v>
      </c>
      <c r="R158" s="31" t="n">
        <f aca="false">IF($Q$216&gt;0,Q158/$Q$216,0)</f>
        <v>0.00541376643464811</v>
      </c>
    </row>
    <row r="159" customFormat="false" ht="15" hidden="false" customHeight="false" outlineLevel="0" collapsed="false">
      <c r="A159" s="26" t="str">
        <f aca="false">'Task Breakdown'!A496</f>
        <v>UC-2.01.09</v>
      </c>
      <c r="B159" s="27" t="str">
        <f aca="false">'Task Breakdown'!G496</f>
        <v>Promote through dev / test / prod and release</v>
      </c>
      <c r="C159" s="28"/>
      <c r="D159" s="28"/>
      <c r="E159" s="29" t="n">
        <f aca="false">'Task Breakdown'!I496</f>
        <v>0</v>
      </c>
      <c r="F159" s="29" t="n">
        <f aca="false">'Task Breakdown'!J496</f>
        <v>0</v>
      </c>
      <c r="G159" s="29" t="n">
        <f aca="false">'Task Breakdown'!K496</f>
        <v>24</v>
      </c>
      <c r="H159" s="29" t="n">
        <f aca="false">'Task Breakdown'!L496</f>
        <v>0</v>
      </c>
      <c r="I159" s="29" t="n">
        <f aca="false">'Task Breakdown'!M496</f>
        <v>0</v>
      </c>
      <c r="J159" s="29" t="n">
        <f aca="false">'Task Breakdown'!N496</f>
        <v>0</v>
      </c>
      <c r="K159" s="29" t="n">
        <f aca="false">'Task Breakdown'!O496</f>
        <v>0</v>
      </c>
      <c r="L159" s="29" t="n">
        <f aca="false">'Task Breakdown'!P496</f>
        <v>0</v>
      </c>
      <c r="M159" s="29" t="n">
        <f aca="false">'Task Breakdown'!Q496</f>
        <v>0</v>
      </c>
      <c r="N159" s="29" t="n">
        <f aca="false">'Task Breakdown'!R496</f>
        <v>0</v>
      </c>
      <c r="O159" s="29" t="n">
        <f aca="false">'Task Breakdown'!S496</f>
        <v>0</v>
      </c>
      <c r="P159" s="29" t="n">
        <f aca="false">'Task Breakdown'!T496</f>
        <v>0</v>
      </c>
      <c r="Q159" s="30" t="n">
        <f aca="false">SUM(E159:P159)</f>
        <v>24</v>
      </c>
      <c r="R159" s="31" t="n">
        <f aca="false">IF($Q$216&gt;0,Q159/$Q$216,0)</f>
        <v>0.0037122969837587</v>
      </c>
    </row>
    <row r="160" customFormat="false" ht="15" hidden="false" customHeight="false" outlineLevel="0" collapsed="false">
      <c r="A160" s="26" t="str">
        <f aca="false">'Task Breakdown'!A497</f>
        <v>UC-2.01.10</v>
      </c>
      <c r="B160" s="27" t="str">
        <f aca="false">'Task Breakdown'!G497</f>
        <v>Documentation, runbook and knowledge transfer</v>
      </c>
      <c r="C160" s="28"/>
      <c r="D160" s="28"/>
      <c r="E160" s="29" t="n">
        <f aca="false">'Task Breakdown'!I497</f>
        <v>0</v>
      </c>
      <c r="F160" s="29" t="n">
        <f aca="false">'Task Breakdown'!J497</f>
        <v>0</v>
      </c>
      <c r="G160" s="29" t="n">
        <f aca="false">'Task Breakdown'!K497</f>
        <v>0</v>
      </c>
      <c r="H160" s="29" t="n">
        <f aca="false">'Task Breakdown'!L497</f>
        <v>0</v>
      </c>
      <c r="I160" s="29" t="n">
        <f aca="false">'Task Breakdown'!M497</f>
        <v>0</v>
      </c>
      <c r="J160" s="29" t="n">
        <f aca="false">'Task Breakdown'!N497</f>
        <v>24</v>
      </c>
      <c r="K160" s="29" t="n">
        <f aca="false">'Task Breakdown'!O497</f>
        <v>0</v>
      </c>
      <c r="L160" s="29" t="n">
        <f aca="false">'Task Breakdown'!P497</f>
        <v>0</v>
      </c>
      <c r="M160" s="29" t="n">
        <f aca="false">'Task Breakdown'!Q497</f>
        <v>0</v>
      </c>
      <c r="N160" s="29" t="n">
        <f aca="false">'Task Breakdown'!R497</f>
        <v>0</v>
      </c>
      <c r="O160" s="29" t="n">
        <f aca="false">'Task Breakdown'!S497</f>
        <v>0</v>
      </c>
      <c r="P160" s="29" t="n">
        <f aca="false">'Task Breakdown'!T497</f>
        <v>0</v>
      </c>
      <c r="Q160" s="30" t="n">
        <f aca="false">SUM(E160:P160)</f>
        <v>24</v>
      </c>
      <c r="R160" s="31" t="n">
        <f aca="false">IF($Q$216&gt;0,Q160/$Q$216,0)</f>
        <v>0.0037122969837587</v>
      </c>
    </row>
    <row r="161" customFormat="false" ht="15" hidden="false" customHeight="false" outlineLevel="0" collapsed="false">
      <c r="A161" s="26" t="str">
        <f aca="false">'Task Breakdown'!A498</f>
        <v>UC-2.01.11</v>
      </c>
      <c r="B161" s="27" t="str">
        <f aca="false">'Task Breakdown'!G498</f>
        <v>Defect fixing and rework after testing</v>
      </c>
      <c r="C161" s="28"/>
      <c r="D161" s="28"/>
      <c r="E161" s="29" t="n">
        <f aca="false">'Task Breakdown'!I498</f>
        <v>0</v>
      </c>
      <c r="F161" s="29" t="n">
        <f aca="false">'Task Breakdown'!J498</f>
        <v>0</v>
      </c>
      <c r="G161" s="29" t="n">
        <f aca="false">'Task Breakdown'!K498</f>
        <v>0</v>
      </c>
      <c r="H161" s="29" t="n">
        <f aca="false">'Task Breakdown'!L498</f>
        <v>0</v>
      </c>
      <c r="I161" s="29" t="n">
        <f aca="false">'Task Breakdown'!M498</f>
        <v>0</v>
      </c>
      <c r="J161" s="29" t="n">
        <f aca="false">'Task Breakdown'!N498</f>
        <v>47</v>
      </c>
      <c r="K161" s="29" t="n">
        <f aca="false">'Task Breakdown'!O498</f>
        <v>0</v>
      </c>
      <c r="L161" s="29" t="n">
        <f aca="false">'Task Breakdown'!P498</f>
        <v>0</v>
      </c>
      <c r="M161" s="29" t="n">
        <f aca="false">'Task Breakdown'!Q498</f>
        <v>0</v>
      </c>
      <c r="N161" s="29" t="n">
        <f aca="false">'Task Breakdown'!R498</f>
        <v>0</v>
      </c>
      <c r="O161" s="29" t="n">
        <f aca="false">'Task Breakdown'!S498</f>
        <v>0</v>
      </c>
      <c r="P161" s="29" t="n">
        <f aca="false">'Task Breakdown'!T498</f>
        <v>0</v>
      </c>
      <c r="Q161" s="30" t="n">
        <f aca="false">SUM(E161:P161)</f>
        <v>47</v>
      </c>
      <c r="R161" s="31" t="n">
        <f aca="false">IF($Q$216&gt;0,Q161/$Q$216,0)</f>
        <v>0.00726991492652746</v>
      </c>
    </row>
    <row r="162" customFormat="false" ht="15" hidden="false" customHeight="false" outlineLevel="0" collapsed="false">
      <c r="A162" s="23" t="s">
        <v>210</v>
      </c>
      <c r="B162" s="23" t="s">
        <v>211</v>
      </c>
      <c r="C162" s="23" t="s">
        <v>45</v>
      </c>
      <c r="D162" s="23" t="s">
        <v>212</v>
      </c>
      <c r="E162" s="24" t="n">
        <f aca="false">SUM(E163:E172)</f>
        <v>0</v>
      </c>
      <c r="F162" s="24" t="n">
        <f aca="false">SUM(F163:F172)</f>
        <v>0</v>
      </c>
      <c r="G162" s="24" t="n">
        <f aca="false">SUM(G163:G172)</f>
        <v>19</v>
      </c>
      <c r="H162" s="24" t="n">
        <f aca="false">SUM(H163:H172)</f>
        <v>0</v>
      </c>
      <c r="I162" s="24" t="n">
        <f aca="false">SUM(I163:I172)</f>
        <v>28</v>
      </c>
      <c r="J162" s="24" t="n">
        <f aca="false">SUM(J163:J172)</f>
        <v>251</v>
      </c>
      <c r="K162" s="24" t="n">
        <f aca="false">SUM(K163:K172)</f>
        <v>48</v>
      </c>
      <c r="L162" s="24" t="n">
        <f aca="false">SUM(L163:L172)</f>
        <v>0</v>
      </c>
      <c r="M162" s="24" t="n">
        <f aca="false">SUM(M163:M172)</f>
        <v>48</v>
      </c>
      <c r="N162" s="24" t="n">
        <f aca="false">SUM(N163:N172)</f>
        <v>74</v>
      </c>
      <c r="O162" s="24" t="n">
        <f aca="false">SUM(O163:O172)</f>
        <v>98</v>
      </c>
      <c r="P162" s="24" t="n">
        <f aca="false">SUM(P163:P172)</f>
        <v>0</v>
      </c>
      <c r="Q162" s="24" t="n">
        <f aca="false">SUM(Q163:Q172)</f>
        <v>566</v>
      </c>
      <c r="R162" s="25" t="n">
        <f aca="false">IF($Q$216&gt;0,Q162/$Q$216,0)</f>
        <v>0.0875483372003094</v>
      </c>
    </row>
    <row r="163" customFormat="false" ht="15" hidden="false" customHeight="false" outlineLevel="0" collapsed="false">
      <c r="A163" s="26" t="str">
        <f aca="false">'Task Breakdown'!A499</f>
        <v>UC-2.02.01</v>
      </c>
      <c r="B163" s="27" t="str">
        <f aca="false">'Task Breakdown'!G499</f>
        <v>Collect spec and SOP corpus with document owners</v>
      </c>
      <c r="C163" s="28"/>
      <c r="D163" s="28"/>
      <c r="E163" s="29" t="n">
        <f aca="false">'Task Breakdown'!I499</f>
        <v>0</v>
      </c>
      <c r="F163" s="29" t="n">
        <f aca="false">'Task Breakdown'!J499</f>
        <v>0</v>
      </c>
      <c r="G163" s="29" t="n">
        <f aca="false">'Task Breakdown'!K499</f>
        <v>0</v>
      </c>
      <c r="H163" s="29" t="n">
        <f aca="false">'Task Breakdown'!L499</f>
        <v>0</v>
      </c>
      <c r="I163" s="29" t="n">
        <f aca="false">'Task Breakdown'!M499</f>
        <v>0</v>
      </c>
      <c r="J163" s="29" t="n">
        <f aca="false">'Task Breakdown'!N499</f>
        <v>0</v>
      </c>
      <c r="K163" s="29" t="n">
        <f aca="false">'Task Breakdown'!O499</f>
        <v>24</v>
      </c>
      <c r="L163" s="29" t="n">
        <f aca="false">'Task Breakdown'!P499</f>
        <v>0</v>
      </c>
      <c r="M163" s="29" t="n">
        <f aca="false">'Task Breakdown'!Q499</f>
        <v>0</v>
      </c>
      <c r="N163" s="29" t="n">
        <f aca="false">'Task Breakdown'!R499</f>
        <v>37</v>
      </c>
      <c r="O163" s="29" t="n">
        <f aca="false">'Task Breakdown'!S499</f>
        <v>0</v>
      </c>
      <c r="P163" s="29" t="n">
        <f aca="false">'Task Breakdown'!T499</f>
        <v>0</v>
      </c>
      <c r="Q163" s="30" t="n">
        <f aca="false">SUM(E163:P163)</f>
        <v>61</v>
      </c>
      <c r="R163" s="31" t="n">
        <f aca="false">IF($Q$216&gt;0,Q163/$Q$216,0)</f>
        <v>0.0094354215003867</v>
      </c>
    </row>
    <row r="164" customFormat="false" ht="15" hidden="false" customHeight="false" outlineLevel="0" collapsed="false">
      <c r="A164" s="26" t="str">
        <f aca="false">'Task Breakdown'!A500</f>
        <v>UC-2.02.02</v>
      </c>
      <c r="B164" s="27" t="str">
        <f aca="false">'Task Breakdown'!G500</f>
        <v>Build retrieval chain with citations</v>
      </c>
      <c r="C164" s="28"/>
      <c r="D164" s="28"/>
      <c r="E164" s="29" t="n">
        <f aca="false">'Task Breakdown'!I500</f>
        <v>0</v>
      </c>
      <c r="F164" s="29" t="n">
        <f aca="false">'Task Breakdown'!J500</f>
        <v>0</v>
      </c>
      <c r="G164" s="29" t="n">
        <f aca="false">'Task Breakdown'!K500</f>
        <v>0</v>
      </c>
      <c r="H164" s="29" t="n">
        <f aca="false">'Task Breakdown'!L500</f>
        <v>0</v>
      </c>
      <c r="I164" s="29" t="n">
        <f aca="false">'Task Breakdown'!M500</f>
        <v>0</v>
      </c>
      <c r="J164" s="29" t="n">
        <f aca="false">'Task Breakdown'!N500</f>
        <v>73</v>
      </c>
      <c r="K164" s="29" t="n">
        <f aca="false">'Task Breakdown'!O500</f>
        <v>0</v>
      </c>
      <c r="L164" s="29" t="n">
        <f aca="false">'Task Breakdown'!P500</f>
        <v>0</v>
      </c>
      <c r="M164" s="29" t="n">
        <f aca="false">'Task Breakdown'!Q500</f>
        <v>0</v>
      </c>
      <c r="N164" s="29" t="n">
        <f aca="false">'Task Breakdown'!R500</f>
        <v>0</v>
      </c>
      <c r="O164" s="29" t="n">
        <f aca="false">'Task Breakdown'!S500</f>
        <v>0</v>
      </c>
      <c r="P164" s="29" t="n">
        <f aca="false">'Task Breakdown'!T500</f>
        <v>0</v>
      </c>
      <c r="Q164" s="30" t="n">
        <f aca="false">SUM(E164:P164)</f>
        <v>73</v>
      </c>
      <c r="R164" s="31" t="n">
        <f aca="false">IF($Q$216&gt;0,Q164/$Q$216,0)</f>
        <v>0.011291569992266</v>
      </c>
    </row>
    <row r="165" customFormat="false" ht="15" hidden="false" customHeight="false" outlineLevel="0" collapsed="false">
      <c r="A165" s="26" t="str">
        <f aca="false">'Task Breakdown'!A501</f>
        <v>UC-2.02.03</v>
      </c>
      <c r="B165" s="27" t="str">
        <f aca="false">'Task Breakdown'!G501</f>
        <v>Handle revisions and plant-specific variants</v>
      </c>
      <c r="C165" s="28"/>
      <c r="D165" s="28"/>
      <c r="E165" s="29" t="n">
        <f aca="false">'Task Breakdown'!I501</f>
        <v>0</v>
      </c>
      <c r="F165" s="29" t="n">
        <f aca="false">'Task Breakdown'!J501</f>
        <v>0</v>
      </c>
      <c r="G165" s="29" t="n">
        <f aca="false">'Task Breakdown'!K501</f>
        <v>0</v>
      </c>
      <c r="H165" s="29" t="n">
        <f aca="false">'Task Breakdown'!L501</f>
        <v>0</v>
      </c>
      <c r="I165" s="29" t="n">
        <f aca="false">'Task Breakdown'!M501</f>
        <v>0</v>
      </c>
      <c r="J165" s="29" t="n">
        <f aca="false">'Task Breakdown'!N501</f>
        <v>37</v>
      </c>
      <c r="K165" s="29" t="n">
        <f aca="false">'Task Breakdown'!O501</f>
        <v>24</v>
      </c>
      <c r="L165" s="29" t="n">
        <f aca="false">'Task Breakdown'!P501</f>
        <v>0</v>
      </c>
      <c r="M165" s="29" t="n">
        <f aca="false">'Task Breakdown'!Q501</f>
        <v>0</v>
      </c>
      <c r="N165" s="29" t="n">
        <f aca="false">'Task Breakdown'!R501</f>
        <v>0</v>
      </c>
      <c r="O165" s="29" t="n">
        <f aca="false">'Task Breakdown'!S501</f>
        <v>0</v>
      </c>
      <c r="P165" s="29" t="n">
        <f aca="false">'Task Breakdown'!T501</f>
        <v>0</v>
      </c>
      <c r="Q165" s="30" t="n">
        <f aca="false">SUM(E165:P165)</f>
        <v>61</v>
      </c>
      <c r="R165" s="31" t="n">
        <f aca="false">IF($Q$216&gt;0,Q165/$Q$216,0)</f>
        <v>0.0094354215003867</v>
      </c>
    </row>
    <row r="166" customFormat="false" ht="15" hidden="false" customHeight="false" outlineLevel="0" collapsed="false">
      <c r="A166" s="26" t="str">
        <f aca="false">'Task Breakdown'!A502</f>
        <v>UC-2.02.04</v>
      </c>
      <c r="B166" s="27" t="str">
        <f aca="false">'Task Breakdown'!G502</f>
        <v>Format answers with source links</v>
      </c>
      <c r="C166" s="28"/>
      <c r="D166" s="28"/>
      <c r="E166" s="29" t="n">
        <f aca="false">'Task Breakdown'!I502</f>
        <v>0</v>
      </c>
      <c r="F166" s="29" t="n">
        <f aca="false">'Task Breakdown'!J502</f>
        <v>0</v>
      </c>
      <c r="G166" s="29" t="n">
        <f aca="false">'Task Breakdown'!K502</f>
        <v>0</v>
      </c>
      <c r="H166" s="29" t="n">
        <f aca="false">'Task Breakdown'!L502</f>
        <v>0</v>
      </c>
      <c r="I166" s="29" t="n">
        <f aca="false">'Task Breakdown'!M502</f>
        <v>0</v>
      </c>
      <c r="J166" s="29" t="n">
        <f aca="false">'Task Breakdown'!N502</f>
        <v>24</v>
      </c>
      <c r="K166" s="29" t="n">
        <f aca="false">'Task Breakdown'!O502</f>
        <v>0</v>
      </c>
      <c r="L166" s="29" t="n">
        <f aca="false">'Task Breakdown'!P502</f>
        <v>0</v>
      </c>
      <c r="M166" s="29" t="n">
        <f aca="false">'Task Breakdown'!Q502</f>
        <v>24</v>
      </c>
      <c r="N166" s="29" t="n">
        <f aca="false">'Task Breakdown'!R502</f>
        <v>0</v>
      </c>
      <c r="O166" s="29" t="n">
        <f aca="false">'Task Breakdown'!S502</f>
        <v>0</v>
      </c>
      <c r="P166" s="29" t="n">
        <f aca="false">'Task Breakdown'!T502</f>
        <v>0</v>
      </c>
      <c r="Q166" s="30" t="n">
        <f aca="false">SUM(E166:P166)</f>
        <v>48</v>
      </c>
      <c r="R166" s="31" t="n">
        <f aca="false">IF($Q$216&gt;0,Q166/$Q$216,0)</f>
        <v>0.0074245939675174</v>
      </c>
    </row>
    <row r="167" customFormat="false" ht="15" hidden="false" customHeight="false" outlineLevel="0" collapsed="false">
      <c r="A167" s="26" t="str">
        <f aca="false">'Task Breakdown'!A503</f>
        <v>UC-2.02.05</v>
      </c>
      <c r="B167" s="27" t="str">
        <f aca="false">'Task Breakdown'!G503</f>
        <v>Integrate with the orchestrator</v>
      </c>
      <c r="C167" s="28"/>
      <c r="D167" s="28"/>
      <c r="E167" s="29" t="n">
        <f aca="false">'Task Breakdown'!I503</f>
        <v>0</v>
      </c>
      <c r="F167" s="29" t="n">
        <f aca="false">'Task Breakdown'!J503</f>
        <v>0</v>
      </c>
      <c r="G167" s="29" t="n">
        <f aca="false">'Task Breakdown'!K503</f>
        <v>0</v>
      </c>
      <c r="H167" s="29" t="n">
        <f aca="false">'Task Breakdown'!L503</f>
        <v>0</v>
      </c>
      <c r="I167" s="29" t="n">
        <f aca="false">'Task Breakdown'!M503</f>
        <v>0</v>
      </c>
      <c r="J167" s="29" t="n">
        <f aca="false">'Task Breakdown'!N503</f>
        <v>37</v>
      </c>
      <c r="K167" s="29" t="n">
        <f aca="false">'Task Breakdown'!O503</f>
        <v>0</v>
      </c>
      <c r="L167" s="29" t="n">
        <f aca="false">'Task Breakdown'!P503</f>
        <v>0</v>
      </c>
      <c r="M167" s="29" t="n">
        <f aca="false">'Task Breakdown'!Q503</f>
        <v>24</v>
      </c>
      <c r="N167" s="29" t="n">
        <f aca="false">'Task Breakdown'!R503</f>
        <v>0</v>
      </c>
      <c r="O167" s="29" t="n">
        <f aca="false">'Task Breakdown'!S503</f>
        <v>0</v>
      </c>
      <c r="P167" s="29" t="n">
        <f aca="false">'Task Breakdown'!T503</f>
        <v>0</v>
      </c>
      <c r="Q167" s="30" t="n">
        <f aca="false">SUM(E167:P167)</f>
        <v>61</v>
      </c>
      <c r="R167" s="31" t="n">
        <f aca="false">IF($Q$216&gt;0,Q167/$Q$216,0)</f>
        <v>0.0094354215003867</v>
      </c>
    </row>
    <row r="168" customFormat="false" ht="15" hidden="false" customHeight="false" outlineLevel="0" collapsed="false">
      <c r="A168" s="26" t="str">
        <f aca="false">'Task Breakdown'!A504</f>
        <v>UC-2.02.06</v>
      </c>
      <c r="B168" s="27" t="str">
        <f aca="false">'Task Breakdown'!G504</f>
        <v>Accuracy testing with SMEs</v>
      </c>
      <c r="C168" s="28"/>
      <c r="D168" s="28"/>
      <c r="E168" s="29" t="n">
        <f aca="false">'Task Breakdown'!I504</f>
        <v>0</v>
      </c>
      <c r="F168" s="29" t="n">
        <f aca="false">'Task Breakdown'!J504</f>
        <v>0</v>
      </c>
      <c r="G168" s="29" t="n">
        <f aca="false">'Task Breakdown'!K504</f>
        <v>0</v>
      </c>
      <c r="H168" s="29" t="n">
        <f aca="false">'Task Breakdown'!L504</f>
        <v>0</v>
      </c>
      <c r="I168" s="29" t="n">
        <f aca="false">'Task Breakdown'!M504</f>
        <v>0</v>
      </c>
      <c r="J168" s="29" t="n">
        <f aca="false">'Task Breakdown'!N504</f>
        <v>24</v>
      </c>
      <c r="K168" s="29" t="n">
        <f aca="false">'Task Breakdown'!O504</f>
        <v>0</v>
      </c>
      <c r="L168" s="29" t="n">
        <f aca="false">'Task Breakdown'!P504</f>
        <v>0</v>
      </c>
      <c r="M168" s="29" t="n">
        <f aca="false">'Task Breakdown'!Q504</f>
        <v>0</v>
      </c>
      <c r="N168" s="29" t="n">
        <f aca="false">'Task Breakdown'!R504</f>
        <v>37</v>
      </c>
      <c r="O168" s="29" t="n">
        <f aca="false">'Task Breakdown'!S504</f>
        <v>98</v>
      </c>
      <c r="P168" s="29" t="n">
        <f aca="false">'Task Breakdown'!T504</f>
        <v>0</v>
      </c>
      <c r="Q168" s="30" t="n">
        <f aca="false">SUM(E168:P168)</f>
        <v>159</v>
      </c>
      <c r="R168" s="31" t="n">
        <f aca="false">IF($Q$216&gt;0,Q168/$Q$216,0)</f>
        <v>0.0245939675174014</v>
      </c>
    </row>
    <row r="169" customFormat="false" ht="15" hidden="false" customHeight="false" outlineLevel="0" collapsed="false">
      <c r="A169" s="26" t="str">
        <f aca="false">'Task Breakdown'!A505</f>
        <v>UC-2.02.07</v>
      </c>
      <c r="B169" s="27" t="str">
        <f aca="false">'Task Breakdown'!G505</f>
        <v>Detailed design and design review</v>
      </c>
      <c r="C169" s="28"/>
      <c r="D169" s="28"/>
      <c r="E169" s="29" t="n">
        <f aca="false">'Task Breakdown'!I505</f>
        <v>0</v>
      </c>
      <c r="F169" s="29" t="n">
        <f aca="false">'Task Breakdown'!J505</f>
        <v>0</v>
      </c>
      <c r="G169" s="29" t="n">
        <f aca="false">'Task Breakdown'!K505</f>
        <v>0</v>
      </c>
      <c r="H169" s="29" t="n">
        <f aca="false">'Task Breakdown'!L505</f>
        <v>0</v>
      </c>
      <c r="I169" s="29" t="n">
        <f aca="false">'Task Breakdown'!M505</f>
        <v>28</v>
      </c>
      <c r="J169" s="29" t="n">
        <f aca="false">'Task Breakdown'!N505</f>
        <v>0</v>
      </c>
      <c r="K169" s="29" t="n">
        <f aca="false">'Task Breakdown'!O505</f>
        <v>0</v>
      </c>
      <c r="L169" s="29" t="n">
        <f aca="false">'Task Breakdown'!P505</f>
        <v>0</v>
      </c>
      <c r="M169" s="29" t="n">
        <f aca="false">'Task Breakdown'!Q505</f>
        <v>0</v>
      </c>
      <c r="N169" s="29" t="n">
        <f aca="false">'Task Breakdown'!R505</f>
        <v>0</v>
      </c>
      <c r="O169" s="29" t="n">
        <f aca="false">'Task Breakdown'!S505</f>
        <v>0</v>
      </c>
      <c r="P169" s="29" t="n">
        <f aca="false">'Task Breakdown'!T505</f>
        <v>0</v>
      </c>
      <c r="Q169" s="30" t="n">
        <f aca="false">SUM(E169:P169)</f>
        <v>28</v>
      </c>
      <c r="R169" s="31" t="n">
        <f aca="false">IF($Q$216&gt;0,Q169/$Q$216,0)</f>
        <v>0.00433101314771848</v>
      </c>
    </row>
    <row r="170" customFormat="false" ht="15" hidden="false" customHeight="false" outlineLevel="0" collapsed="false">
      <c r="A170" s="26" t="str">
        <f aca="false">'Task Breakdown'!A506</f>
        <v>UC-2.02.08</v>
      </c>
      <c r="B170" s="27" t="str">
        <f aca="false">'Task Breakdown'!G506</f>
        <v>Promote through dev / test / prod and release</v>
      </c>
      <c r="C170" s="28"/>
      <c r="D170" s="28"/>
      <c r="E170" s="29" t="n">
        <f aca="false">'Task Breakdown'!I506</f>
        <v>0</v>
      </c>
      <c r="F170" s="29" t="n">
        <f aca="false">'Task Breakdown'!J506</f>
        <v>0</v>
      </c>
      <c r="G170" s="29" t="n">
        <f aca="false">'Task Breakdown'!K506</f>
        <v>19</v>
      </c>
      <c r="H170" s="29" t="n">
        <f aca="false">'Task Breakdown'!L506</f>
        <v>0</v>
      </c>
      <c r="I170" s="29" t="n">
        <f aca="false">'Task Breakdown'!M506</f>
        <v>0</v>
      </c>
      <c r="J170" s="29" t="n">
        <f aca="false">'Task Breakdown'!N506</f>
        <v>0</v>
      </c>
      <c r="K170" s="29" t="n">
        <f aca="false">'Task Breakdown'!O506</f>
        <v>0</v>
      </c>
      <c r="L170" s="29" t="n">
        <f aca="false">'Task Breakdown'!P506</f>
        <v>0</v>
      </c>
      <c r="M170" s="29" t="n">
        <f aca="false">'Task Breakdown'!Q506</f>
        <v>0</v>
      </c>
      <c r="N170" s="29" t="n">
        <f aca="false">'Task Breakdown'!R506</f>
        <v>0</v>
      </c>
      <c r="O170" s="29" t="n">
        <f aca="false">'Task Breakdown'!S506</f>
        <v>0</v>
      </c>
      <c r="P170" s="29" t="n">
        <f aca="false">'Task Breakdown'!T506</f>
        <v>0</v>
      </c>
      <c r="Q170" s="30" t="n">
        <f aca="false">SUM(E170:P170)</f>
        <v>19</v>
      </c>
      <c r="R170" s="31" t="n">
        <f aca="false">IF($Q$216&gt;0,Q170/$Q$216,0)</f>
        <v>0.00293890177880897</v>
      </c>
    </row>
    <row r="171" customFormat="false" ht="15" hidden="false" customHeight="false" outlineLevel="0" collapsed="false">
      <c r="A171" s="26" t="str">
        <f aca="false">'Task Breakdown'!A507</f>
        <v>UC-2.02.09</v>
      </c>
      <c r="B171" s="27" t="str">
        <f aca="false">'Task Breakdown'!G507</f>
        <v>Documentation, runbook and knowledge transfer</v>
      </c>
      <c r="C171" s="28"/>
      <c r="D171" s="28"/>
      <c r="E171" s="29" t="n">
        <f aca="false">'Task Breakdown'!I507</f>
        <v>0</v>
      </c>
      <c r="F171" s="29" t="n">
        <f aca="false">'Task Breakdown'!J507</f>
        <v>0</v>
      </c>
      <c r="G171" s="29" t="n">
        <f aca="false">'Task Breakdown'!K507</f>
        <v>0</v>
      </c>
      <c r="H171" s="29" t="n">
        <f aca="false">'Task Breakdown'!L507</f>
        <v>0</v>
      </c>
      <c r="I171" s="29" t="n">
        <f aca="false">'Task Breakdown'!M507</f>
        <v>0</v>
      </c>
      <c r="J171" s="29" t="n">
        <f aca="false">'Task Breakdown'!N507</f>
        <v>19</v>
      </c>
      <c r="K171" s="29" t="n">
        <f aca="false">'Task Breakdown'!O507</f>
        <v>0</v>
      </c>
      <c r="L171" s="29" t="n">
        <f aca="false">'Task Breakdown'!P507</f>
        <v>0</v>
      </c>
      <c r="M171" s="29" t="n">
        <f aca="false">'Task Breakdown'!Q507</f>
        <v>0</v>
      </c>
      <c r="N171" s="29" t="n">
        <f aca="false">'Task Breakdown'!R507</f>
        <v>0</v>
      </c>
      <c r="O171" s="29" t="n">
        <f aca="false">'Task Breakdown'!S507</f>
        <v>0</v>
      </c>
      <c r="P171" s="29" t="n">
        <f aca="false">'Task Breakdown'!T507</f>
        <v>0</v>
      </c>
      <c r="Q171" s="30" t="n">
        <f aca="false">SUM(E171:P171)</f>
        <v>19</v>
      </c>
      <c r="R171" s="31" t="n">
        <f aca="false">IF($Q$216&gt;0,Q171/$Q$216,0)</f>
        <v>0.00293890177880897</v>
      </c>
    </row>
    <row r="172" customFormat="false" ht="15" hidden="false" customHeight="false" outlineLevel="0" collapsed="false">
      <c r="A172" s="26" t="str">
        <f aca="false">'Task Breakdown'!A508</f>
        <v>UC-2.02.10</v>
      </c>
      <c r="B172" s="27" t="str">
        <f aca="false">'Task Breakdown'!G508</f>
        <v>Defect fixing and rework after testing</v>
      </c>
      <c r="C172" s="28"/>
      <c r="D172" s="28"/>
      <c r="E172" s="29" t="n">
        <f aca="false">'Task Breakdown'!I508</f>
        <v>0</v>
      </c>
      <c r="F172" s="29" t="n">
        <f aca="false">'Task Breakdown'!J508</f>
        <v>0</v>
      </c>
      <c r="G172" s="29" t="n">
        <f aca="false">'Task Breakdown'!K508</f>
        <v>0</v>
      </c>
      <c r="H172" s="29" t="n">
        <f aca="false">'Task Breakdown'!L508</f>
        <v>0</v>
      </c>
      <c r="I172" s="29" t="n">
        <f aca="false">'Task Breakdown'!M508</f>
        <v>0</v>
      </c>
      <c r="J172" s="29" t="n">
        <f aca="false">'Task Breakdown'!N508</f>
        <v>37</v>
      </c>
      <c r="K172" s="29" t="n">
        <f aca="false">'Task Breakdown'!O508</f>
        <v>0</v>
      </c>
      <c r="L172" s="29" t="n">
        <f aca="false">'Task Breakdown'!P508</f>
        <v>0</v>
      </c>
      <c r="M172" s="29" t="n">
        <f aca="false">'Task Breakdown'!Q508</f>
        <v>0</v>
      </c>
      <c r="N172" s="29" t="n">
        <f aca="false">'Task Breakdown'!R508</f>
        <v>0</v>
      </c>
      <c r="O172" s="29" t="n">
        <f aca="false">'Task Breakdown'!S508</f>
        <v>0</v>
      </c>
      <c r="P172" s="29" t="n">
        <f aca="false">'Task Breakdown'!T508</f>
        <v>0</v>
      </c>
      <c r="Q172" s="30" t="n">
        <f aca="false">SUM(E172:P172)</f>
        <v>37</v>
      </c>
      <c r="R172" s="31" t="n">
        <f aca="false">IF($Q$216&gt;0,Q172/$Q$216,0)</f>
        <v>0.005723124516628</v>
      </c>
    </row>
    <row r="173" customFormat="false" ht="15" hidden="false" customHeight="false" outlineLevel="0" collapsed="false">
      <c r="A173" s="23" t="s">
        <v>213</v>
      </c>
      <c r="B173" s="23" t="s">
        <v>214</v>
      </c>
      <c r="C173" s="23" t="s">
        <v>45</v>
      </c>
      <c r="D173" s="23" t="s">
        <v>215</v>
      </c>
      <c r="E173" s="24" t="n">
        <f aca="false">SUM(E174:E182)</f>
        <v>0</v>
      </c>
      <c r="F173" s="24" t="n">
        <f aca="false">SUM(F174:F182)</f>
        <v>0</v>
      </c>
      <c r="G173" s="24" t="n">
        <f aca="false">SUM(G174:G182)</f>
        <v>7</v>
      </c>
      <c r="H173" s="24" t="n">
        <f aca="false">SUM(H174:H182)</f>
        <v>16</v>
      </c>
      <c r="I173" s="24" t="n">
        <f aca="false">SUM(I174:I182)</f>
        <v>10</v>
      </c>
      <c r="J173" s="24" t="n">
        <f aca="false">SUM(J174:J182)</f>
        <v>16</v>
      </c>
      <c r="K173" s="24" t="n">
        <f aca="false">SUM(K174:K182)</f>
        <v>0</v>
      </c>
      <c r="L173" s="24" t="n">
        <f aca="false">SUM(L174:L182)</f>
        <v>0</v>
      </c>
      <c r="M173" s="24" t="n">
        <f aca="false">SUM(M174:M182)</f>
        <v>117</v>
      </c>
      <c r="N173" s="24" t="n">
        <f aca="false">SUM(N174:N182)</f>
        <v>0</v>
      </c>
      <c r="O173" s="24" t="n">
        <f aca="false">SUM(O174:O182)</f>
        <v>33</v>
      </c>
      <c r="P173" s="24" t="n">
        <f aca="false">SUM(P174:P182)</f>
        <v>0</v>
      </c>
      <c r="Q173" s="24" t="n">
        <f aca="false">SUM(Q174:Q182)</f>
        <v>199</v>
      </c>
      <c r="R173" s="25" t="n">
        <f aca="false">IF($Q$216&gt;0,Q173/$Q$216,0)</f>
        <v>0.0307811291569992</v>
      </c>
    </row>
    <row r="174" customFormat="false" ht="15" hidden="false" customHeight="false" outlineLevel="0" collapsed="false">
      <c r="A174" s="26" t="str">
        <f aca="false">'Task Breakdown'!A509</f>
        <v>UC-2.03.01</v>
      </c>
      <c r="B174" s="27" t="str">
        <f aca="false">'Task Breakdown'!G509</f>
        <v>Register Teams app / Copilot agent</v>
      </c>
      <c r="C174" s="28"/>
      <c r="D174" s="28"/>
      <c r="E174" s="29" t="n">
        <f aca="false">'Task Breakdown'!I509</f>
        <v>0</v>
      </c>
      <c r="F174" s="29" t="n">
        <f aca="false">'Task Breakdown'!J509</f>
        <v>0</v>
      </c>
      <c r="G174" s="29" t="n">
        <f aca="false">'Task Breakdown'!K509</f>
        <v>0</v>
      </c>
      <c r="H174" s="29" t="n">
        <f aca="false">'Task Breakdown'!L509</f>
        <v>8</v>
      </c>
      <c r="I174" s="29" t="n">
        <f aca="false">'Task Breakdown'!M509</f>
        <v>0</v>
      </c>
      <c r="J174" s="29" t="n">
        <f aca="false">'Task Breakdown'!N509</f>
        <v>0</v>
      </c>
      <c r="K174" s="29" t="n">
        <f aca="false">'Task Breakdown'!O509</f>
        <v>0</v>
      </c>
      <c r="L174" s="29" t="n">
        <f aca="false">'Task Breakdown'!P509</f>
        <v>0</v>
      </c>
      <c r="M174" s="29" t="n">
        <f aca="false">'Task Breakdown'!Q509</f>
        <v>16</v>
      </c>
      <c r="N174" s="29" t="n">
        <f aca="false">'Task Breakdown'!R509</f>
        <v>0</v>
      </c>
      <c r="O174" s="29" t="n">
        <f aca="false">'Task Breakdown'!S509</f>
        <v>0</v>
      </c>
      <c r="P174" s="29" t="n">
        <f aca="false">'Task Breakdown'!T509</f>
        <v>0</v>
      </c>
      <c r="Q174" s="30" t="n">
        <f aca="false">SUM(E174:P174)</f>
        <v>24</v>
      </c>
      <c r="R174" s="31" t="n">
        <f aca="false">IF($Q$216&gt;0,Q174/$Q$216,0)</f>
        <v>0.0037122969837587</v>
      </c>
    </row>
    <row r="175" customFormat="false" ht="15" hidden="false" customHeight="false" outlineLevel="0" collapsed="false">
      <c r="A175" s="26" t="str">
        <f aca="false">'Task Breakdown'!A510</f>
        <v>UC-2.03.02</v>
      </c>
      <c r="B175" s="27" t="str">
        <f aca="false">'Task Breakdown'!G510</f>
        <v>Build bot with adaptive cards and SSO</v>
      </c>
      <c r="C175" s="28"/>
      <c r="D175" s="28"/>
      <c r="E175" s="29" t="n">
        <f aca="false">'Task Breakdown'!I510</f>
        <v>0</v>
      </c>
      <c r="F175" s="29" t="n">
        <f aca="false">'Task Breakdown'!J510</f>
        <v>0</v>
      </c>
      <c r="G175" s="29" t="n">
        <f aca="false">'Task Breakdown'!K510</f>
        <v>0</v>
      </c>
      <c r="H175" s="29" t="n">
        <f aca="false">'Task Breakdown'!L510</f>
        <v>0</v>
      </c>
      <c r="I175" s="29" t="n">
        <f aca="false">'Task Breakdown'!M510</f>
        <v>0</v>
      </c>
      <c r="J175" s="29" t="n">
        <f aca="false">'Task Breakdown'!N510</f>
        <v>0</v>
      </c>
      <c r="K175" s="29" t="n">
        <f aca="false">'Task Breakdown'!O510</f>
        <v>0</v>
      </c>
      <c r="L175" s="29" t="n">
        <f aca="false">'Task Breakdown'!P510</f>
        <v>0</v>
      </c>
      <c r="M175" s="29" t="n">
        <f aca="false">'Task Breakdown'!Q510</f>
        <v>49</v>
      </c>
      <c r="N175" s="29" t="n">
        <f aca="false">'Task Breakdown'!R510</f>
        <v>0</v>
      </c>
      <c r="O175" s="29" t="n">
        <f aca="false">'Task Breakdown'!S510</f>
        <v>0</v>
      </c>
      <c r="P175" s="29" t="n">
        <f aca="false">'Task Breakdown'!T510</f>
        <v>0</v>
      </c>
      <c r="Q175" s="30" t="n">
        <f aca="false">SUM(E175:P175)</f>
        <v>49</v>
      </c>
      <c r="R175" s="31" t="n">
        <f aca="false">IF($Q$216&gt;0,Q175/$Q$216,0)</f>
        <v>0.00757927300850735</v>
      </c>
    </row>
    <row r="176" customFormat="false" ht="15" hidden="false" customHeight="false" outlineLevel="0" collapsed="false">
      <c r="A176" s="26" t="str">
        <f aca="false">'Task Breakdown'!A511</f>
        <v>UC-2.03.03</v>
      </c>
      <c r="B176" s="27" t="str">
        <f aca="false">'Task Breakdown'!G511</f>
        <v>Connect to orchestrator API through APIM</v>
      </c>
      <c r="C176" s="28"/>
      <c r="D176" s="28"/>
      <c r="E176" s="29" t="n">
        <f aca="false">'Task Breakdown'!I511</f>
        <v>0</v>
      </c>
      <c r="F176" s="29" t="n">
        <f aca="false">'Task Breakdown'!J511</f>
        <v>0</v>
      </c>
      <c r="G176" s="29" t="n">
        <f aca="false">'Task Breakdown'!K511</f>
        <v>0</v>
      </c>
      <c r="H176" s="29" t="n">
        <f aca="false">'Task Breakdown'!L511</f>
        <v>0</v>
      </c>
      <c r="I176" s="29" t="n">
        <f aca="false">'Task Breakdown'!M511</f>
        <v>0</v>
      </c>
      <c r="J176" s="29" t="n">
        <f aca="false">'Task Breakdown'!N511</f>
        <v>16</v>
      </c>
      <c r="K176" s="29" t="n">
        <f aca="false">'Task Breakdown'!O511</f>
        <v>0</v>
      </c>
      <c r="L176" s="29" t="n">
        <f aca="false">'Task Breakdown'!P511</f>
        <v>0</v>
      </c>
      <c r="M176" s="29" t="n">
        <f aca="false">'Task Breakdown'!Q511</f>
        <v>16</v>
      </c>
      <c r="N176" s="29" t="n">
        <f aca="false">'Task Breakdown'!R511</f>
        <v>0</v>
      </c>
      <c r="O176" s="29" t="n">
        <f aca="false">'Task Breakdown'!S511</f>
        <v>0</v>
      </c>
      <c r="P176" s="29" t="n">
        <f aca="false">'Task Breakdown'!T511</f>
        <v>0</v>
      </c>
      <c r="Q176" s="30" t="n">
        <f aca="false">SUM(E176:P176)</f>
        <v>32</v>
      </c>
      <c r="R176" s="31" t="n">
        <f aca="false">IF($Q$216&gt;0,Q176/$Q$216,0)</f>
        <v>0.00494972931167827</v>
      </c>
    </row>
    <row r="177" customFormat="false" ht="15" hidden="false" customHeight="false" outlineLevel="0" collapsed="false">
      <c r="A177" s="26" t="str">
        <f aca="false">'Task Breakdown'!A512</f>
        <v>UC-2.03.04</v>
      </c>
      <c r="B177" s="27" t="str">
        <f aca="false">'Task Breakdown'!G512</f>
        <v>Admin approval and publish to Teams catalog</v>
      </c>
      <c r="C177" s="28"/>
      <c r="D177" s="28"/>
      <c r="E177" s="29" t="n">
        <f aca="false">'Task Breakdown'!I512</f>
        <v>0</v>
      </c>
      <c r="F177" s="29" t="n">
        <f aca="false">'Task Breakdown'!J512</f>
        <v>0</v>
      </c>
      <c r="G177" s="29" t="n">
        <f aca="false">'Task Breakdown'!K512</f>
        <v>0</v>
      </c>
      <c r="H177" s="29" t="n">
        <f aca="false">'Task Breakdown'!L512</f>
        <v>8</v>
      </c>
      <c r="I177" s="29" t="n">
        <f aca="false">'Task Breakdown'!M512</f>
        <v>0</v>
      </c>
      <c r="J177" s="29" t="n">
        <f aca="false">'Task Breakdown'!N512</f>
        <v>0</v>
      </c>
      <c r="K177" s="29" t="n">
        <f aca="false">'Task Breakdown'!O512</f>
        <v>0</v>
      </c>
      <c r="L177" s="29" t="n">
        <f aca="false">'Task Breakdown'!P512</f>
        <v>0</v>
      </c>
      <c r="M177" s="29" t="n">
        <f aca="false">'Task Breakdown'!Q512</f>
        <v>16</v>
      </c>
      <c r="N177" s="29" t="n">
        <f aca="false">'Task Breakdown'!R512</f>
        <v>0</v>
      </c>
      <c r="O177" s="29" t="n">
        <f aca="false">'Task Breakdown'!S512</f>
        <v>0</v>
      </c>
      <c r="P177" s="29" t="n">
        <f aca="false">'Task Breakdown'!T512</f>
        <v>0</v>
      </c>
      <c r="Q177" s="30" t="n">
        <f aca="false">SUM(E177:P177)</f>
        <v>24</v>
      </c>
      <c r="R177" s="31" t="n">
        <f aca="false">IF($Q$216&gt;0,Q177/$Q$216,0)</f>
        <v>0.0037122969837587</v>
      </c>
    </row>
    <row r="178" customFormat="false" ht="15" hidden="false" customHeight="false" outlineLevel="0" collapsed="false">
      <c r="A178" s="26" t="str">
        <f aca="false">'Task Breakdown'!A513</f>
        <v>UC-2.03.05</v>
      </c>
      <c r="B178" s="27" t="str">
        <f aca="false">'Task Breakdown'!G513</f>
        <v>Test across desktop, web and mobile</v>
      </c>
      <c r="C178" s="28"/>
      <c r="D178" s="28"/>
      <c r="E178" s="29" t="n">
        <f aca="false">'Task Breakdown'!I513</f>
        <v>0</v>
      </c>
      <c r="F178" s="29" t="n">
        <f aca="false">'Task Breakdown'!J513</f>
        <v>0</v>
      </c>
      <c r="G178" s="29" t="n">
        <f aca="false">'Task Breakdown'!K513</f>
        <v>0</v>
      </c>
      <c r="H178" s="29" t="n">
        <f aca="false">'Task Breakdown'!L513</f>
        <v>0</v>
      </c>
      <c r="I178" s="29" t="n">
        <f aca="false">'Task Breakdown'!M513</f>
        <v>0</v>
      </c>
      <c r="J178" s="29" t="n">
        <f aca="false">'Task Breakdown'!N513</f>
        <v>0</v>
      </c>
      <c r="K178" s="29" t="n">
        <f aca="false">'Task Breakdown'!O513</f>
        <v>0</v>
      </c>
      <c r="L178" s="29" t="n">
        <f aca="false">'Task Breakdown'!P513</f>
        <v>0</v>
      </c>
      <c r="M178" s="29" t="n">
        <f aca="false">'Task Breakdown'!Q513</f>
        <v>0</v>
      </c>
      <c r="N178" s="29" t="n">
        <f aca="false">'Task Breakdown'!R513</f>
        <v>0</v>
      </c>
      <c r="O178" s="29" t="n">
        <f aca="false">'Task Breakdown'!S513</f>
        <v>33</v>
      </c>
      <c r="P178" s="29" t="n">
        <f aca="false">'Task Breakdown'!T513</f>
        <v>0</v>
      </c>
      <c r="Q178" s="30" t="n">
        <f aca="false">SUM(E178:P178)</f>
        <v>33</v>
      </c>
      <c r="R178" s="31" t="n">
        <f aca="false">IF($Q$216&gt;0,Q178/$Q$216,0)</f>
        <v>0.00510440835266821</v>
      </c>
    </row>
    <row r="179" customFormat="false" ht="15" hidden="false" customHeight="false" outlineLevel="0" collapsed="false">
      <c r="A179" s="26" t="str">
        <f aca="false">'Task Breakdown'!A514</f>
        <v>UC-2.03.06</v>
      </c>
      <c r="B179" s="27" t="str">
        <f aca="false">'Task Breakdown'!G514</f>
        <v>Detailed design and design review</v>
      </c>
      <c r="C179" s="28"/>
      <c r="D179" s="28"/>
      <c r="E179" s="29" t="n">
        <f aca="false">'Task Breakdown'!I514</f>
        <v>0</v>
      </c>
      <c r="F179" s="29" t="n">
        <f aca="false">'Task Breakdown'!J514</f>
        <v>0</v>
      </c>
      <c r="G179" s="29" t="n">
        <f aca="false">'Task Breakdown'!K514</f>
        <v>0</v>
      </c>
      <c r="H179" s="29" t="n">
        <f aca="false">'Task Breakdown'!L514</f>
        <v>0</v>
      </c>
      <c r="I179" s="29" t="n">
        <f aca="false">'Task Breakdown'!M514</f>
        <v>10</v>
      </c>
      <c r="J179" s="29" t="n">
        <f aca="false">'Task Breakdown'!N514</f>
        <v>0</v>
      </c>
      <c r="K179" s="29" t="n">
        <f aca="false">'Task Breakdown'!O514</f>
        <v>0</v>
      </c>
      <c r="L179" s="29" t="n">
        <f aca="false">'Task Breakdown'!P514</f>
        <v>0</v>
      </c>
      <c r="M179" s="29" t="n">
        <f aca="false">'Task Breakdown'!Q514</f>
        <v>0</v>
      </c>
      <c r="N179" s="29" t="n">
        <f aca="false">'Task Breakdown'!R514</f>
        <v>0</v>
      </c>
      <c r="O179" s="29" t="n">
        <f aca="false">'Task Breakdown'!S514</f>
        <v>0</v>
      </c>
      <c r="P179" s="29" t="n">
        <f aca="false">'Task Breakdown'!T514</f>
        <v>0</v>
      </c>
      <c r="Q179" s="30" t="n">
        <f aca="false">SUM(E179:P179)</f>
        <v>10</v>
      </c>
      <c r="R179" s="31" t="n">
        <f aca="false">IF($Q$216&gt;0,Q179/$Q$216,0)</f>
        <v>0.00154679040989946</v>
      </c>
    </row>
    <row r="180" customFormat="false" ht="15" hidden="false" customHeight="false" outlineLevel="0" collapsed="false">
      <c r="A180" s="26" t="str">
        <f aca="false">'Task Breakdown'!A515</f>
        <v>UC-2.03.07</v>
      </c>
      <c r="B180" s="27" t="str">
        <f aca="false">'Task Breakdown'!G515</f>
        <v>Promote through dev / test / prod and release</v>
      </c>
      <c r="C180" s="28"/>
      <c r="D180" s="28"/>
      <c r="E180" s="29" t="n">
        <f aca="false">'Task Breakdown'!I515</f>
        <v>0</v>
      </c>
      <c r="F180" s="29" t="n">
        <f aca="false">'Task Breakdown'!J515</f>
        <v>0</v>
      </c>
      <c r="G180" s="29" t="n">
        <f aca="false">'Task Breakdown'!K515</f>
        <v>7</v>
      </c>
      <c r="H180" s="29" t="n">
        <f aca="false">'Task Breakdown'!L515</f>
        <v>0</v>
      </c>
      <c r="I180" s="29" t="n">
        <f aca="false">'Task Breakdown'!M515</f>
        <v>0</v>
      </c>
      <c r="J180" s="29" t="n">
        <f aca="false">'Task Breakdown'!N515</f>
        <v>0</v>
      </c>
      <c r="K180" s="29" t="n">
        <f aca="false">'Task Breakdown'!O515</f>
        <v>0</v>
      </c>
      <c r="L180" s="29" t="n">
        <f aca="false">'Task Breakdown'!P515</f>
        <v>0</v>
      </c>
      <c r="M180" s="29" t="n">
        <f aca="false">'Task Breakdown'!Q515</f>
        <v>0</v>
      </c>
      <c r="N180" s="29" t="n">
        <f aca="false">'Task Breakdown'!R515</f>
        <v>0</v>
      </c>
      <c r="O180" s="29" t="n">
        <f aca="false">'Task Breakdown'!S515</f>
        <v>0</v>
      </c>
      <c r="P180" s="29" t="n">
        <f aca="false">'Task Breakdown'!T515</f>
        <v>0</v>
      </c>
      <c r="Q180" s="30" t="n">
        <f aca="false">SUM(E180:P180)</f>
        <v>7</v>
      </c>
      <c r="R180" s="31" t="n">
        <f aca="false">IF($Q$216&gt;0,Q180/$Q$216,0)</f>
        <v>0.00108275328692962</v>
      </c>
    </row>
    <row r="181" customFormat="false" ht="15" hidden="false" customHeight="false" outlineLevel="0" collapsed="false">
      <c r="A181" s="26" t="str">
        <f aca="false">'Task Breakdown'!A516</f>
        <v>UC-2.03.08</v>
      </c>
      <c r="B181" s="27" t="str">
        <f aca="false">'Task Breakdown'!G516</f>
        <v>Documentation, runbook and knowledge transfer</v>
      </c>
      <c r="C181" s="28"/>
      <c r="D181" s="28"/>
      <c r="E181" s="29" t="n">
        <f aca="false">'Task Breakdown'!I516</f>
        <v>0</v>
      </c>
      <c r="F181" s="29" t="n">
        <f aca="false">'Task Breakdown'!J516</f>
        <v>0</v>
      </c>
      <c r="G181" s="29" t="n">
        <f aca="false">'Task Breakdown'!K516</f>
        <v>0</v>
      </c>
      <c r="H181" s="29" t="n">
        <f aca="false">'Task Breakdown'!L516</f>
        <v>0</v>
      </c>
      <c r="I181" s="29" t="n">
        <f aca="false">'Task Breakdown'!M516</f>
        <v>0</v>
      </c>
      <c r="J181" s="29" t="n">
        <f aca="false">'Task Breakdown'!N516</f>
        <v>0</v>
      </c>
      <c r="K181" s="29" t="n">
        <f aca="false">'Task Breakdown'!O516</f>
        <v>0</v>
      </c>
      <c r="L181" s="29" t="n">
        <f aca="false">'Task Breakdown'!P516</f>
        <v>0</v>
      </c>
      <c r="M181" s="29" t="n">
        <f aca="false">'Task Breakdown'!Q516</f>
        <v>7</v>
      </c>
      <c r="N181" s="29" t="n">
        <f aca="false">'Task Breakdown'!R516</f>
        <v>0</v>
      </c>
      <c r="O181" s="29" t="n">
        <f aca="false">'Task Breakdown'!S516</f>
        <v>0</v>
      </c>
      <c r="P181" s="29" t="n">
        <f aca="false">'Task Breakdown'!T516</f>
        <v>0</v>
      </c>
      <c r="Q181" s="30" t="n">
        <f aca="false">SUM(E181:P181)</f>
        <v>7</v>
      </c>
      <c r="R181" s="31" t="n">
        <f aca="false">IF($Q$216&gt;0,Q181/$Q$216,0)</f>
        <v>0.00108275328692962</v>
      </c>
    </row>
    <row r="182" customFormat="false" ht="15" hidden="false" customHeight="false" outlineLevel="0" collapsed="false">
      <c r="A182" s="26" t="str">
        <f aca="false">'Task Breakdown'!A517</f>
        <v>UC-2.03.09</v>
      </c>
      <c r="B182" s="27" t="str">
        <f aca="false">'Task Breakdown'!G517</f>
        <v>Defect fixing and rework after testing</v>
      </c>
      <c r="C182" s="28"/>
      <c r="D182" s="28"/>
      <c r="E182" s="29" t="n">
        <f aca="false">'Task Breakdown'!I517</f>
        <v>0</v>
      </c>
      <c r="F182" s="29" t="n">
        <f aca="false">'Task Breakdown'!J517</f>
        <v>0</v>
      </c>
      <c r="G182" s="29" t="n">
        <f aca="false">'Task Breakdown'!K517</f>
        <v>0</v>
      </c>
      <c r="H182" s="29" t="n">
        <f aca="false">'Task Breakdown'!L517</f>
        <v>0</v>
      </c>
      <c r="I182" s="29" t="n">
        <f aca="false">'Task Breakdown'!M517</f>
        <v>0</v>
      </c>
      <c r="J182" s="29" t="n">
        <f aca="false">'Task Breakdown'!N517</f>
        <v>0</v>
      </c>
      <c r="K182" s="29" t="n">
        <f aca="false">'Task Breakdown'!O517</f>
        <v>0</v>
      </c>
      <c r="L182" s="29" t="n">
        <f aca="false">'Task Breakdown'!P517</f>
        <v>0</v>
      </c>
      <c r="M182" s="29" t="n">
        <f aca="false">'Task Breakdown'!Q517</f>
        <v>13</v>
      </c>
      <c r="N182" s="29" t="n">
        <f aca="false">'Task Breakdown'!R517</f>
        <v>0</v>
      </c>
      <c r="O182" s="29" t="n">
        <f aca="false">'Task Breakdown'!S517</f>
        <v>0</v>
      </c>
      <c r="P182" s="29" t="n">
        <f aca="false">'Task Breakdown'!T517</f>
        <v>0</v>
      </c>
      <c r="Q182" s="30" t="n">
        <f aca="false">SUM(E182:P182)</f>
        <v>13</v>
      </c>
      <c r="R182" s="31" t="n">
        <f aca="false">IF($Q$216&gt;0,Q182/$Q$216,0)</f>
        <v>0.0020108275328693</v>
      </c>
    </row>
    <row r="183" customFormat="false" ht="15" hidden="false" customHeight="false" outlineLevel="0" collapsed="false">
      <c r="A183" s="23" t="s">
        <v>216</v>
      </c>
      <c r="B183" s="23" t="s">
        <v>217</v>
      </c>
      <c r="C183" s="23" t="s">
        <v>45</v>
      </c>
      <c r="D183" s="23" t="s">
        <v>218</v>
      </c>
      <c r="E183" s="24" t="n">
        <f aca="false">SUM(E184:E189)</f>
        <v>48</v>
      </c>
      <c r="F183" s="24" t="n">
        <f aca="false">SUM(F184:F189)</f>
        <v>0</v>
      </c>
      <c r="G183" s="24" t="n">
        <f aca="false">SUM(G184:G189)</f>
        <v>0</v>
      </c>
      <c r="H183" s="24" t="n">
        <f aca="false">SUM(H184:H189)</f>
        <v>0</v>
      </c>
      <c r="I183" s="24" t="n">
        <f aca="false">SUM(I184:I189)</f>
        <v>0</v>
      </c>
      <c r="J183" s="24" t="n">
        <f aca="false">SUM(J184:J189)</f>
        <v>49</v>
      </c>
      <c r="K183" s="24" t="n">
        <f aca="false">SUM(K184:K189)</f>
        <v>0</v>
      </c>
      <c r="L183" s="24" t="n">
        <f aca="false">SUM(L184:L189)</f>
        <v>0</v>
      </c>
      <c r="M183" s="24" t="n">
        <f aca="false">SUM(M184:M189)</f>
        <v>0</v>
      </c>
      <c r="N183" s="24" t="n">
        <f aca="false">SUM(N184:N189)</f>
        <v>154</v>
      </c>
      <c r="O183" s="24" t="n">
        <f aca="false">SUM(O184:O189)</f>
        <v>0</v>
      </c>
      <c r="P183" s="24" t="n">
        <f aca="false">SUM(P184:P189)</f>
        <v>97</v>
      </c>
      <c r="Q183" s="24" t="n">
        <f aca="false">SUM(Q184:Q189)</f>
        <v>348</v>
      </c>
      <c r="R183" s="25" t="n">
        <f aca="false">IF($Q$216&gt;0,Q183/$Q$216,0)</f>
        <v>0.0538283062645012</v>
      </c>
    </row>
    <row r="184" customFormat="false" ht="15" hidden="false" customHeight="false" outlineLevel="0" collapsed="false">
      <c r="A184" s="26" t="str">
        <f aca="false">'Task Breakdown'!A518</f>
        <v>UC-2.04.01</v>
      </c>
      <c r="B184" s="27" t="str">
        <f aca="false">'Task Breakdown'!G518</f>
        <v>Pilot plan and schedule</v>
      </c>
      <c r="C184" s="28"/>
      <c r="D184" s="28"/>
      <c r="E184" s="29" t="n">
        <f aca="false">'Task Breakdown'!I518</f>
        <v>24</v>
      </c>
      <c r="F184" s="29" t="n">
        <f aca="false">'Task Breakdown'!J518</f>
        <v>0</v>
      </c>
      <c r="G184" s="29" t="n">
        <f aca="false">'Task Breakdown'!K518</f>
        <v>0</v>
      </c>
      <c r="H184" s="29" t="n">
        <f aca="false">'Task Breakdown'!L518</f>
        <v>0</v>
      </c>
      <c r="I184" s="29" t="n">
        <f aca="false">'Task Breakdown'!M518</f>
        <v>0</v>
      </c>
      <c r="J184" s="29" t="n">
        <f aca="false">'Task Breakdown'!N518</f>
        <v>0</v>
      </c>
      <c r="K184" s="29" t="n">
        <f aca="false">'Task Breakdown'!O518</f>
        <v>0</v>
      </c>
      <c r="L184" s="29" t="n">
        <f aca="false">'Task Breakdown'!P518</f>
        <v>0</v>
      </c>
      <c r="M184" s="29" t="n">
        <f aca="false">'Task Breakdown'!Q518</f>
        <v>0</v>
      </c>
      <c r="N184" s="29" t="n">
        <f aca="false">'Task Breakdown'!R518</f>
        <v>24</v>
      </c>
      <c r="O184" s="29" t="n">
        <f aca="false">'Task Breakdown'!S518</f>
        <v>0</v>
      </c>
      <c r="P184" s="29" t="n">
        <f aca="false">'Task Breakdown'!T518</f>
        <v>0</v>
      </c>
      <c r="Q184" s="30" t="n">
        <f aca="false">SUM(E184:P184)</f>
        <v>48</v>
      </c>
      <c r="R184" s="31" t="n">
        <f aca="false">IF($Q$216&gt;0,Q184/$Q$216,0)</f>
        <v>0.0074245939675174</v>
      </c>
    </row>
    <row r="185" customFormat="false" ht="15" hidden="false" customHeight="false" outlineLevel="0" collapsed="false">
      <c r="A185" s="26" t="str">
        <f aca="false">'Task Breakdown'!A519</f>
        <v>UC-2.04.02</v>
      </c>
      <c r="B185" s="27" t="str">
        <f aca="false">'Task Breakdown'!G519</f>
        <v>Train pilot users</v>
      </c>
      <c r="C185" s="28"/>
      <c r="D185" s="28"/>
      <c r="E185" s="29" t="n">
        <f aca="false">'Task Breakdown'!I519</f>
        <v>0</v>
      </c>
      <c r="F185" s="29" t="n">
        <f aca="false">'Task Breakdown'!J519</f>
        <v>0</v>
      </c>
      <c r="G185" s="29" t="n">
        <f aca="false">'Task Breakdown'!K519</f>
        <v>0</v>
      </c>
      <c r="H185" s="29" t="n">
        <f aca="false">'Task Breakdown'!L519</f>
        <v>0</v>
      </c>
      <c r="I185" s="29" t="n">
        <f aca="false">'Task Breakdown'!M519</f>
        <v>0</v>
      </c>
      <c r="J185" s="29" t="n">
        <f aca="false">'Task Breakdown'!N519</f>
        <v>0</v>
      </c>
      <c r="K185" s="29" t="n">
        <f aca="false">'Task Breakdown'!O519</f>
        <v>0</v>
      </c>
      <c r="L185" s="29" t="n">
        <f aca="false">'Task Breakdown'!P519</f>
        <v>0</v>
      </c>
      <c r="M185" s="29" t="n">
        <f aca="false">'Task Breakdown'!Q519</f>
        <v>0</v>
      </c>
      <c r="N185" s="29" t="n">
        <f aca="false">'Task Breakdown'!R519</f>
        <v>0</v>
      </c>
      <c r="O185" s="29" t="n">
        <f aca="false">'Task Breakdown'!S519</f>
        <v>0</v>
      </c>
      <c r="P185" s="29" t="n">
        <f aca="false">'Task Breakdown'!T519</f>
        <v>73</v>
      </c>
      <c r="Q185" s="30" t="n">
        <f aca="false">SUM(E185:P185)</f>
        <v>73</v>
      </c>
      <c r="R185" s="31" t="n">
        <f aca="false">IF($Q$216&gt;0,Q185/$Q$216,0)</f>
        <v>0.011291569992266</v>
      </c>
    </row>
    <row r="186" customFormat="false" ht="15" hidden="false" customHeight="false" outlineLevel="0" collapsed="false">
      <c r="A186" s="26" t="str">
        <f aca="false">'Task Breakdown'!A520</f>
        <v>UC-2.04.03</v>
      </c>
      <c r="B186" s="27" t="str">
        <f aca="false">'Task Breakdown'!G520</f>
        <v>Hypercare support during the pilot</v>
      </c>
      <c r="C186" s="28"/>
      <c r="D186" s="28"/>
      <c r="E186" s="29" t="n">
        <f aca="false">'Task Breakdown'!I520</f>
        <v>0</v>
      </c>
      <c r="F186" s="29" t="n">
        <f aca="false">'Task Breakdown'!J520</f>
        <v>0</v>
      </c>
      <c r="G186" s="29" t="n">
        <f aca="false">'Task Breakdown'!K520</f>
        <v>0</v>
      </c>
      <c r="H186" s="29" t="n">
        <f aca="false">'Task Breakdown'!L520</f>
        <v>0</v>
      </c>
      <c r="I186" s="29" t="n">
        <f aca="false">'Task Breakdown'!M520</f>
        <v>0</v>
      </c>
      <c r="J186" s="29" t="n">
        <f aca="false">'Task Breakdown'!N520</f>
        <v>49</v>
      </c>
      <c r="K186" s="29" t="n">
        <f aca="false">'Task Breakdown'!O520</f>
        <v>0</v>
      </c>
      <c r="L186" s="29" t="n">
        <f aca="false">'Task Breakdown'!P520</f>
        <v>0</v>
      </c>
      <c r="M186" s="29" t="n">
        <f aca="false">'Task Breakdown'!Q520</f>
        <v>0</v>
      </c>
      <c r="N186" s="29" t="n">
        <f aca="false">'Task Breakdown'!R520</f>
        <v>49</v>
      </c>
      <c r="O186" s="29" t="n">
        <f aca="false">'Task Breakdown'!S520</f>
        <v>0</v>
      </c>
      <c r="P186" s="29" t="n">
        <f aca="false">'Task Breakdown'!T520</f>
        <v>0</v>
      </c>
      <c r="Q186" s="30" t="n">
        <f aca="false">SUM(E186:P186)</f>
        <v>98</v>
      </c>
      <c r="R186" s="31" t="n">
        <f aca="false">IF($Q$216&gt;0,Q186/$Q$216,0)</f>
        <v>0.0151585460170147</v>
      </c>
    </row>
    <row r="187" customFormat="false" ht="15" hidden="false" customHeight="false" outlineLevel="0" collapsed="false">
      <c r="A187" s="26" t="str">
        <f aca="false">'Task Breakdown'!A521</f>
        <v>UC-2.04.04</v>
      </c>
      <c r="B187" s="27" t="str">
        <f aca="false">'Task Breakdown'!G521</f>
        <v>Weekly pilot reviews</v>
      </c>
      <c r="C187" s="28"/>
      <c r="D187" s="28"/>
      <c r="E187" s="29" t="n">
        <f aca="false">'Task Breakdown'!I521</f>
        <v>24</v>
      </c>
      <c r="F187" s="29" t="n">
        <f aca="false">'Task Breakdown'!J521</f>
        <v>0</v>
      </c>
      <c r="G187" s="29" t="n">
        <f aca="false">'Task Breakdown'!K521</f>
        <v>0</v>
      </c>
      <c r="H187" s="29" t="n">
        <f aca="false">'Task Breakdown'!L521</f>
        <v>0</v>
      </c>
      <c r="I187" s="29" t="n">
        <f aca="false">'Task Breakdown'!M521</f>
        <v>0</v>
      </c>
      <c r="J187" s="29" t="n">
        <f aca="false">'Task Breakdown'!N521</f>
        <v>0</v>
      </c>
      <c r="K187" s="29" t="n">
        <f aca="false">'Task Breakdown'!O521</f>
        <v>0</v>
      </c>
      <c r="L187" s="29" t="n">
        <f aca="false">'Task Breakdown'!P521</f>
        <v>0</v>
      </c>
      <c r="M187" s="29" t="n">
        <f aca="false">'Task Breakdown'!Q521</f>
        <v>0</v>
      </c>
      <c r="N187" s="29" t="n">
        <f aca="false">'Task Breakdown'!R521</f>
        <v>49</v>
      </c>
      <c r="O187" s="29" t="n">
        <f aca="false">'Task Breakdown'!S521</f>
        <v>0</v>
      </c>
      <c r="P187" s="29" t="n">
        <f aca="false">'Task Breakdown'!T521</f>
        <v>24</v>
      </c>
      <c r="Q187" s="30" t="n">
        <f aca="false">SUM(E187:P187)</f>
        <v>97</v>
      </c>
      <c r="R187" s="31" t="n">
        <f aca="false">IF($Q$216&gt;0,Q187/$Q$216,0)</f>
        <v>0.0150038669760247</v>
      </c>
    </row>
    <row r="188" customFormat="false" ht="15" hidden="false" customHeight="false" outlineLevel="0" collapsed="false">
      <c r="A188" s="26" t="str">
        <f aca="false">'Task Breakdown'!A522</f>
        <v>UC-2.04.05</v>
      </c>
      <c r="B188" s="27" t="str">
        <f aca="false">'Task Breakdown'!G522</f>
        <v>Detailed design and design review</v>
      </c>
      <c r="C188" s="28"/>
      <c r="D188" s="28"/>
      <c r="E188" s="29" t="n">
        <f aca="false">'Task Breakdown'!I522</f>
        <v>0</v>
      </c>
      <c r="F188" s="29" t="n">
        <f aca="false">'Task Breakdown'!J522</f>
        <v>0</v>
      </c>
      <c r="G188" s="29" t="n">
        <f aca="false">'Task Breakdown'!K522</f>
        <v>0</v>
      </c>
      <c r="H188" s="29" t="n">
        <f aca="false">'Task Breakdown'!L522</f>
        <v>0</v>
      </c>
      <c r="I188" s="29" t="n">
        <f aca="false">'Task Breakdown'!M522</f>
        <v>0</v>
      </c>
      <c r="J188" s="29" t="n">
        <f aca="false">'Task Breakdown'!N522</f>
        <v>0</v>
      </c>
      <c r="K188" s="29" t="n">
        <f aca="false">'Task Breakdown'!O522</f>
        <v>0</v>
      </c>
      <c r="L188" s="29" t="n">
        <f aca="false">'Task Breakdown'!P522</f>
        <v>0</v>
      </c>
      <c r="M188" s="29" t="n">
        <f aca="false">'Task Breakdown'!Q522</f>
        <v>0</v>
      </c>
      <c r="N188" s="29" t="n">
        <f aca="false">'Task Breakdown'!R522</f>
        <v>19</v>
      </c>
      <c r="O188" s="29" t="n">
        <f aca="false">'Task Breakdown'!S522</f>
        <v>0</v>
      </c>
      <c r="P188" s="29" t="n">
        <f aca="false">'Task Breakdown'!T522</f>
        <v>0</v>
      </c>
      <c r="Q188" s="30" t="n">
        <f aca="false">SUM(E188:P188)</f>
        <v>19</v>
      </c>
      <c r="R188" s="31" t="n">
        <f aca="false">IF($Q$216&gt;0,Q188/$Q$216,0)</f>
        <v>0.00293890177880897</v>
      </c>
    </row>
    <row r="189" customFormat="false" ht="15" hidden="false" customHeight="false" outlineLevel="0" collapsed="false">
      <c r="A189" s="26" t="str">
        <f aca="false">'Task Breakdown'!A523</f>
        <v>UC-2.04.06</v>
      </c>
      <c r="B189" s="27" t="str">
        <f aca="false">'Task Breakdown'!G523</f>
        <v>Documentation, runbook and knowledge transfer</v>
      </c>
      <c r="C189" s="28"/>
      <c r="D189" s="28"/>
      <c r="E189" s="29" t="n">
        <f aca="false">'Task Breakdown'!I523</f>
        <v>0</v>
      </c>
      <c r="F189" s="29" t="n">
        <f aca="false">'Task Breakdown'!J523</f>
        <v>0</v>
      </c>
      <c r="G189" s="29" t="n">
        <f aca="false">'Task Breakdown'!K523</f>
        <v>0</v>
      </c>
      <c r="H189" s="29" t="n">
        <f aca="false">'Task Breakdown'!L523</f>
        <v>0</v>
      </c>
      <c r="I189" s="29" t="n">
        <f aca="false">'Task Breakdown'!M523</f>
        <v>0</v>
      </c>
      <c r="J189" s="29" t="n">
        <f aca="false">'Task Breakdown'!N523</f>
        <v>0</v>
      </c>
      <c r="K189" s="29" t="n">
        <f aca="false">'Task Breakdown'!O523</f>
        <v>0</v>
      </c>
      <c r="L189" s="29" t="n">
        <f aca="false">'Task Breakdown'!P523</f>
        <v>0</v>
      </c>
      <c r="M189" s="29" t="n">
        <f aca="false">'Task Breakdown'!Q523</f>
        <v>0</v>
      </c>
      <c r="N189" s="29" t="n">
        <f aca="false">'Task Breakdown'!R523</f>
        <v>13</v>
      </c>
      <c r="O189" s="29" t="n">
        <f aca="false">'Task Breakdown'!S523</f>
        <v>0</v>
      </c>
      <c r="P189" s="29" t="n">
        <f aca="false">'Task Breakdown'!T523</f>
        <v>0</v>
      </c>
      <c r="Q189" s="30" t="n">
        <f aca="false">SUM(E189:P189)</f>
        <v>13</v>
      </c>
      <c r="R189" s="31" t="n">
        <f aca="false">IF($Q$216&gt;0,Q189/$Q$216,0)</f>
        <v>0.0020108275328693</v>
      </c>
    </row>
    <row r="190" customFormat="false" ht="15" hidden="false" customHeight="false" outlineLevel="0" collapsed="false">
      <c r="A190" s="23" t="s">
        <v>219</v>
      </c>
      <c r="B190" s="23" t="s">
        <v>220</v>
      </c>
      <c r="C190" s="23" t="s">
        <v>45</v>
      </c>
      <c r="D190" s="23" t="s">
        <v>221</v>
      </c>
      <c r="E190" s="24" t="n">
        <f aca="false">SUM(E191:E195)</f>
        <v>0</v>
      </c>
      <c r="F190" s="24" t="n">
        <f aca="false">SUM(F191:F195)</f>
        <v>0</v>
      </c>
      <c r="G190" s="24" t="n">
        <f aca="false">SUM(G191:G195)</f>
        <v>0</v>
      </c>
      <c r="H190" s="24" t="n">
        <f aca="false">SUM(H191:H195)</f>
        <v>0</v>
      </c>
      <c r="I190" s="24" t="n">
        <f aca="false">SUM(I191:I195)</f>
        <v>0</v>
      </c>
      <c r="J190" s="24" t="n">
        <f aca="false">SUM(J191:J195)</f>
        <v>32</v>
      </c>
      <c r="K190" s="24" t="n">
        <f aca="false">SUM(K191:K195)</f>
        <v>0</v>
      </c>
      <c r="L190" s="24" t="n">
        <f aca="false">SUM(L191:L195)</f>
        <v>0</v>
      </c>
      <c r="M190" s="24" t="n">
        <f aca="false">SUM(M191:M195)</f>
        <v>0</v>
      </c>
      <c r="N190" s="24" t="n">
        <f aca="false">SUM(N191:N195)</f>
        <v>59</v>
      </c>
      <c r="O190" s="24" t="n">
        <f aca="false">SUM(O191:O195)</f>
        <v>16</v>
      </c>
      <c r="P190" s="24" t="n">
        <f aca="false">SUM(P191:P195)</f>
        <v>0</v>
      </c>
      <c r="Q190" s="24" t="n">
        <f aca="false">SUM(Q191:Q195)</f>
        <v>107</v>
      </c>
      <c r="R190" s="25" t="n">
        <f aca="false">IF($Q$216&gt;0,Q190/$Q$216,0)</f>
        <v>0.0165506573859242</v>
      </c>
    </row>
    <row r="191" customFormat="false" ht="15" hidden="false" customHeight="false" outlineLevel="0" collapsed="false">
      <c r="A191" s="26" t="str">
        <f aca="false">'Task Breakdown'!A524</f>
        <v>UC-2.05.01</v>
      </c>
      <c r="B191" s="27" t="str">
        <f aca="false">'Task Breakdown'!G524</f>
        <v>Capture in-app ratings and comments</v>
      </c>
      <c r="C191" s="28"/>
      <c r="D191" s="28"/>
      <c r="E191" s="29" t="n">
        <f aca="false">'Task Breakdown'!I524</f>
        <v>0</v>
      </c>
      <c r="F191" s="29" t="n">
        <f aca="false">'Task Breakdown'!J524</f>
        <v>0</v>
      </c>
      <c r="G191" s="29" t="n">
        <f aca="false">'Task Breakdown'!K524</f>
        <v>0</v>
      </c>
      <c r="H191" s="29" t="n">
        <f aca="false">'Task Breakdown'!L524</f>
        <v>0</v>
      </c>
      <c r="I191" s="29" t="n">
        <f aca="false">'Task Breakdown'!M524</f>
        <v>0</v>
      </c>
      <c r="J191" s="29" t="n">
        <f aca="false">'Task Breakdown'!N524</f>
        <v>16</v>
      </c>
      <c r="K191" s="29" t="n">
        <f aca="false">'Task Breakdown'!O524</f>
        <v>0</v>
      </c>
      <c r="L191" s="29" t="n">
        <f aca="false">'Task Breakdown'!P524</f>
        <v>0</v>
      </c>
      <c r="M191" s="29" t="n">
        <f aca="false">'Task Breakdown'!Q524</f>
        <v>0</v>
      </c>
      <c r="N191" s="29" t="n">
        <f aca="false">'Task Breakdown'!R524</f>
        <v>0</v>
      </c>
      <c r="O191" s="29" t="n">
        <f aca="false">'Task Breakdown'!S524</f>
        <v>0</v>
      </c>
      <c r="P191" s="29" t="n">
        <f aca="false">'Task Breakdown'!T524</f>
        <v>0</v>
      </c>
      <c r="Q191" s="30" t="n">
        <f aca="false">SUM(E191:P191)</f>
        <v>16</v>
      </c>
      <c r="R191" s="31" t="n">
        <f aca="false">IF($Q$216&gt;0,Q191/$Q$216,0)</f>
        <v>0.00247486465583913</v>
      </c>
    </row>
    <row r="192" customFormat="false" ht="15" hidden="false" customHeight="false" outlineLevel="0" collapsed="false">
      <c r="A192" s="26" t="str">
        <f aca="false">'Task Breakdown'!A525</f>
        <v>UC-2.05.02</v>
      </c>
      <c r="B192" s="27" t="str">
        <f aca="false">'Task Breakdown'!G525</f>
        <v>Run user surveys and interviews</v>
      </c>
      <c r="C192" s="28"/>
      <c r="D192" s="28"/>
      <c r="E192" s="29" t="n">
        <f aca="false">'Task Breakdown'!I525</f>
        <v>0</v>
      </c>
      <c r="F192" s="29" t="n">
        <f aca="false">'Task Breakdown'!J525</f>
        <v>0</v>
      </c>
      <c r="G192" s="29" t="n">
        <f aca="false">'Task Breakdown'!K525</f>
        <v>0</v>
      </c>
      <c r="H192" s="29" t="n">
        <f aca="false">'Task Breakdown'!L525</f>
        <v>0</v>
      </c>
      <c r="I192" s="29" t="n">
        <f aca="false">'Task Breakdown'!M525</f>
        <v>0</v>
      </c>
      <c r="J192" s="29" t="n">
        <f aca="false">'Task Breakdown'!N525</f>
        <v>0</v>
      </c>
      <c r="K192" s="29" t="n">
        <f aca="false">'Task Breakdown'!O525</f>
        <v>0</v>
      </c>
      <c r="L192" s="29" t="n">
        <f aca="false">'Task Breakdown'!P525</f>
        <v>0</v>
      </c>
      <c r="M192" s="29" t="n">
        <f aca="false">'Task Breakdown'!Q525</f>
        <v>0</v>
      </c>
      <c r="N192" s="29" t="n">
        <f aca="false">'Task Breakdown'!R525</f>
        <v>33</v>
      </c>
      <c r="O192" s="29" t="n">
        <f aca="false">'Task Breakdown'!S525</f>
        <v>0</v>
      </c>
      <c r="P192" s="29" t="n">
        <f aca="false">'Task Breakdown'!T525</f>
        <v>0</v>
      </c>
      <c r="Q192" s="30" t="n">
        <f aca="false">SUM(E192:P192)</f>
        <v>33</v>
      </c>
      <c r="R192" s="31" t="n">
        <f aca="false">IF($Q$216&gt;0,Q192/$Q$216,0)</f>
        <v>0.00510440835266821</v>
      </c>
    </row>
    <row r="193" customFormat="false" ht="15" hidden="false" customHeight="false" outlineLevel="0" collapsed="false">
      <c r="A193" s="26" t="str">
        <f aca="false">'Task Breakdown'!A526</f>
        <v>UC-2.05.03</v>
      </c>
      <c r="B193" s="27" t="str">
        <f aca="false">'Task Breakdown'!G526</f>
        <v>Analyse feedback and evaluation results</v>
      </c>
      <c r="C193" s="28"/>
      <c r="D193" s="28"/>
      <c r="E193" s="29" t="n">
        <f aca="false">'Task Breakdown'!I526</f>
        <v>0</v>
      </c>
      <c r="F193" s="29" t="n">
        <f aca="false">'Task Breakdown'!J526</f>
        <v>0</v>
      </c>
      <c r="G193" s="29" t="n">
        <f aca="false">'Task Breakdown'!K526</f>
        <v>0</v>
      </c>
      <c r="H193" s="29" t="n">
        <f aca="false">'Task Breakdown'!L526</f>
        <v>0</v>
      </c>
      <c r="I193" s="29" t="n">
        <f aca="false">'Task Breakdown'!M526</f>
        <v>0</v>
      </c>
      <c r="J193" s="29" t="n">
        <f aca="false">'Task Breakdown'!N526</f>
        <v>16</v>
      </c>
      <c r="K193" s="29" t="n">
        <f aca="false">'Task Breakdown'!O526</f>
        <v>0</v>
      </c>
      <c r="L193" s="29" t="n">
        <f aca="false">'Task Breakdown'!P526</f>
        <v>0</v>
      </c>
      <c r="M193" s="29" t="n">
        <f aca="false">'Task Breakdown'!Q526</f>
        <v>0</v>
      </c>
      <c r="N193" s="29" t="n">
        <f aca="false">'Task Breakdown'!R526</f>
        <v>16</v>
      </c>
      <c r="O193" s="29" t="n">
        <f aca="false">'Task Breakdown'!S526</f>
        <v>16</v>
      </c>
      <c r="P193" s="29" t="n">
        <f aca="false">'Task Breakdown'!T526</f>
        <v>0</v>
      </c>
      <c r="Q193" s="30" t="n">
        <f aca="false">SUM(E193:P193)</f>
        <v>48</v>
      </c>
      <c r="R193" s="31" t="n">
        <f aca="false">IF($Q$216&gt;0,Q193/$Q$216,0)</f>
        <v>0.0074245939675174</v>
      </c>
    </row>
    <row r="194" customFormat="false" ht="15" hidden="false" customHeight="false" outlineLevel="0" collapsed="false">
      <c r="A194" s="26" t="str">
        <f aca="false">'Task Breakdown'!A527</f>
        <v>UC-2.05.04</v>
      </c>
      <c r="B194" s="27" t="str">
        <f aca="false">'Task Breakdown'!G527</f>
        <v>Detailed design and design review</v>
      </c>
      <c r="C194" s="28"/>
      <c r="D194" s="28"/>
      <c r="E194" s="29" t="n">
        <f aca="false">'Task Breakdown'!I527</f>
        <v>0</v>
      </c>
      <c r="F194" s="29" t="n">
        <f aca="false">'Task Breakdown'!J527</f>
        <v>0</v>
      </c>
      <c r="G194" s="29" t="n">
        <f aca="false">'Task Breakdown'!K527</f>
        <v>0</v>
      </c>
      <c r="H194" s="29" t="n">
        <f aca="false">'Task Breakdown'!L527</f>
        <v>0</v>
      </c>
      <c r="I194" s="29" t="n">
        <f aca="false">'Task Breakdown'!M527</f>
        <v>0</v>
      </c>
      <c r="J194" s="29" t="n">
        <f aca="false">'Task Breakdown'!N527</f>
        <v>0</v>
      </c>
      <c r="K194" s="29" t="n">
        <f aca="false">'Task Breakdown'!O527</f>
        <v>0</v>
      </c>
      <c r="L194" s="29" t="n">
        <f aca="false">'Task Breakdown'!P527</f>
        <v>0</v>
      </c>
      <c r="M194" s="29" t="n">
        <f aca="false">'Task Breakdown'!Q527</f>
        <v>0</v>
      </c>
      <c r="N194" s="29" t="n">
        <f aca="false">'Task Breakdown'!R527</f>
        <v>6</v>
      </c>
      <c r="O194" s="29" t="n">
        <f aca="false">'Task Breakdown'!S527</f>
        <v>0</v>
      </c>
      <c r="P194" s="29" t="n">
        <f aca="false">'Task Breakdown'!T527</f>
        <v>0</v>
      </c>
      <c r="Q194" s="30" t="n">
        <f aca="false">SUM(E194:P194)</f>
        <v>6</v>
      </c>
      <c r="R194" s="31" t="n">
        <f aca="false">IF($Q$216&gt;0,Q194/$Q$216,0)</f>
        <v>0.000928074245939675</v>
      </c>
    </row>
    <row r="195" customFormat="false" ht="15" hidden="false" customHeight="false" outlineLevel="0" collapsed="false">
      <c r="A195" s="26" t="str">
        <f aca="false">'Task Breakdown'!A528</f>
        <v>UC-2.05.05</v>
      </c>
      <c r="B195" s="27" t="str">
        <f aca="false">'Task Breakdown'!G528</f>
        <v>Documentation, runbook and knowledge transfer</v>
      </c>
      <c r="C195" s="28"/>
      <c r="D195" s="28"/>
      <c r="E195" s="29" t="n">
        <f aca="false">'Task Breakdown'!I528</f>
        <v>0</v>
      </c>
      <c r="F195" s="29" t="n">
        <f aca="false">'Task Breakdown'!J528</f>
        <v>0</v>
      </c>
      <c r="G195" s="29" t="n">
        <f aca="false">'Task Breakdown'!K528</f>
        <v>0</v>
      </c>
      <c r="H195" s="29" t="n">
        <f aca="false">'Task Breakdown'!L528</f>
        <v>0</v>
      </c>
      <c r="I195" s="29" t="n">
        <f aca="false">'Task Breakdown'!M528</f>
        <v>0</v>
      </c>
      <c r="J195" s="29" t="n">
        <f aca="false">'Task Breakdown'!N528</f>
        <v>0</v>
      </c>
      <c r="K195" s="29" t="n">
        <f aca="false">'Task Breakdown'!O528</f>
        <v>0</v>
      </c>
      <c r="L195" s="29" t="n">
        <f aca="false">'Task Breakdown'!P528</f>
        <v>0</v>
      </c>
      <c r="M195" s="29" t="n">
        <f aca="false">'Task Breakdown'!Q528</f>
        <v>0</v>
      </c>
      <c r="N195" s="29" t="n">
        <f aca="false">'Task Breakdown'!R528</f>
        <v>4</v>
      </c>
      <c r="O195" s="29" t="n">
        <f aca="false">'Task Breakdown'!S528</f>
        <v>0</v>
      </c>
      <c r="P195" s="29" t="n">
        <f aca="false">'Task Breakdown'!T528</f>
        <v>0</v>
      </c>
      <c r="Q195" s="30" t="n">
        <f aca="false">SUM(E195:P195)</f>
        <v>4</v>
      </c>
      <c r="R195" s="31" t="n">
        <f aca="false">IF($Q$216&gt;0,Q195/$Q$216,0)</f>
        <v>0.000618716163959783</v>
      </c>
    </row>
    <row r="196" customFormat="false" ht="15" hidden="false" customHeight="false" outlineLevel="0" collapsed="false">
      <c r="A196" s="23" t="s">
        <v>222</v>
      </c>
      <c r="B196" s="23" t="s">
        <v>223</v>
      </c>
      <c r="C196" s="23" t="s">
        <v>45</v>
      </c>
      <c r="D196" s="23" t="s">
        <v>224</v>
      </c>
      <c r="E196" s="24" t="n">
        <f aca="false">SUM(E197:E200)</f>
        <v>12</v>
      </c>
      <c r="F196" s="24" t="n">
        <f aca="false">SUM(F197:F200)</f>
        <v>0</v>
      </c>
      <c r="G196" s="24" t="n">
        <f aca="false">SUM(G197:G200)</f>
        <v>0</v>
      </c>
      <c r="H196" s="24" t="n">
        <f aca="false">SUM(H197:H200)</f>
        <v>0</v>
      </c>
      <c r="I196" s="24" t="n">
        <f aca="false">SUM(I197:I200)</f>
        <v>12</v>
      </c>
      <c r="J196" s="24" t="n">
        <f aca="false">SUM(J197:J200)</f>
        <v>0</v>
      </c>
      <c r="K196" s="24" t="n">
        <f aca="false">SUM(K197:K200)</f>
        <v>0</v>
      </c>
      <c r="L196" s="24" t="n">
        <f aca="false">SUM(L197:L200)</f>
        <v>0</v>
      </c>
      <c r="M196" s="24" t="n">
        <f aca="false">SUM(M197:M200)</f>
        <v>0</v>
      </c>
      <c r="N196" s="24" t="n">
        <f aca="false">SUM(N197:N200)</f>
        <v>27</v>
      </c>
      <c r="O196" s="24" t="n">
        <f aca="false">SUM(O197:O200)</f>
        <v>0</v>
      </c>
      <c r="P196" s="24" t="n">
        <f aca="false">SUM(P197:P200)</f>
        <v>0</v>
      </c>
      <c r="Q196" s="24" t="n">
        <f aca="false">SUM(Q197:Q200)</f>
        <v>51</v>
      </c>
      <c r="R196" s="25" t="n">
        <f aca="false">IF($Q$216&gt;0,Q196/$Q$216,0)</f>
        <v>0.00788863109048724</v>
      </c>
    </row>
    <row r="197" customFormat="false" ht="15" hidden="false" customHeight="false" outlineLevel="0" collapsed="false">
      <c r="A197" s="26" t="str">
        <f aca="false">'Task Breakdown'!A529</f>
        <v>UC-2.06.01</v>
      </c>
      <c r="B197" s="27" t="str">
        <f aca="false">'Task Breakdown'!G529</f>
        <v>Compare KPIs to baseline</v>
      </c>
      <c r="C197" s="28"/>
      <c r="D197" s="28"/>
      <c r="E197" s="29" t="n">
        <f aca="false">'Task Breakdown'!I529</f>
        <v>0</v>
      </c>
      <c r="F197" s="29" t="n">
        <f aca="false">'Task Breakdown'!J529</f>
        <v>0</v>
      </c>
      <c r="G197" s="29" t="n">
        <f aca="false">'Task Breakdown'!K529</f>
        <v>0</v>
      </c>
      <c r="H197" s="29" t="n">
        <f aca="false">'Task Breakdown'!L529</f>
        <v>0</v>
      </c>
      <c r="I197" s="29" t="n">
        <f aca="false">'Task Breakdown'!M529</f>
        <v>0</v>
      </c>
      <c r="J197" s="29" t="n">
        <f aca="false">'Task Breakdown'!N529</f>
        <v>0</v>
      </c>
      <c r="K197" s="29" t="n">
        <f aca="false">'Task Breakdown'!O529</f>
        <v>0</v>
      </c>
      <c r="L197" s="29" t="n">
        <f aca="false">'Task Breakdown'!P529</f>
        <v>0</v>
      </c>
      <c r="M197" s="29" t="n">
        <f aca="false">'Task Breakdown'!Q529</f>
        <v>0</v>
      </c>
      <c r="N197" s="29" t="n">
        <f aca="false">'Task Breakdown'!R529</f>
        <v>12</v>
      </c>
      <c r="O197" s="29" t="n">
        <f aca="false">'Task Breakdown'!S529</f>
        <v>0</v>
      </c>
      <c r="P197" s="29" t="n">
        <f aca="false">'Task Breakdown'!T529</f>
        <v>0</v>
      </c>
      <c r="Q197" s="30" t="n">
        <f aca="false">SUM(E197:P197)</f>
        <v>12</v>
      </c>
      <c r="R197" s="31" t="n">
        <f aca="false">IF($Q$216&gt;0,Q197/$Q$216,0)</f>
        <v>0.00185614849187935</v>
      </c>
    </row>
    <row r="198" customFormat="false" ht="15" hidden="false" customHeight="false" outlineLevel="0" collapsed="false">
      <c r="A198" s="26" t="str">
        <f aca="false">'Task Breakdown'!A530</f>
        <v>UC-2.06.02</v>
      </c>
      <c r="B198" s="27" t="str">
        <f aca="false">'Task Breakdown'!G530</f>
        <v>Write pilot report and recommendation</v>
      </c>
      <c r="C198" s="28"/>
      <c r="D198" s="28"/>
      <c r="E198" s="29" t="n">
        <f aca="false">'Task Breakdown'!I530</f>
        <v>0</v>
      </c>
      <c r="F198" s="29" t="n">
        <f aca="false">'Task Breakdown'!J530</f>
        <v>0</v>
      </c>
      <c r="G198" s="29" t="n">
        <f aca="false">'Task Breakdown'!K530</f>
        <v>0</v>
      </c>
      <c r="H198" s="29" t="n">
        <f aca="false">'Task Breakdown'!L530</f>
        <v>0</v>
      </c>
      <c r="I198" s="29" t="n">
        <f aca="false">'Task Breakdown'!M530</f>
        <v>12</v>
      </c>
      <c r="J198" s="29" t="n">
        <f aca="false">'Task Breakdown'!N530</f>
        <v>0</v>
      </c>
      <c r="K198" s="29" t="n">
        <f aca="false">'Task Breakdown'!O530</f>
        <v>0</v>
      </c>
      <c r="L198" s="29" t="n">
        <f aca="false">'Task Breakdown'!P530</f>
        <v>0</v>
      </c>
      <c r="M198" s="29" t="n">
        <f aca="false">'Task Breakdown'!Q530</f>
        <v>0</v>
      </c>
      <c r="N198" s="29" t="n">
        <f aca="false">'Task Breakdown'!R530</f>
        <v>12</v>
      </c>
      <c r="O198" s="29" t="n">
        <f aca="false">'Task Breakdown'!S530</f>
        <v>0</v>
      </c>
      <c r="P198" s="29" t="n">
        <f aca="false">'Task Breakdown'!T530</f>
        <v>0</v>
      </c>
      <c r="Q198" s="30" t="n">
        <f aca="false">SUM(E198:P198)</f>
        <v>24</v>
      </c>
      <c r="R198" s="31" t="n">
        <f aca="false">IF($Q$216&gt;0,Q198/$Q$216,0)</f>
        <v>0.0037122969837587</v>
      </c>
    </row>
    <row r="199" customFormat="false" ht="15" hidden="false" customHeight="false" outlineLevel="0" collapsed="false">
      <c r="A199" s="26" t="str">
        <f aca="false">'Task Breakdown'!A531</f>
        <v>UC-2.06.03</v>
      </c>
      <c r="B199" s="27" t="str">
        <f aca="false">'Task Breakdown'!G531</f>
        <v>Steering committee decision</v>
      </c>
      <c r="C199" s="28"/>
      <c r="D199" s="28"/>
      <c r="E199" s="29" t="n">
        <f aca="false">'Task Breakdown'!I531</f>
        <v>12</v>
      </c>
      <c r="F199" s="29" t="n">
        <f aca="false">'Task Breakdown'!J531</f>
        <v>0</v>
      </c>
      <c r="G199" s="29" t="n">
        <f aca="false">'Task Breakdown'!K531</f>
        <v>0</v>
      </c>
      <c r="H199" s="29" t="n">
        <f aca="false">'Task Breakdown'!L531</f>
        <v>0</v>
      </c>
      <c r="I199" s="29" t="n">
        <f aca="false">'Task Breakdown'!M531</f>
        <v>0</v>
      </c>
      <c r="J199" s="29" t="n">
        <f aca="false">'Task Breakdown'!N531</f>
        <v>0</v>
      </c>
      <c r="K199" s="29" t="n">
        <f aca="false">'Task Breakdown'!O531</f>
        <v>0</v>
      </c>
      <c r="L199" s="29" t="n">
        <f aca="false">'Task Breakdown'!P531</f>
        <v>0</v>
      </c>
      <c r="M199" s="29" t="n">
        <f aca="false">'Task Breakdown'!Q531</f>
        <v>0</v>
      </c>
      <c r="N199" s="29" t="n">
        <f aca="false">'Task Breakdown'!R531</f>
        <v>0</v>
      </c>
      <c r="O199" s="29" t="n">
        <f aca="false">'Task Breakdown'!S531</f>
        <v>0</v>
      </c>
      <c r="P199" s="29" t="n">
        <f aca="false">'Task Breakdown'!T531</f>
        <v>0</v>
      </c>
      <c r="Q199" s="30" t="n">
        <f aca="false">SUM(E199:P199)</f>
        <v>12</v>
      </c>
      <c r="R199" s="31" t="n">
        <f aca="false">IF($Q$216&gt;0,Q199/$Q$216,0)</f>
        <v>0.00185614849187935</v>
      </c>
    </row>
    <row r="200" customFormat="false" ht="15" hidden="false" customHeight="false" outlineLevel="0" collapsed="false">
      <c r="A200" s="26" t="str">
        <f aca="false">'Task Breakdown'!A532</f>
        <v>UC-2.06.04</v>
      </c>
      <c r="B200" s="27" t="str">
        <f aca="false">'Task Breakdown'!G532</f>
        <v>Detailed design and design review</v>
      </c>
      <c r="C200" s="28"/>
      <c r="D200" s="28"/>
      <c r="E200" s="29" t="n">
        <f aca="false">'Task Breakdown'!I532</f>
        <v>0</v>
      </c>
      <c r="F200" s="29" t="n">
        <f aca="false">'Task Breakdown'!J532</f>
        <v>0</v>
      </c>
      <c r="G200" s="29" t="n">
        <f aca="false">'Task Breakdown'!K532</f>
        <v>0</v>
      </c>
      <c r="H200" s="29" t="n">
        <f aca="false">'Task Breakdown'!L532</f>
        <v>0</v>
      </c>
      <c r="I200" s="29" t="n">
        <f aca="false">'Task Breakdown'!M532</f>
        <v>0</v>
      </c>
      <c r="J200" s="29" t="n">
        <f aca="false">'Task Breakdown'!N532</f>
        <v>0</v>
      </c>
      <c r="K200" s="29" t="n">
        <f aca="false">'Task Breakdown'!O532</f>
        <v>0</v>
      </c>
      <c r="L200" s="29" t="n">
        <f aca="false">'Task Breakdown'!P532</f>
        <v>0</v>
      </c>
      <c r="M200" s="29" t="n">
        <f aca="false">'Task Breakdown'!Q532</f>
        <v>0</v>
      </c>
      <c r="N200" s="29" t="n">
        <f aca="false">'Task Breakdown'!R532</f>
        <v>3</v>
      </c>
      <c r="O200" s="29" t="n">
        <f aca="false">'Task Breakdown'!S532</f>
        <v>0</v>
      </c>
      <c r="P200" s="29" t="n">
        <f aca="false">'Task Breakdown'!T532</f>
        <v>0</v>
      </c>
      <c r="Q200" s="30" t="n">
        <f aca="false">SUM(E200:P200)</f>
        <v>3</v>
      </c>
      <c r="R200" s="31" t="n">
        <f aca="false">IF($Q$216&gt;0,Q200/$Q$216,0)</f>
        <v>0.000464037122969838</v>
      </c>
    </row>
    <row r="201" customFormat="false" ht="23.85" hidden="false" customHeight="false" outlineLevel="0" collapsed="false">
      <c r="A201" s="23" t="s">
        <v>225</v>
      </c>
      <c r="B201" s="23" t="s">
        <v>226</v>
      </c>
      <c r="C201" s="23" t="s">
        <v>45</v>
      </c>
      <c r="D201" s="23" t="s">
        <v>227</v>
      </c>
      <c r="E201" s="24" t="n">
        <f aca="false">SUM(E202:E204)</f>
        <v>8</v>
      </c>
      <c r="F201" s="24" t="n">
        <f aca="false">SUM(F202:F204)</f>
        <v>0</v>
      </c>
      <c r="G201" s="24" t="n">
        <f aca="false">SUM(G202:G204)</f>
        <v>0</v>
      </c>
      <c r="H201" s="24" t="n">
        <f aca="false">SUM(H202:H204)</f>
        <v>0</v>
      </c>
      <c r="I201" s="24" t="n">
        <f aca="false">SUM(I202:I204)</f>
        <v>0</v>
      </c>
      <c r="J201" s="24" t="n">
        <f aca="false">SUM(J202:J204)</f>
        <v>65</v>
      </c>
      <c r="K201" s="24" t="n">
        <f aca="false">SUM(K202:K204)</f>
        <v>16</v>
      </c>
      <c r="L201" s="24" t="n">
        <f aca="false">SUM(L202:L204)</f>
        <v>0</v>
      </c>
      <c r="M201" s="24" t="n">
        <f aca="false">SUM(M202:M204)</f>
        <v>32</v>
      </c>
      <c r="N201" s="24" t="n">
        <f aca="false">SUM(N202:N204)</f>
        <v>8</v>
      </c>
      <c r="O201" s="24" t="n">
        <f aca="false">SUM(O202:O204)</f>
        <v>16</v>
      </c>
      <c r="P201" s="24" t="n">
        <f aca="false">SUM(P202:P204)</f>
        <v>0</v>
      </c>
      <c r="Q201" s="24" t="n">
        <f aca="false">SUM(Q202:Q204)</f>
        <v>145</v>
      </c>
      <c r="R201" s="25" t="n">
        <f aca="false">IF($Q$216&gt;0,Q201/$Q$216,0)</f>
        <v>0.0224284609435422</v>
      </c>
    </row>
    <row r="202" customFormat="false" ht="15" hidden="false" customHeight="false" outlineLevel="0" collapsed="false">
      <c r="A202" s="26" t="str">
        <f aca="false">'Task Breakdown'!A673</f>
        <v>UC-2.07.01</v>
      </c>
      <c r="B202" s="27" t="str">
        <f aca="false">'Task Breakdown'!G673</f>
        <v>L2 support for live agents (monitor, triage, answer users)</v>
      </c>
      <c r="C202" s="28"/>
      <c r="D202" s="28"/>
      <c r="E202" s="29" t="n">
        <f aca="false">'Task Breakdown'!I673</f>
        <v>0</v>
      </c>
      <c r="F202" s="29" t="n">
        <f aca="false">'Task Breakdown'!J673</f>
        <v>0</v>
      </c>
      <c r="G202" s="29" t="n">
        <f aca="false">'Task Breakdown'!K673</f>
        <v>0</v>
      </c>
      <c r="H202" s="29" t="n">
        <f aca="false">'Task Breakdown'!L673</f>
        <v>0</v>
      </c>
      <c r="I202" s="29" t="n">
        <f aca="false">'Task Breakdown'!M673</f>
        <v>0</v>
      </c>
      <c r="J202" s="29" t="n">
        <f aca="false">'Task Breakdown'!N673</f>
        <v>41</v>
      </c>
      <c r="K202" s="29" t="n">
        <f aca="false">'Task Breakdown'!O673</f>
        <v>16</v>
      </c>
      <c r="L202" s="29" t="n">
        <f aca="false">'Task Breakdown'!P673</f>
        <v>0</v>
      </c>
      <c r="M202" s="29" t="n">
        <f aca="false">'Task Breakdown'!Q673</f>
        <v>16</v>
      </c>
      <c r="N202" s="29" t="n">
        <f aca="false">'Task Breakdown'!R673</f>
        <v>0</v>
      </c>
      <c r="O202" s="29" t="n">
        <f aca="false">'Task Breakdown'!S673</f>
        <v>0</v>
      </c>
      <c r="P202" s="29" t="n">
        <f aca="false">'Task Breakdown'!T673</f>
        <v>0</v>
      </c>
      <c r="Q202" s="30" t="n">
        <f aca="false">SUM(E202:P202)</f>
        <v>73</v>
      </c>
      <c r="R202" s="31" t="n">
        <f aca="false">IF($Q$216&gt;0,Q202/$Q$216,0)</f>
        <v>0.011291569992266</v>
      </c>
    </row>
    <row r="203" customFormat="false" ht="15" hidden="false" customHeight="false" outlineLevel="0" collapsed="false">
      <c r="A203" s="26" t="str">
        <f aca="false">'Task Breakdown'!A674</f>
        <v>UC-2.07.02</v>
      </c>
      <c r="B203" s="27" t="str">
        <f aca="false">'Task Breakdown'!G674</f>
        <v>Fix production defects and tune prompts / retrieval</v>
      </c>
      <c r="C203" s="28"/>
      <c r="D203" s="28"/>
      <c r="E203" s="29" t="n">
        <f aca="false">'Task Breakdown'!I674</f>
        <v>0</v>
      </c>
      <c r="F203" s="29" t="n">
        <f aca="false">'Task Breakdown'!J674</f>
        <v>0</v>
      </c>
      <c r="G203" s="29" t="n">
        <f aca="false">'Task Breakdown'!K674</f>
        <v>0</v>
      </c>
      <c r="H203" s="29" t="n">
        <f aca="false">'Task Breakdown'!L674</f>
        <v>0</v>
      </c>
      <c r="I203" s="29" t="n">
        <f aca="false">'Task Breakdown'!M674</f>
        <v>0</v>
      </c>
      <c r="J203" s="29" t="n">
        <f aca="false">'Task Breakdown'!N674</f>
        <v>24</v>
      </c>
      <c r="K203" s="29" t="n">
        <f aca="false">'Task Breakdown'!O674</f>
        <v>0</v>
      </c>
      <c r="L203" s="29" t="n">
        <f aca="false">'Task Breakdown'!P674</f>
        <v>0</v>
      </c>
      <c r="M203" s="29" t="n">
        <f aca="false">'Task Breakdown'!Q674</f>
        <v>16</v>
      </c>
      <c r="N203" s="29" t="n">
        <f aca="false">'Task Breakdown'!R674</f>
        <v>0</v>
      </c>
      <c r="O203" s="29" t="n">
        <f aca="false">'Task Breakdown'!S674</f>
        <v>16</v>
      </c>
      <c r="P203" s="29" t="n">
        <f aca="false">'Task Breakdown'!T674</f>
        <v>0</v>
      </c>
      <c r="Q203" s="30" t="n">
        <f aca="false">SUM(E203:P203)</f>
        <v>56</v>
      </c>
      <c r="R203" s="31" t="n">
        <f aca="false">IF($Q$216&gt;0,Q203/$Q$216,0)</f>
        <v>0.00866202629543697</v>
      </c>
    </row>
    <row r="204" customFormat="false" ht="15" hidden="false" customHeight="false" outlineLevel="0" collapsed="false">
      <c r="A204" s="26" t="str">
        <f aca="false">'Task Breakdown'!A675</f>
        <v>UC-2.07.03</v>
      </c>
      <c r="B204" s="27" t="str">
        <f aca="false">'Task Breakdown'!G675</f>
        <v>Weekly operations and quality review</v>
      </c>
      <c r="C204" s="28"/>
      <c r="D204" s="28"/>
      <c r="E204" s="29" t="n">
        <f aca="false">'Task Breakdown'!I675</f>
        <v>8</v>
      </c>
      <c r="F204" s="29" t="n">
        <f aca="false">'Task Breakdown'!J675</f>
        <v>0</v>
      </c>
      <c r="G204" s="29" t="n">
        <f aca="false">'Task Breakdown'!K675</f>
        <v>0</v>
      </c>
      <c r="H204" s="29" t="n">
        <f aca="false">'Task Breakdown'!L675</f>
        <v>0</v>
      </c>
      <c r="I204" s="29" t="n">
        <f aca="false">'Task Breakdown'!M675</f>
        <v>0</v>
      </c>
      <c r="J204" s="29" t="n">
        <f aca="false">'Task Breakdown'!N675</f>
        <v>0</v>
      </c>
      <c r="K204" s="29" t="n">
        <f aca="false">'Task Breakdown'!O675</f>
        <v>0</v>
      </c>
      <c r="L204" s="29" t="n">
        <f aca="false">'Task Breakdown'!P675</f>
        <v>0</v>
      </c>
      <c r="M204" s="29" t="n">
        <f aca="false">'Task Breakdown'!Q675</f>
        <v>0</v>
      </c>
      <c r="N204" s="29" t="n">
        <f aca="false">'Task Breakdown'!R675</f>
        <v>8</v>
      </c>
      <c r="O204" s="29" t="n">
        <f aca="false">'Task Breakdown'!S675</f>
        <v>0</v>
      </c>
      <c r="P204" s="29" t="n">
        <f aca="false">'Task Breakdown'!T675</f>
        <v>0</v>
      </c>
      <c r="Q204" s="30" t="n">
        <f aca="false">SUM(E204:P204)</f>
        <v>16</v>
      </c>
      <c r="R204" s="31" t="n">
        <f aca="false">IF($Q$216&gt;0,Q204/$Q$216,0)</f>
        <v>0.00247486465583913</v>
      </c>
    </row>
    <row r="205" customFormat="false" ht="15" hidden="false" customHeight="false" outlineLevel="0" collapsed="false">
      <c r="A205" s="9"/>
      <c r="B205" s="10" t="s">
        <v>159</v>
      </c>
      <c r="C205" s="9"/>
      <c r="D205" s="9"/>
      <c r="E205" s="32" t="n">
        <f aca="false">E150+E162+E173+E183+E190+E196+E201</f>
        <v>68</v>
      </c>
      <c r="F205" s="32" t="n">
        <f aca="false">F150+F162+F173+F183+F190+F196+F201</f>
        <v>0</v>
      </c>
      <c r="G205" s="32" t="n">
        <f aca="false">G150+G162+G173+G183+G190+G196+G201</f>
        <v>50</v>
      </c>
      <c r="H205" s="32" t="n">
        <f aca="false">H150+H162+H173+H183+H190+H196+H201</f>
        <v>16</v>
      </c>
      <c r="I205" s="32" t="n">
        <f aca="false">I150+I162+I173+I183+I190+I196+I201</f>
        <v>85</v>
      </c>
      <c r="J205" s="32" t="n">
        <f aca="false">J150+J162+J173+J183+J190+J196+J201</f>
        <v>729</v>
      </c>
      <c r="K205" s="32" t="n">
        <f aca="false">K150+K162+K173+K183+K190+K196+K201</f>
        <v>185</v>
      </c>
      <c r="L205" s="32" t="n">
        <f aca="false">L150+L162+L173+L183+L190+L196+L201</f>
        <v>0</v>
      </c>
      <c r="M205" s="32" t="n">
        <f aca="false">M150+M162+M173+M183+M190+M196+M201</f>
        <v>245</v>
      </c>
      <c r="N205" s="32" t="n">
        <f aca="false">N150+N162+N173+N183+N190+N196+N201</f>
        <v>395</v>
      </c>
      <c r="O205" s="32" t="n">
        <f aca="false">O150+O162+O173+O183+O190+O196+O201</f>
        <v>261</v>
      </c>
      <c r="P205" s="32" t="n">
        <f aca="false">P150+P162+P173+P183+P190+P196+P201</f>
        <v>97</v>
      </c>
      <c r="Q205" s="32" t="n">
        <f aca="false">Q150+Q162+Q173+Q183+Q190+Q196+Q201</f>
        <v>2131</v>
      </c>
      <c r="R205" s="33" t="n">
        <f aca="false">IF($Q$216&gt;0,Q205/$Q$216,0)</f>
        <v>0.329621036349575</v>
      </c>
    </row>
    <row r="207" customFormat="false" ht="15" hidden="false" customHeight="false" outlineLevel="0" collapsed="false">
      <c r="A207" s="21" t="s">
        <v>228</v>
      </c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</row>
    <row r="208" customFormat="false" ht="15" hidden="false" customHeight="false" outlineLevel="0" collapsed="false">
      <c r="A208" s="23" t="s">
        <v>229</v>
      </c>
      <c r="B208" s="23" t="s">
        <v>162</v>
      </c>
      <c r="C208" s="23" t="s">
        <v>46</v>
      </c>
      <c r="D208" s="23" t="s">
        <v>163</v>
      </c>
      <c r="E208" s="24" t="n">
        <f aca="false">SUM(E209:E213)</f>
        <v>366</v>
      </c>
      <c r="F208" s="24" t="n">
        <f aca="false">SUM(F209:F213)</f>
        <v>24</v>
      </c>
      <c r="G208" s="24" t="n">
        <f aca="false">SUM(G209:G213)</f>
        <v>0</v>
      </c>
      <c r="H208" s="24" t="n">
        <f aca="false">SUM(H209:H213)</f>
        <v>0</v>
      </c>
      <c r="I208" s="24" t="n">
        <f aca="false">SUM(I209:I213)</f>
        <v>24</v>
      </c>
      <c r="J208" s="24" t="n">
        <f aca="false">SUM(J209:J213)</f>
        <v>0</v>
      </c>
      <c r="K208" s="24" t="n">
        <f aca="false">SUM(K209:K213)</f>
        <v>0</v>
      </c>
      <c r="L208" s="24" t="n">
        <f aca="false">SUM(L209:L213)</f>
        <v>0</v>
      </c>
      <c r="M208" s="24" t="n">
        <f aca="false">SUM(M209:M213)</f>
        <v>0</v>
      </c>
      <c r="N208" s="24" t="n">
        <f aca="false">SUM(N209:N213)</f>
        <v>0</v>
      </c>
      <c r="O208" s="24" t="n">
        <f aca="false">SUM(O209:O213)</f>
        <v>0</v>
      </c>
      <c r="P208" s="24" t="n">
        <f aca="false">SUM(P209:P213)</f>
        <v>0</v>
      </c>
      <c r="Q208" s="24" t="n">
        <f aca="false">SUM(Q209:Q213)</f>
        <v>414</v>
      </c>
      <c r="R208" s="25" t="n">
        <f aca="false">IF($Q$216&gt;0,Q208/$Q$216,0)</f>
        <v>0.0640371229698376</v>
      </c>
    </row>
    <row r="209" customFormat="false" ht="15" hidden="false" customHeight="false" outlineLevel="0" collapsed="false">
      <c r="A209" s="26" t="str">
        <f aca="false">'Task Breakdown'!A646</f>
        <v>PM-2.01.01</v>
      </c>
      <c r="B209" s="27" t="str">
        <f aca="false">'Task Breakdown'!G646</f>
        <v>Phase plan and schedule</v>
      </c>
      <c r="C209" s="28"/>
      <c r="D209" s="28"/>
      <c r="E209" s="29" t="n">
        <f aca="false">'Task Breakdown'!I646</f>
        <v>73</v>
      </c>
      <c r="F209" s="29" t="n">
        <f aca="false">'Task Breakdown'!J646</f>
        <v>0</v>
      </c>
      <c r="G209" s="29" t="n">
        <f aca="false">'Task Breakdown'!K646</f>
        <v>0</v>
      </c>
      <c r="H209" s="29" t="n">
        <f aca="false">'Task Breakdown'!L646</f>
        <v>0</v>
      </c>
      <c r="I209" s="29" t="n">
        <f aca="false">'Task Breakdown'!M646</f>
        <v>0</v>
      </c>
      <c r="J209" s="29" t="n">
        <f aca="false">'Task Breakdown'!N646</f>
        <v>0</v>
      </c>
      <c r="K209" s="29" t="n">
        <f aca="false">'Task Breakdown'!O646</f>
        <v>0</v>
      </c>
      <c r="L209" s="29" t="n">
        <f aca="false">'Task Breakdown'!P646</f>
        <v>0</v>
      </c>
      <c r="M209" s="29" t="n">
        <f aca="false">'Task Breakdown'!Q646</f>
        <v>0</v>
      </c>
      <c r="N209" s="29" t="n">
        <f aca="false">'Task Breakdown'!R646</f>
        <v>0</v>
      </c>
      <c r="O209" s="29" t="n">
        <f aca="false">'Task Breakdown'!S646</f>
        <v>0</v>
      </c>
      <c r="P209" s="29" t="n">
        <f aca="false">'Task Breakdown'!T646</f>
        <v>0</v>
      </c>
      <c r="Q209" s="30" t="n">
        <f aca="false">SUM(E209:P209)</f>
        <v>73</v>
      </c>
      <c r="R209" s="31" t="n">
        <f aca="false">IF($Q$216&gt;0,Q209/$Q$216,0)</f>
        <v>0.011291569992266</v>
      </c>
    </row>
    <row r="210" customFormat="false" ht="15" hidden="false" customHeight="false" outlineLevel="0" collapsed="false">
      <c r="A210" s="26" t="str">
        <f aca="false">'Task Breakdown'!A647</f>
        <v>PM-2.01.02</v>
      </c>
      <c r="B210" s="27" t="str">
        <f aca="false">'Task Breakdown'!G647</f>
        <v>Weekly status reporting and RAID log</v>
      </c>
      <c r="C210" s="28"/>
      <c r="D210" s="28"/>
      <c r="E210" s="29" t="n">
        <f aca="false">'Task Breakdown'!I647</f>
        <v>122</v>
      </c>
      <c r="F210" s="29" t="n">
        <f aca="false">'Task Breakdown'!J647</f>
        <v>0</v>
      </c>
      <c r="G210" s="29" t="n">
        <f aca="false">'Task Breakdown'!K647</f>
        <v>0</v>
      </c>
      <c r="H210" s="29" t="n">
        <f aca="false">'Task Breakdown'!L647</f>
        <v>0</v>
      </c>
      <c r="I210" s="29" t="n">
        <f aca="false">'Task Breakdown'!M647</f>
        <v>0</v>
      </c>
      <c r="J210" s="29" t="n">
        <f aca="false">'Task Breakdown'!N647</f>
        <v>0</v>
      </c>
      <c r="K210" s="29" t="n">
        <f aca="false">'Task Breakdown'!O647</f>
        <v>0</v>
      </c>
      <c r="L210" s="29" t="n">
        <f aca="false">'Task Breakdown'!P647</f>
        <v>0</v>
      </c>
      <c r="M210" s="29" t="n">
        <f aca="false">'Task Breakdown'!Q647</f>
        <v>0</v>
      </c>
      <c r="N210" s="29" t="n">
        <f aca="false">'Task Breakdown'!R647</f>
        <v>0</v>
      </c>
      <c r="O210" s="29" t="n">
        <f aca="false">'Task Breakdown'!S647</f>
        <v>0</v>
      </c>
      <c r="P210" s="29" t="n">
        <f aca="false">'Task Breakdown'!T647</f>
        <v>0</v>
      </c>
      <c r="Q210" s="30" t="n">
        <f aca="false">SUM(E210:P210)</f>
        <v>122</v>
      </c>
      <c r="R210" s="31" t="n">
        <f aca="false">IF($Q$216&gt;0,Q210/$Q$216,0)</f>
        <v>0.0188708430007734</v>
      </c>
    </row>
    <row r="211" customFormat="false" ht="15" hidden="false" customHeight="false" outlineLevel="0" collapsed="false">
      <c r="A211" s="26" t="str">
        <f aca="false">'Task Breakdown'!A648</f>
        <v>PM-2.01.03</v>
      </c>
      <c r="B211" s="27" t="str">
        <f aca="false">'Task Breakdown'!G648</f>
        <v>Steering committee preparation</v>
      </c>
      <c r="C211" s="28"/>
      <c r="D211" s="28"/>
      <c r="E211" s="29" t="n">
        <f aca="false">'Task Breakdown'!I648</f>
        <v>73</v>
      </c>
      <c r="F211" s="29" t="n">
        <f aca="false">'Task Breakdown'!J648</f>
        <v>0</v>
      </c>
      <c r="G211" s="29" t="n">
        <f aca="false">'Task Breakdown'!K648</f>
        <v>0</v>
      </c>
      <c r="H211" s="29" t="n">
        <f aca="false">'Task Breakdown'!L648</f>
        <v>0</v>
      </c>
      <c r="I211" s="29" t="n">
        <f aca="false">'Task Breakdown'!M648</f>
        <v>0</v>
      </c>
      <c r="J211" s="29" t="n">
        <f aca="false">'Task Breakdown'!N648</f>
        <v>0</v>
      </c>
      <c r="K211" s="29" t="n">
        <f aca="false">'Task Breakdown'!O648</f>
        <v>0</v>
      </c>
      <c r="L211" s="29" t="n">
        <f aca="false">'Task Breakdown'!P648</f>
        <v>0</v>
      </c>
      <c r="M211" s="29" t="n">
        <f aca="false">'Task Breakdown'!Q648</f>
        <v>0</v>
      </c>
      <c r="N211" s="29" t="n">
        <f aca="false">'Task Breakdown'!R648</f>
        <v>0</v>
      </c>
      <c r="O211" s="29" t="n">
        <f aca="false">'Task Breakdown'!S648</f>
        <v>0</v>
      </c>
      <c r="P211" s="29" t="n">
        <f aca="false">'Task Breakdown'!T648</f>
        <v>0</v>
      </c>
      <c r="Q211" s="30" t="n">
        <f aca="false">SUM(E211:P211)</f>
        <v>73</v>
      </c>
      <c r="R211" s="31" t="n">
        <f aca="false">IF($Q$216&gt;0,Q211/$Q$216,0)</f>
        <v>0.011291569992266</v>
      </c>
    </row>
    <row r="212" customFormat="false" ht="15" hidden="false" customHeight="false" outlineLevel="0" collapsed="false">
      <c r="A212" s="26" t="str">
        <f aca="false">'Task Breakdown'!A649</f>
        <v>PM-2.01.04</v>
      </c>
      <c r="B212" s="27" t="str">
        <f aca="false">'Task Breakdown'!G649</f>
        <v>Architecture design authority reviews</v>
      </c>
      <c r="C212" s="28"/>
      <c r="D212" s="28"/>
      <c r="E212" s="29" t="n">
        <f aca="false">'Task Breakdown'!I649</f>
        <v>0</v>
      </c>
      <c r="F212" s="29" t="n">
        <f aca="false">'Task Breakdown'!J649</f>
        <v>24</v>
      </c>
      <c r="G212" s="29" t="n">
        <f aca="false">'Task Breakdown'!K649</f>
        <v>0</v>
      </c>
      <c r="H212" s="29" t="n">
        <f aca="false">'Task Breakdown'!L649</f>
        <v>0</v>
      </c>
      <c r="I212" s="29" t="n">
        <f aca="false">'Task Breakdown'!M649</f>
        <v>24</v>
      </c>
      <c r="J212" s="29" t="n">
        <f aca="false">'Task Breakdown'!N649</f>
        <v>0</v>
      </c>
      <c r="K212" s="29" t="n">
        <f aca="false">'Task Breakdown'!O649</f>
        <v>0</v>
      </c>
      <c r="L212" s="29" t="n">
        <f aca="false">'Task Breakdown'!P649</f>
        <v>0</v>
      </c>
      <c r="M212" s="29" t="n">
        <f aca="false">'Task Breakdown'!Q649</f>
        <v>0</v>
      </c>
      <c r="N212" s="29" t="n">
        <f aca="false">'Task Breakdown'!R649</f>
        <v>0</v>
      </c>
      <c r="O212" s="29" t="n">
        <f aca="false">'Task Breakdown'!S649</f>
        <v>0</v>
      </c>
      <c r="P212" s="29" t="n">
        <f aca="false">'Task Breakdown'!T649</f>
        <v>0</v>
      </c>
      <c r="Q212" s="30" t="n">
        <f aca="false">SUM(E212:P212)</f>
        <v>48</v>
      </c>
      <c r="R212" s="31" t="n">
        <f aca="false">IF($Q$216&gt;0,Q212/$Q$216,0)</f>
        <v>0.0074245939675174</v>
      </c>
    </row>
    <row r="213" customFormat="false" ht="15" hidden="false" customHeight="false" outlineLevel="0" collapsed="false">
      <c r="A213" s="26" t="str">
        <f aca="false">'Task Breakdown'!A650</f>
        <v>PM-2.01.05</v>
      </c>
      <c r="B213" s="27" t="str">
        <f aca="false">'Task Breakdown'!G650</f>
        <v>Resource and vendor coordination</v>
      </c>
      <c r="C213" s="28"/>
      <c r="D213" s="28"/>
      <c r="E213" s="29" t="n">
        <f aca="false">'Task Breakdown'!I650</f>
        <v>98</v>
      </c>
      <c r="F213" s="29" t="n">
        <f aca="false">'Task Breakdown'!J650</f>
        <v>0</v>
      </c>
      <c r="G213" s="29" t="n">
        <f aca="false">'Task Breakdown'!K650</f>
        <v>0</v>
      </c>
      <c r="H213" s="29" t="n">
        <f aca="false">'Task Breakdown'!L650</f>
        <v>0</v>
      </c>
      <c r="I213" s="29" t="n">
        <f aca="false">'Task Breakdown'!M650</f>
        <v>0</v>
      </c>
      <c r="J213" s="29" t="n">
        <f aca="false">'Task Breakdown'!N650</f>
        <v>0</v>
      </c>
      <c r="K213" s="29" t="n">
        <f aca="false">'Task Breakdown'!O650</f>
        <v>0</v>
      </c>
      <c r="L213" s="29" t="n">
        <f aca="false">'Task Breakdown'!P650</f>
        <v>0</v>
      </c>
      <c r="M213" s="29" t="n">
        <f aca="false">'Task Breakdown'!Q650</f>
        <v>0</v>
      </c>
      <c r="N213" s="29" t="n">
        <f aca="false">'Task Breakdown'!R650</f>
        <v>0</v>
      </c>
      <c r="O213" s="29" t="n">
        <f aca="false">'Task Breakdown'!S650</f>
        <v>0</v>
      </c>
      <c r="P213" s="29" t="n">
        <f aca="false">'Task Breakdown'!T650</f>
        <v>0</v>
      </c>
      <c r="Q213" s="30" t="n">
        <f aca="false">SUM(E213:P213)</f>
        <v>98</v>
      </c>
      <c r="R213" s="31" t="n">
        <f aca="false">IF($Q$216&gt;0,Q213/$Q$216,0)</f>
        <v>0.0151585460170147</v>
      </c>
    </row>
    <row r="214" customFormat="false" ht="15" hidden="false" customHeight="false" outlineLevel="0" collapsed="false">
      <c r="A214" s="9"/>
      <c r="B214" s="10" t="s">
        <v>164</v>
      </c>
      <c r="C214" s="9"/>
      <c r="D214" s="9"/>
      <c r="E214" s="32" t="n">
        <f aca="false">E208</f>
        <v>366</v>
      </c>
      <c r="F214" s="32" t="n">
        <f aca="false">F208</f>
        <v>24</v>
      </c>
      <c r="G214" s="32" t="n">
        <f aca="false">G208</f>
        <v>0</v>
      </c>
      <c r="H214" s="32" t="n">
        <f aca="false">H208</f>
        <v>0</v>
      </c>
      <c r="I214" s="32" t="n">
        <f aca="false">I208</f>
        <v>24</v>
      </c>
      <c r="J214" s="32" t="n">
        <f aca="false">J208</f>
        <v>0</v>
      </c>
      <c r="K214" s="32" t="n">
        <f aca="false">K208</f>
        <v>0</v>
      </c>
      <c r="L214" s="32" t="n">
        <f aca="false">L208</f>
        <v>0</v>
      </c>
      <c r="M214" s="32" t="n">
        <f aca="false">M208</f>
        <v>0</v>
      </c>
      <c r="N214" s="32" t="n">
        <f aca="false">N208</f>
        <v>0</v>
      </c>
      <c r="O214" s="32" t="n">
        <f aca="false">O208</f>
        <v>0</v>
      </c>
      <c r="P214" s="32" t="n">
        <f aca="false">P208</f>
        <v>0</v>
      </c>
      <c r="Q214" s="32" t="n">
        <f aca="false">Q208</f>
        <v>414</v>
      </c>
      <c r="R214" s="33" t="n">
        <f aca="false">IF($Q$216&gt;0,Q214/$Q$216,0)</f>
        <v>0.0640371229698376</v>
      </c>
    </row>
    <row r="216" customFormat="false" ht="15" hidden="false" customHeight="false" outlineLevel="0" collapsed="false">
      <c r="A216" s="34"/>
      <c r="B216" s="35" t="s">
        <v>230</v>
      </c>
      <c r="C216" s="34"/>
      <c r="D216" s="34"/>
      <c r="E216" s="36" t="n">
        <f aca="false">E76+E147+E205+E214</f>
        <v>434</v>
      </c>
      <c r="F216" s="36" t="n">
        <f aca="false">F76+F147+F205+F214</f>
        <v>48</v>
      </c>
      <c r="G216" s="36" t="n">
        <f aca="false">G76+G147+G205+G214</f>
        <v>334</v>
      </c>
      <c r="H216" s="36" t="n">
        <f aca="false">H76+H147+H205+H214</f>
        <v>96</v>
      </c>
      <c r="I216" s="36" t="n">
        <f aca="false">I76+I147+I205+I214</f>
        <v>511</v>
      </c>
      <c r="J216" s="36" t="n">
        <f aca="false">J76+J147+J205+J214</f>
        <v>2024</v>
      </c>
      <c r="K216" s="36" t="n">
        <f aca="false">K76+K147+K205+K214</f>
        <v>1227</v>
      </c>
      <c r="L216" s="36" t="n">
        <f aca="false">L76+L147+L205+L214</f>
        <v>170</v>
      </c>
      <c r="M216" s="36" t="n">
        <f aca="false">M76+M147+M205+M214</f>
        <v>319</v>
      </c>
      <c r="N216" s="36" t="n">
        <f aca="false">N76+N147+N205+N214</f>
        <v>493</v>
      </c>
      <c r="O216" s="36" t="n">
        <f aca="false">O76+O147+O205+O214</f>
        <v>712</v>
      </c>
      <c r="P216" s="36" t="n">
        <f aca="false">P76+P147+P205+P214</f>
        <v>97</v>
      </c>
      <c r="Q216" s="36" t="n">
        <f aca="false">Q76+Q147+Q205+Q214</f>
        <v>6465</v>
      </c>
      <c r="R216" s="37" t="n">
        <f aca="false">IF($Q$216&gt;0,Q216/$Q$216,0)</f>
        <v>1</v>
      </c>
    </row>
    <row r="218" customFormat="false" ht="15" hidden="false" customHeight="false" outlineLevel="0" collapsed="false">
      <c r="B218" s="38" t="s">
        <v>166</v>
      </c>
      <c r="Q218" s="39" t="n">
        <f aca="false">IF(Resources!$B$3&gt;0,Q216/Resources!$B$3,0)</f>
        <v>161.625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16" min="5" style="0" width="7"/>
    <col collapsed="false" customWidth="true" hidden="false" outlineLevel="0" max="17" min="17" style="0" width="11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231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11</v>
      </c>
      <c r="F4" s="4" t="s">
        <v>13</v>
      </c>
      <c r="G4" s="4" t="s">
        <v>15</v>
      </c>
      <c r="H4" s="4" t="s">
        <v>17</v>
      </c>
      <c r="I4" s="4" t="s">
        <v>19</v>
      </c>
      <c r="J4" s="4" t="s">
        <v>21</v>
      </c>
      <c r="K4" s="4" t="s">
        <v>23</v>
      </c>
      <c r="L4" s="4" t="s">
        <v>25</v>
      </c>
      <c r="M4" s="4" t="s">
        <v>27</v>
      </c>
      <c r="N4" s="4" t="s">
        <v>29</v>
      </c>
      <c r="O4" s="4" t="s">
        <v>31</v>
      </c>
      <c r="P4" s="4" t="s">
        <v>33</v>
      </c>
      <c r="Q4" s="4" t="s">
        <v>9</v>
      </c>
      <c r="R4" s="4" t="s">
        <v>96</v>
      </c>
    </row>
    <row r="5" customFormat="false" ht="15" hidden="false" customHeight="false" outlineLevel="0" collapsed="false">
      <c r="A5" s="21" t="s">
        <v>232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customFormat="false" ht="15" hidden="false" customHeight="false" outlineLevel="0" collapsed="false">
      <c r="A6" s="23" t="s">
        <v>233</v>
      </c>
      <c r="B6" s="23" t="s">
        <v>234</v>
      </c>
      <c r="C6" s="23" t="s">
        <v>42</v>
      </c>
      <c r="D6" s="23" t="s">
        <v>235</v>
      </c>
      <c r="E6" s="24" t="n">
        <f aca="false">SUM(E7:E16)</f>
        <v>0</v>
      </c>
      <c r="F6" s="24" t="n">
        <f aca="false">SUM(F7:F16)</f>
        <v>15</v>
      </c>
      <c r="G6" s="24" t="n">
        <f aca="false">SUM(G7:G16)</f>
        <v>54</v>
      </c>
      <c r="H6" s="24" t="n">
        <f aca="false">SUM(H7:H16)</f>
        <v>0</v>
      </c>
      <c r="I6" s="24" t="n">
        <f aca="false">SUM(I7:I16)</f>
        <v>0</v>
      </c>
      <c r="J6" s="24" t="n">
        <f aca="false">SUM(J7:J16)</f>
        <v>63</v>
      </c>
      <c r="K6" s="24" t="n">
        <f aca="false">SUM(K7:K16)</f>
        <v>0</v>
      </c>
      <c r="L6" s="24" t="n">
        <f aca="false">SUM(L7:L16)</f>
        <v>0</v>
      </c>
      <c r="M6" s="24" t="n">
        <f aca="false">SUM(M7:M16)</f>
        <v>0</v>
      </c>
      <c r="N6" s="24" t="n">
        <f aca="false">SUM(N7:N16)</f>
        <v>0</v>
      </c>
      <c r="O6" s="24" t="n">
        <f aca="false">SUM(O7:O16)</f>
        <v>16</v>
      </c>
      <c r="P6" s="24" t="n">
        <f aca="false">SUM(P7:P16)</f>
        <v>0</v>
      </c>
      <c r="Q6" s="24" t="n">
        <f aca="false">SUM(Q7:Q16)</f>
        <v>148</v>
      </c>
      <c r="R6" s="25" t="n">
        <f aca="false">IF($Q$230&gt;0,Q6/$Q$230,0)</f>
        <v>0.0168545723721672</v>
      </c>
    </row>
    <row r="7" customFormat="false" ht="15" hidden="false" customHeight="false" outlineLevel="0" collapsed="false">
      <c r="A7" s="26" t="str">
        <f aca="false">'Task Breakdown'!A135</f>
        <v>PS-3.01.01</v>
      </c>
      <c r="B7" s="27" t="str">
        <f aca="false">'Task Breakdown'!G135</f>
        <v>Design cache strategy and TTLs (semantic, embedding, response)</v>
      </c>
      <c r="C7" s="28"/>
      <c r="D7" s="28"/>
      <c r="E7" s="29" t="n">
        <f aca="false">'Task Breakdown'!I135</f>
        <v>0</v>
      </c>
      <c r="F7" s="29" t="n">
        <f aca="false">'Task Breakdown'!J135</f>
        <v>8</v>
      </c>
      <c r="G7" s="29" t="n">
        <f aca="false">'Task Breakdown'!K135</f>
        <v>0</v>
      </c>
      <c r="H7" s="29" t="n">
        <f aca="false">'Task Breakdown'!L135</f>
        <v>0</v>
      </c>
      <c r="I7" s="29" t="n">
        <f aca="false">'Task Breakdown'!M135</f>
        <v>0</v>
      </c>
      <c r="J7" s="29" t="n">
        <f aca="false">'Task Breakdown'!N135</f>
        <v>8</v>
      </c>
      <c r="K7" s="29" t="n">
        <f aca="false">'Task Breakdown'!O135</f>
        <v>0</v>
      </c>
      <c r="L7" s="29" t="n">
        <f aca="false">'Task Breakdown'!P135</f>
        <v>0</v>
      </c>
      <c r="M7" s="29" t="n">
        <f aca="false">'Task Breakdown'!Q135</f>
        <v>0</v>
      </c>
      <c r="N7" s="29" t="n">
        <f aca="false">'Task Breakdown'!R135</f>
        <v>0</v>
      </c>
      <c r="O7" s="29" t="n">
        <f aca="false">'Task Breakdown'!S135</f>
        <v>0</v>
      </c>
      <c r="P7" s="29" t="n">
        <f aca="false">'Task Breakdown'!T135</f>
        <v>0</v>
      </c>
      <c r="Q7" s="30" t="n">
        <f aca="false">SUM(E7:P7)</f>
        <v>16</v>
      </c>
      <c r="R7" s="31" t="n">
        <f aca="false">IF($Q$230&gt;0,Q7/$Q$230,0)</f>
        <v>0.00182211593212618</v>
      </c>
    </row>
    <row r="8" customFormat="false" ht="15" hidden="false" customHeight="false" outlineLevel="0" collapsed="false">
      <c r="A8" s="26" t="str">
        <f aca="false">'Task Breakdown'!A136</f>
        <v>PS-3.01.02</v>
      </c>
      <c r="B8" s="27" t="str">
        <f aca="false">'Task Breakdown'!G136</f>
        <v>Deploy Azure Cache for Redis with private endpoint</v>
      </c>
      <c r="C8" s="28"/>
      <c r="D8" s="28"/>
      <c r="E8" s="29" t="n">
        <f aca="false">'Task Breakdown'!I136</f>
        <v>0</v>
      </c>
      <c r="F8" s="29" t="n">
        <f aca="false">'Task Breakdown'!J136</f>
        <v>0</v>
      </c>
      <c r="G8" s="29" t="n">
        <f aca="false">'Task Breakdown'!K136</f>
        <v>25</v>
      </c>
      <c r="H8" s="29" t="n">
        <f aca="false">'Task Breakdown'!L136</f>
        <v>0</v>
      </c>
      <c r="I8" s="29" t="n">
        <f aca="false">'Task Breakdown'!M136</f>
        <v>0</v>
      </c>
      <c r="J8" s="29" t="n">
        <f aca="false">'Task Breakdown'!N136</f>
        <v>0</v>
      </c>
      <c r="K8" s="29" t="n">
        <f aca="false">'Task Breakdown'!O136</f>
        <v>0</v>
      </c>
      <c r="L8" s="29" t="n">
        <f aca="false">'Task Breakdown'!P136</f>
        <v>0</v>
      </c>
      <c r="M8" s="29" t="n">
        <f aca="false">'Task Breakdown'!Q136</f>
        <v>0</v>
      </c>
      <c r="N8" s="29" t="n">
        <f aca="false">'Task Breakdown'!R136</f>
        <v>0</v>
      </c>
      <c r="O8" s="29" t="n">
        <f aca="false">'Task Breakdown'!S136</f>
        <v>0</v>
      </c>
      <c r="P8" s="29" t="n">
        <f aca="false">'Task Breakdown'!T136</f>
        <v>0</v>
      </c>
      <c r="Q8" s="30" t="n">
        <f aca="false">SUM(E8:P8)</f>
        <v>25</v>
      </c>
      <c r="R8" s="31" t="n">
        <f aca="false">IF($Q$230&gt;0,Q8/$Q$230,0)</f>
        <v>0.00284705614394716</v>
      </c>
    </row>
    <row r="9" customFormat="false" ht="15" hidden="false" customHeight="false" outlineLevel="0" collapsed="false">
      <c r="A9" s="26" t="str">
        <f aca="false">'Task Breakdown'!A137</f>
        <v>PS-3.01.03</v>
      </c>
      <c r="B9" s="27" t="str">
        <f aca="false">'Task Breakdown'!G137</f>
        <v>Implement semantic cache in the AI gateway</v>
      </c>
      <c r="C9" s="28"/>
      <c r="D9" s="28"/>
      <c r="E9" s="29" t="n">
        <f aca="false">'Task Breakdown'!I137</f>
        <v>0</v>
      </c>
      <c r="F9" s="29" t="n">
        <f aca="false">'Task Breakdown'!J137</f>
        <v>0</v>
      </c>
      <c r="G9" s="29" t="n">
        <f aca="false">'Task Breakdown'!K137</f>
        <v>12</v>
      </c>
      <c r="H9" s="29" t="n">
        <f aca="false">'Task Breakdown'!L137</f>
        <v>0</v>
      </c>
      <c r="I9" s="29" t="n">
        <f aca="false">'Task Breakdown'!M137</f>
        <v>0</v>
      </c>
      <c r="J9" s="29" t="n">
        <f aca="false">'Task Breakdown'!N137</f>
        <v>20</v>
      </c>
      <c r="K9" s="29" t="n">
        <f aca="false">'Task Breakdown'!O137</f>
        <v>0</v>
      </c>
      <c r="L9" s="29" t="n">
        <f aca="false">'Task Breakdown'!P137</f>
        <v>0</v>
      </c>
      <c r="M9" s="29" t="n">
        <f aca="false">'Task Breakdown'!Q137</f>
        <v>0</v>
      </c>
      <c r="N9" s="29" t="n">
        <f aca="false">'Task Breakdown'!R137</f>
        <v>0</v>
      </c>
      <c r="O9" s="29" t="n">
        <f aca="false">'Task Breakdown'!S137</f>
        <v>0</v>
      </c>
      <c r="P9" s="29" t="n">
        <f aca="false">'Task Breakdown'!T137</f>
        <v>0</v>
      </c>
      <c r="Q9" s="30" t="n">
        <f aca="false">SUM(E9:P9)</f>
        <v>32</v>
      </c>
      <c r="R9" s="31" t="n">
        <f aca="false">IF($Q$230&gt;0,Q9/$Q$230,0)</f>
        <v>0.00364423186425236</v>
      </c>
    </row>
    <row r="10" customFormat="false" ht="15" hidden="false" customHeight="false" outlineLevel="0" collapsed="false">
      <c r="A10" s="26" t="str">
        <f aca="false">'Task Breakdown'!A138</f>
        <v>PS-3.01.04</v>
      </c>
      <c r="B10" s="27" t="str">
        <f aca="false">'Task Breakdown'!G138</f>
        <v>Implement embedding cache in the ingestion pipeline</v>
      </c>
      <c r="C10" s="28"/>
      <c r="D10" s="28"/>
      <c r="E10" s="29" t="n">
        <f aca="false">'Task Breakdown'!I138</f>
        <v>0</v>
      </c>
      <c r="F10" s="29" t="n">
        <f aca="false">'Task Breakdown'!J138</f>
        <v>0</v>
      </c>
      <c r="G10" s="29" t="n">
        <f aca="false">'Task Breakdown'!K138</f>
        <v>0</v>
      </c>
      <c r="H10" s="29" t="n">
        <f aca="false">'Task Breakdown'!L138</f>
        <v>0</v>
      </c>
      <c r="I10" s="29" t="n">
        <f aca="false">'Task Breakdown'!M138</f>
        <v>0</v>
      </c>
      <c r="J10" s="29" t="n">
        <f aca="false">'Task Breakdown'!N138</f>
        <v>12</v>
      </c>
      <c r="K10" s="29" t="n">
        <f aca="false">'Task Breakdown'!O138</f>
        <v>0</v>
      </c>
      <c r="L10" s="29" t="n">
        <f aca="false">'Task Breakdown'!P138</f>
        <v>0</v>
      </c>
      <c r="M10" s="29" t="n">
        <f aca="false">'Task Breakdown'!Q138</f>
        <v>0</v>
      </c>
      <c r="N10" s="29" t="n">
        <f aca="false">'Task Breakdown'!R138</f>
        <v>0</v>
      </c>
      <c r="O10" s="29" t="n">
        <f aca="false">'Task Breakdown'!S138</f>
        <v>0</v>
      </c>
      <c r="P10" s="29" t="n">
        <f aca="false">'Task Breakdown'!T138</f>
        <v>0</v>
      </c>
      <c r="Q10" s="30" t="n">
        <f aca="false">SUM(E10:P10)</f>
        <v>12</v>
      </c>
      <c r="R10" s="31" t="n">
        <f aca="false">IF($Q$230&gt;0,Q10/$Q$230,0)</f>
        <v>0.00136658694909464</v>
      </c>
    </row>
    <row r="11" customFormat="false" ht="15" hidden="false" customHeight="false" outlineLevel="0" collapsed="false">
      <c r="A11" s="26" t="str">
        <f aca="false">'Task Breakdown'!A139</f>
        <v>PS-3.01.05</v>
      </c>
      <c r="B11" s="27" t="str">
        <f aca="false">'Task Breakdown'!G139</f>
        <v>Add cache metrics and invalidation</v>
      </c>
      <c r="C11" s="28"/>
      <c r="D11" s="28"/>
      <c r="E11" s="29" t="n">
        <f aca="false">'Task Breakdown'!I139</f>
        <v>0</v>
      </c>
      <c r="F11" s="29" t="n">
        <f aca="false">'Task Breakdown'!J139</f>
        <v>0</v>
      </c>
      <c r="G11" s="29" t="n">
        <f aca="false">'Task Breakdown'!K139</f>
        <v>12</v>
      </c>
      <c r="H11" s="29" t="n">
        <f aca="false">'Task Breakdown'!L139</f>
        <v>0</v>
      </c>
      <c r="I11" s="29" t="n">
        <f aca="false">'Task Breakdown'!M139</f>
        <v>0</v>
      </c>
      <c r="J11" s="29" t="n">
        <f aca="false">'Task Breakdown'!N139</f>
        <v>8</v>
      </c>
      <c r="K11" s="29" t="n">
        <f aca="false">'Task Breakdown'!O139</f>
        <v>0</v>
      </c>
      <c r="L11" s="29" t="n">
        <f aca="false">'Task Breakdown'!P139</f>
        <v>0</v>
      </c>
      <c r="M11" s="29" t="n">
        <f aca="false">'Task Breakdown'!Q139</f>
        <v>0</v>
      </c>
      <c r="N11" s="29" t="n">
        <f aca="false">'Task Breakdown'!R139</f>
        <v>0</v>
      </c>
      <c r="O11" s="29" t="n">
        <f aca="false">'Task Breakdown'!S139</f>
        <v>0</v>
      </c>
      <c r="P11" s="29" t="n">
        <f aca="false">'Task Breakdown'!T139</f>
        <v>0</v>
      </c>
      <c r="Q11" s="30" t="n">
        <f aca="false">SUM(E11:P11)</f>
        <v>20</v>
      </c>
      <c r="R11" s="31" t="n">
        <f aca="false">IF($Q$230&gt;0,Q11/$Q$230,0)</f>
        <v>0.00227764491515773</v>
      </c>
    </row>
    <row r="12" customFormat="false" ht="15" hidden="false" customHeight="false" outlineLevel="0" collapsed="false">
      <c r="A12" s="26" t="str">
        <f aca="false">'Task Breakdown'!A140</f>
        <v>PS-3.01.06</v>
      </c>
      <c r="B12" s="27" t="str">
        <f aca="false">'Task Breakdown'!G140</f>
        <v>Measure hit rate and answer correctness</v>
      </c>
      <c r="C12" s="28"/>
      <c r="D12" s="28"/>
      <c r="E12" s="29" t="n">
        <f aca="false">'Task Breakdown'!I140</f>
        <v>0</v>
      </c>
      <c r="F12" s="29" t="n">
        <f aca="false">'Task Breakdown'!J140</f>
        <v>0</v>
      </c>
      <c r="G12" s="29" t="n">
        <f aca="false">'Task Breakdown'!K140</f>
        <v>0</v>
      </c>
      <c r="H12" s="29" t="n">
        <f aca="false">'Task Breakdown'!L140</f>
        <v>0</v>
      </c>
      <c r="I12" s="29" t="n">
        <f aca="false">'Task Breakdown'!M140</f>
        <v>0</v>
      </c>
      <c r="J12" s="29" t="n">
        <f aca="false">'Task Breakdown'!N140</f>
        <v>0</v>
      </c>
      <c r="K12" s="29" t="n">
        <f aca="false">'Task Breakdown'!O140</f>
        <v>0</v>
      </c>
      <c r="L12" s="29" t="n">
        <f aca="false">'Task Breakdown'!P140</f>
        <v>0</v>
      </c>
      <c r="M12" s="29" t="n">
        <f aca="false">'Task Breakdown'!Q140</f>
        <v>0</v>
      </c>
      <c r="N12" s="29" t="n">
        <f aca="false">'Task Breakdown'!R140</f>
        <v>0</v>
      </c>
      <c r="O12" s="29" t="n">
        <f aca="false">'Task Breakdown'!S140</f>
        <v>16</v>
      </c>
      <c r="P12" s="29" t="n">
        <f aca="false">'Task Breakdown'!T140</f>
        <v>0</v>
      </c>
      <c r="Q12" s="30" t="n">
        <f aca="false">SUM(E12:P12)</f>
        <v>16</v>
      </c>
      <c r="R12" s="31" t="n">
        <f aca="false">IF($Q$230&gt;0,Q12/$Q$230,0)</f>
        <v>0.00182211593212618</v>
      </c>
    </row>
    <row r="13" customFormat="false" ht="15" hidden="false" customHeight="false" outlineLevel="0" collapsed="false">
      <c r="A13" s="26" t="str">
        <f aca="false">'Task Breakdown'!A141</f>
        <v>PS-3.01.07</v>
      </c>
      <c r="B13" s="27" t="str">
        <f aca="false">'Task Breakdown'!G141</f>
        <v>Detailed design and design review</v>
      </c>
      <c r="C13" s="28"/>
      <c r="D13" s="28"/>
      <c r="E13" s="29" t="n">
        <f aca="false">'Task Breakdown'!I141</f>
        <v>0</v>
      </c>
      <c r="F13" s="29" t="n">
        <f aca="false">'Task Breakdown'!J141</f>
        <v>7</v>
      </c>
      <c r="G13" s="29" t="n">
        <f aca="false">'Task Breakdown'!K141</f>
        <v>0</v>
      </c>
      <c r="H13" s="29" t="n">
        <f aca="false">'Task Breakdown'!L141</f>
        <v>0</v>
      </c>
      <c r="I13" s="29" t="n">
        <f aca="false">'Task Breakdown'!M141</f>
        <v>0</v>
      </c>
      <c r="J13" s="29" t="n">
        <f aca="false">'Task Breakdown'!N141</f>
        <v>0</v>
      </c>
      <c r="K13" s="29" t="n">
        <f aca="false">'Task Breakdown'!O141</f>
        <v>0</v>
      </c>
      <c r="L13" s="29" t="n">
        <f aca="false">'Task Breakdown'!P141</f>
        <v>0</v>
      </c>
      <c r="M13" s="29" t="n">
        <f aca="false">'Task Breakdown'!Q141</f>
        <v>0</v>
      </c>
      <c r="N13" s="29" t="n">
        <f aca="false">'Task Breakdown'!R141</f>
        <v>0</v>
      </c>
      <c r="O13" s="29" t="n">
        <f aca="false">'Task Breakdown'!S141</f>
        <v>0</v>
      </c>
      <c r="P13" s="29" t="n">
        <f aca="false">'Task Breakdown'!T141</f>
        <v>0</v>
      </c>
      <c r="Q13" s="30" t="n">
        <f aca="false">SUM(E13:P13)</f>
        <v>7</v>
      </c>
      <c r="R13" s="31" t="n">
        <f aca="false">IF($Q$230&gt;0,Q13/$Q$230,0)</f>
        <v>0.000797175720305204</v>
      </c>
    </row>
    <row r="14" customFormat="false" ht="15" hidden="false" customHeight="false" outlineLevel="0" collapsed="false">
      <c r="A14" s="26" t="str">
        <f aca="false">'Task Breakdown'!A142</f>
        <v>PS-3.01.08</v>
      </c>
      <c r="B14" s="27" t="str">
        <f aca="false">'Task Breakdown'!G142</f>
        <v>Promote through dev / test / prod and release</v>
      </c>
      <c r="C14" s="28"/>
      <c r="D14" s="28"/>
      <c r="E14" s="29" t="n">
        <f aca="false">'Task Breakdown'!I142</f>
        <v>0</v>
      </c>
      <c r="F14" s="29" t="n">
        <f aca="false">'Task Breakdown'!J142</f>
        <v>0</v>
      </c>
      <c r="G14" s="29" t="n">
        <f aca="false">'Task Breakdown'!K142</f>
        <v>5</v>
      </c>
      <c r="H14" s="29" t="n">
        <f aca="false">'Task Breakdown'!L142</f>
        <v>0</v>
      </c>
      <c r="I14" s="29" t="n">
        <f aca="false">'Task Breakdown'!M142</f>
        <v>0</v>
      </c>
      <c r="J14" s="29" t="n">
        <f aca="false">'Task Breakdown'!N142</f>
        <v>0</v>
      </c>
      <c r="K14" s="29" t="n">
        <f aca="false">'Task Breakdown'!O142</f>
        <v>0</v>
      </c>
      <c r="L14" s="29" t="n">
        <f aca="false">'Task Breakdown'!P142</f>
        <v>0</v>
      </c>
      <c r="M14" s="29" t="n">
        <f aca="false">'Task Breakdown'!Q142</f>
        <v>0</v>
      </c>
      <c r="N14" s="29" t="n">
        <f aca="false">'Task Breakdown'!R142</f>
        <v>0</v>
      </c>
      <c r="O14" s="29" t="n">
        <f aca="false">'Task Breakdown'!S142</f>
        <v>0</v>
      </c>
      <c r="P14" s="29" t="n">
        <f aca="false">'Task Breakdown'!T142</f>
        <v>0</v>
      </c>
      <c r="Q14" s="30" t="n">
        <f aca="false">SUM(E14:P14)</f>
        <v>5</v>
      </c>
      <c r="R14" s="31" t="n">
        <f aca="false">IF($Q$230&gt;0,Q14/$Q$230,0)</f>
        <v>0.000569411228789432</v>
      </c>
    </row>
    <row r="15" customFormat="false" ht="15" hidden="false" customHeight="false" outlineLevel="0" collapsed="false">
      <c r="A15" s="26" t="str">
        <f aca="false">'Task Breakdown'!A143</f>
        <v>PS-3.01.09</v>
      </c>
      <c r="B15" s="27" t="str">
        <f aca="false">'Task Breakdown'!G143</f>
        <v>Documentation, runbook and knowledge transfer</v>
      </c>
      <c r="C15" s="28"/>
      <c r="D15" s="28"/>
      <c r="E15" s="29" t="n">
        <f aca="false">'Task Breakdown'!I143</f>
        <v>0</v>
      </c>
      <c r="F15" s="29" t="n">
        <f aca="false">'Task Breakdown'!J143</f>
        <v>0</v>
      </c>
      <c r="G15" s="29" t="n">
        <f aca="false">'Task Breakdown'!K143</f>
        <v>0</v>
      </c>
      <c r="H15" s="29" t="n">
        <f aca="false">'Task Breakdown'!L143</f>
        <v>0</v>
      </c>
      <c r="I15" s="29" t="n">
        <f aca="false">'Task Breakdown'!M143</f>
        <v>0</v>
      </c>
      <c r="J15" s="29" t="n">
        <f aca="false">'Task Breakdown'!N143</f>
        <v>5</v>
      </c>
      <c r="K15" s="29" t="n">
        <f aca="false">'Task Breakdown'!O143</f>
        <v>0</v>
      </c>
      <c r="L15" s="29" t="n">
        <f aca="false">'Task Breakdown'!P143</f>
        <v>0</v>
      </c>
      <c r="M15" s="29" t="n">
        <f aca="false">'Task Breakdown'!Q143</f>
        <v>0</v>
      </c>
      <c r="N15" s="29" t="n">
        <f aca="false">'Task Breakdown'!R143</f>
        <v>0</v>
      </c>
      <c r="O15" s="29" t="n">
        <f aca="false">'Task Breakdown'!S143</f>
        <v>0</v>
      </c>
      <c r="P15" s="29" t="n">
        <f aca="false">'Task Breakdown'!T143</f>
        <v>0</v>
      </c>
      <c r="Q15" s="30" t="n">
        <f aca="false">SUM(E15:P15)</f>
        <v>5</v>
      </c>
      <c r="R15" s="31" t="n">
        <f aca="false">IF($Q$230&gt;0,Q15/$Q$230,0)</f>
        <v>0.000569411228789432</v>
      </c>
    </row>
    <row r="16" customFormat="false" ht="15" hidden="false" customHeight="false" outlineLevel="0" collapsed="false">
      <c r="A16" s="26" t="str">
        <f aca="false">'Task Breakdown'!A144</f>
        <v>PS-3.01.10</v>
      </c>
      <c r="B16" s="27" t="str">
        <f aca="false">'Task Breakdown'!G144</f>
        <v>Defect fixing and rework after testing</v>
      </c>
      <c r="C16" s="28"/>
      <c r="D16" s="28"/>
      <c r="E16" s="29" t="n">
        <f aca="false">'Task Breakdown'!I144</f>
        <v>0</v>
      </c>
      <c r="F16" s="29" t="n">
        <f aca="false">'Task Breakdown'!J144</f>
        <v>0</v>
      </c>
      <c r="G16" s="29" t="n">
        <f aca="false">'Task Breakdown'!K144</f>
        <v>0</v>
      </c>
      <c r="H16" s="29" t="n">
        <f aca="false">'Task Breakdown'!L144</f>
        <v>0</v>
      </c>
      <c r="I16" s="29" t="n">
        <f aca="false">'Task Breakdown'!M144</f>
        <v>0</v>
      </c>
      <c r="J16" s="29" t="n">
        <f aca="false">'Task Breakdown'!N144</f>
        <v>10</v>
      </c>
      <c r="K16" s="29" t="n">
        <f aca="false">'Task Breakdown'!O144</f>
        <v>0</v>
      </c>
      <c r="L16" s="29" t="n">
        <f aca="false">'Task Breakdown'!P144</f>
        <v>0</v>
      </c>
      <c r="M16" s="29" t="n">
        <f aca="false">'Task Breakdown'!Q144</f>
        <v>0</v>
      </c>
      <c r="N16" s="29" t="n">
        <f aca="false">'Task Breakdown'!R144</f>
        <v>0</v>
      </c>
      <c r="O16" s="29" t="n">
        <f aca="false">'Task Breakdown'!S144</f>
        <v>0</v>
      </c>
      <c r="P16" s="29" t="n">
        <f aca="false">'Task Breakdown'!T144</f>
        <v>0</v>
      </c>
      <c r="Q16" s="30" t="n">
        <f aca="false">SUM(E16:P16)</f>
        <v>10</v>
      </c>
      <c r="R16" s="31" t="n">
        <f aca="false">IF($Q$230&gt;0,Q16/$Q$230,0)</f>
        <v>0.00113882245757886</v>
      </c>
    </row>
    <row r="17" customFormat="false" ht="15" hidden="false" customHeight="false" outlineLevel="0" collapsed="false">
      <c r="A17" s="23" t="s">
        <v>236</v>
      </c>
      <c r="B17" s="23" t="s">
        <v>237</v>
      </c>
      <c r="C17" s="23" t="s">
        <v>42</v>
      </c>
      <c r="D17" s="23" t="s">
        <v>238</v>
      </c>
      <c r="E17" s="24" t="n">
        <f aca="false">SUM(E18:E28)</f>
        <v>0</v>
      </c>
      <c r="F17" s="24" t="n">
        <f aca="false">SUM(F18:F28)</f>
        <v>33</v>
      </c>
      <c r="G17" s="24" t="n">
        <f aca="false">SUM(G18:G28)</f>
        <v>136</v>
      </c>
      <c r="H17" s="24" t="n">
        <f aca="false">SUM(H18:H28)</f>
        <v>0</v>
      </c>
      <c r="I17" s="24" t="n">
        <f aca="false">SUM(I18:I28)</f>
        <v>0</v>
      </c>
      <c r="J17" s="24" t="n">
        <f aca="false">SUM(J18:J28)</f>
        <v>0</v>
      </c>
      <c r="K17" s="24" t="n">
        <f aca="false">SUM(K18:K28)</f>
        <v>0</v>
      </c>
      <c r="L17" s="24" t="n">
        <f aca="false">SUM(L18:L28)</f>
        <v>0</v>
      </c>
      <c r="M17" s="24" t="n">
        <f aca="false">SUM(M18:M28)</f>
        <v>61</v>
      </c>
      <c r="N17" s="24" t="n">
        <f aca="false">SUM(N18:N28)</f>
        <v>0</v>
      </c>
      <c r="O17" s="24" t="n">
        <f aca="false">SUM(O18:O28)</f>
        <v>31</v>
      </c>
      <c r="P17" s="24" t="n">
        <f aca="false">SUM(P18:P28)</f>
        <v>0</v>
      </c>
      <c r="Q17" s="24" t="n">
        <f aca="false">SUM(Q18:Q28)</f>
        <v>261</v>
      </c>
      <c r="R17" s="25" t="n">
        <f aca="false">IF($Q$230&gt;0,Q17/$Q$230,0)</f>
        <v>0.0297232661428083</v>
      </c>
    </row>
    <row r="18" customFormat="false" ht="15" hidden="false" customHeight="false" outlineLevel="0" collapsed="false">
      <c r="A18" s="26" t="str">
        <f aca="false">'Task Breakdown'!A145</f>
        <v>PS-3.02.01</v>
      </c>
      <c r="B18" s="27" t="str">
        <f aca="false">'Task Breakdown'!G145</f>
        <v>Design event model, topics and queues</v>
      </c>
      <c r="C18" s="28"/>
      <c r="D18" s="28"/>
      <c r="E18" s="29" t="n">
        <f aca="false">'Task Breakdown'!I145</f>
        <v>0</v>
      </c>
      <c r="F18" s="29" t="n">
        <f aca="false">'Task Breakdown'!J145</f>
        <v>20</v>
      </c>
      <c r="G18" s="29" t="n">
        <f aca="false">'Task Breakdown'!K145</f>
        <v>0</v>
      </c>
      <c r="H18" s="29" t="n">
        <f aca="false">'Task Breakdown'!L145</f>
        <v>0</v>
      </c>
      <c r="I18" s="29" t="n">
        <f aca="false">'Task Breakdown'!M145</f>
        <v>0</v>
      </c>
      <c r="J18" s="29" t="n">
        <f aca="false">'Task Breakdown'!N145</f>
        <v>0</v>
      </c>
      <c r="K18" s="29" t="n">
        <f aca="false">'Task Breakdown'!O145</f>
        <v>0</v>
      </c>
      <c r="L18" s="29" t="n">
        <f aca="false">'Task Breakdown'!P145</f>
        <v>0</v>
      </c>
      <c r="M18" s="29" t="n">
        <f aca="false">'Task Breakdown'!Q145</f>
        <v>0</v>
      </c>
      <c r="N18" s="29" t="n">
        <f aca="false">'Task Breakdown'!R145</f>
        <v>0</v>
      </c>
      <c r="O18" s="29" t="n">
        <f aca="false">'Task Breakdown'!S145</f>
        <v>0</v>
      </c>
      <c r="P18" s="29" t="n">
        <f aca="false">'Task Breakdown'!T145</f>
        <v>0</v>
      </c>
      <c r="Q18" s="30" t="n">
        <f aca="false">SUM(E18:P18)</f>
        <v>20</v>
      </c>
      <c r="R18" s="31" t="n">
        <f aca="false">IF($Q$230&gt;0,Q18/$Q$230,0)</f>
        <v>0.00227764491515773</v>
      </c>
    </row>
    <row r="19" customFormat="false" ht="15" hidden="false" customHeight="false" outlineLevel="0" collapsed="false">
      <c r="A19" s="26" t="str">
        <f aca="false">'Task Breakdown'!A146</f>
        <v>PS-3.02.02</v>
      </c>
      <c r="B19" s="27" t="str">
        <f aca="false">'Task Breakdown'!G146</f>
        <v>Deploy Service Bus namespaces, topics and dead-letter queues</v>
      </c>
      <c r="C19" s="28"/>
      <c r="D19" s="28"/>
      <c r="E19" s="29" t="n">
        <f aca="false">'Task Breakdown'!I146</f>
        <v>0</v>
      </c>
      <c r="F19" s="29" t="n">
        <f aca="false">'Task Breakdown'!J146</f>
        <v>0</v>
      </c>
      <c r="G19" s="29" t="n">
        <f aca="false">'Task Breakdown'!K146</f>
        <v>31</v>
      </c>
      <c r="H19" s="29" t="n">
        <f aca="false">'Task Breakdown'!L146</f>
        <v>0</v>
      </c>
      <c r="I19" s="29" t="n">
        <f aca="false">'Task Breakdown'!M146</f>
        <v>0</v>
      </c>
      <c r="J19" s="29" t="n">
        <f aca="false">'Task Breakdown'!N146</f>
        <v>0</v>
      </c>
      <c r="K19" s="29" t="n">
        <f aca="false">'Task Breakdown'!O146</f>
        <v>0</v>
      </c>
      <c r="L19" s="29" t="n">
        <f aca="false">'Task Breakdown'!P146</f>
        <v>0</v>
      </c>
      <c r="M19" s="29" t="n">
        <f aca="false">'Task Breakdown'!Q146</f>
        <v>0</v>
      </c>
      <c r="N19" s="29" t="n">
        <f aca="false">'Task Breakdown'!R146</f>
        <v>0</v>
      </c>
      <c r="O19" s="29" t="n">
        <f aca="false">'Task Breakdown'!S146</f>
        <v>0</v>
      </c>
      <c r="P19" s="29" t="n">
        <f aca="false">'Task Breakdown'!T146</f>
        <v>0</v>
      </c>
      <c r="Q19" s="30" t="n">
        <f aca="false">SUM(E19:P19)</f>
        <v>31</v>
      </c>
      <c r="R19" s="31" t="n">
        <f aca="false">IF($Q$230&gt;0,Q19/$Q$230,0)</f>
        <v>0.00353034961849448</v>
      </c>
    </row>
    <row r="20" customFormat="false" ht="15" hidden="false" customHeight="false" outlineLevel="0" collapsed="false">
      <c r="A20" s="26" t="str">
        <f aca="false">'Task Breakdown'!A147</f>
        <v>PS-3.02.03</v>
      </c>
      <c r="B20" s="27" t="str">
        <f aca="false">'Task Breakdown'!G147</f>
        <v>Deploy Event Grid topics and subscriptions</v>
      </c>
      <c r="C20" s="28"/>
      <c r="D20" s="28"/>
      <c r="E20" s="29" t="n">
        <f aca="false">'Task Breakdown'!I147</f>
        <v>0</v>
      </c>
      <c r="F20" s="29" t="n">
        <f aca="false">'Task Breakdown'!J147</f>
        <v>0</v>
      </c>
      <c r="G20" s="29" t="n">
        <f aca="false">'Task Breakdown'!K147</f>
        <v>20</v>
      </c>
      <c r="H20" s="29" t="n">
        <f aca="false">'Task Breakdown'!L147</f>
        <v>0</v>
      </c>
      <c r="I20" s="29" t="n">
        <f aca="false">'Task Breakdown'!M147</f>
        <v>0</v>
      </c>
      <c r="J20" s="29" t="n">
        <f aca="false">'Task Breakdown'!N147</f>
        <v>0</v>
      </c>
      <c r="K20" s="29" t="n">
        <f aca="false">'Task Breakdown'!O147</f>
        <v>0</v>
      </c>
      <c r="L20" s="29" t="n">
        <f aca="false">'Task Breakdown'!P147</f>
        <v>0</v>
      </c>
      <c r="M20" s="29" t="n">
        <f aca="false">'Task Breakdown'!Q147</f>
        <v>0</v>
      </c>
      <c r="N20" s="29" t="n">
        <f aca="false">'Task Breakdown'!R147</f>
        <v>0</v>
      </c>
      <c r="O20" s="29" t="n">
        <f aca="false">'Task Breakdown'!S147</f>
        <v>0</v>
      </c>
      <c r="P20" s="29" t="n">
        <f aca="false">'Task Breakdown'!T147</f>
        <v>0</v>
      </c>
      <c r="Q20" s="30" t="n">
        <f aca="false">SUM(E20:P20)</f>
        <v>20</v>
      </c>
      <c r="R20" s="31" t="n">
        <f aca="false">IF($Q$230&gt;0,Q20/$Q$230,0)</f>
        <v>0.00227764491515773</v>
      </c>
    </row>
    <row r="21" customFormat="false" ht="15" hidden="false" customHeight="false" outlineLevel="0" collapsed="false">
      <c r="A21" s="26" t="str">
        <f aca="false">'Task Breakdown'!A148</f>
        <v>PS-3.02.04</v>
      </c>
      <c r="B21" s="27" t="str">
        <f aca="false">'Task Breakdown'!G148</f>
        <v>Build Durable Functions for long-running agent workflows</v>
      </c>
      <c r="C21" s="28"/>
      <c r="D21" s="28"/>
      <c r="E21" s="29" t="n">
        <f aca="false">'Task Breakdown'!I148</f>
        <v>0</v>
      </c>
      <c r="F21" s="29" t="n">
        <f aca="false">'Task Breakdown'!J148</f>
        <v>0</v>
      </c>
      <c r="G21" s="29" t="n">
        <f aca="false">'Task Breakdown'!K148</f>
        <v>20</v>
      </c>
      <c r="H21" s="29" t="n">
        <f aca="false">'Task Breakdown'!L148</f>
        <v>0</v>
      </c>
      <c r="I21" s="29" t="n">
        <f aca="false">'Task Breakdown'!M148</f>
        <v>0</v>
      </c>
      <c r="J21" s="29" t="n">
        <f aca="false">'Task Breakdown'!N148</f>
        <v>0</v>
      </c>
      <c r="K21" s="29" t="n">
        <f aca="false">'Task Breakdown'!O148</f>
        <v>0</v>
      </c>
      <c r="L21" s="29" t="n">
        <f aca="false">'Task Breakdown'!P148</f>
        <v>0</v>
      </c>
      <c r="M21" s="29" t="n">
        <f aca="false">'Task Breakdown'!Q148</f>
        <v>41</v>
      </c>
      <c r="N21" s="29" t="n">
        <f aca="false">'Task Breakdown'!R148</f>
        <v>0</v>
      </c>
      <c r="O21" s="29" t="n">
        <f aca="false">'Task Breakdown'!S148</f>
        <v>0</v>
      </c>
      <c r="P21" s="29" t="n">
        <f aca="false">'Task Breakdown'!T148</f>
        <v>0</v>
      </c>
      <c r="Q21" s="30" t="n">
        <f aca="false">SUM(E21:P21)</f>
        <v>61</v>
      </c>
      <c r="R21" s="31" t="n">
        <f aca="false">IF($Q$230&gt;0,Q21/$Q$230,0)</f>
        <v>0.00694681699123107</v>
      </c>
    </row>
    <row r="22" customFormat="false" ht="15" hidden="false" customHeight="false" outlineLevel="0" collapsed="false">
      <c r="A22" s="26" t="str">
        <f aca="false">'Task Breakdown'!A149</f>
        <v>PS-3.02.05</v>
      </c>
      <c r="B22" s="27" t="str">
        <f aca="false">'Task Breakdown'!G149</f>
        <v>Build Logic Apps for notifications and approvals</v>
      </c>
      <c r="C22" s="28"/>
      <c r="D22" s="28"/>
      <c r="E22" s="29" t="n">
        <f aca="false">'Task Breakdown'!I149</f>
        <v>0</v>
      </c>
      <c r="F22" s="29" t="n">
        <f aca="false">'Task Breakdown'!J149</f>
        <v>0</v>
      </c>
      <c r="G22" s="29" t="n">
        <f aca="false">'Task Breakdown'!K149</f>
        <v>10</v>
      </c>
      <c r="H22" s="29" t="n">
        <f aca="false">'Task Breakdown'!L149</f>
        <v>0</v>
      </c>
      <c r="I22" s="29" t="n">
        <f aca="false">'Task Breakdown'!M149</f>
        <v>0</v>
      </c>
      <c r="J22" s="29" t="n">
        <f aca="false">'Task Breakdown'!N149</f>
        <v>0</v>
      </c>
      <c r="K22" s="29" t="n">
        <f aca="false">'Task Breakdown'!O149</f>
        <v>0</v>
      </c>
      <c r="L22" s="29" t="n">
        <f aca="false">'Task Breakdown'!P149</f>
        <v>0</v>
      </c>
      <c r="M22" s="29" t="n">
        <f aca="false">'Task Breakdown'!Q149</f>
        <v>20</v>
      </c>
      <c r="N22" s="29" t="n">
        <f aca="false">'Task Breakdown'!R149</f>
        <v>0</v>
      </c>
      <c r="O22" s="29" t="n">
        <f aca="false">'Task Breakdown'!S149</f>
        <v>0</v>
      </c>
      <c r="P22" s="29" t="n">
        <f aca="false">'Task Breakdown'!T149</f>
        <v>0</v>
      </c>
      <c r="Q22" s="30" t="n">
        <f aca="false">SUM(E22:P22)</f>
        <v>30</v>
      </c>
      <c r="R22" s="31" t="n">
        <f aca="false">IF($Q$230&gt;0,Q22/$Q$230,0)</f>
        <v>0.00341646737273659</v>
      </c>
    </row>
    <row r="23" customFormat="false" ht="15" hidden="false" customHeight="false" outlineLevel="0" collapsed="false">
      <c r="A23" s="26" t="str">
        <f aca="false">'Task Breakdown'!A150</f>
        <v>PS-3.02.06</v>
      </c>
      <c r="B23" s="27" t="str">
        <f aca="false">'Task Breakdown'!G150</f>
        <v>Set up monitoring and dead-letter alerting</v>
      </c>
      <c r="C23" s="28"/>
      <c r="D23" s="28"/>
      <c r="E23" s="29" t="n">
        <f aca="false">'Task Breakdown'!I150</f>
        <v>0</v>
      </c>
      <c r="F23" s="29" t="n">
        <f aca="false">'Task Breakdown'!J150</f>
        <v>0</v>
      </c>
      <c r="G23" s="29" t="n">
        <f aca="false">'Task Breakdown'!K150</f>
        <v>20</v>
      </c>
      <c r="H23" s="29" t="n">
        <f aca="false">'Task Breakdown'!L150</f>
        <v>0</v>
      </c>
      <c r="I23" s="29" t="n">
        <f aca="false">'Task Breakdown'!M150</f>
        <v>0</v>
      </c>
      <c r="J23" s="29" t="n">
        <f aca="false">'Task Breakdown'!N150</f>
        <v>0</v>
      </c>
      <c r="K23" s="29" t="n">
        <f aca="false">'Task Breakdown'!O150</f>
        <v>0</v>
      </c>
      <c r="L23" s="29" t="n">
        <f aca="false">'Task Breakdown'!P150</f>
        <v>0</v>
      </c>
      <c r="M23" s="29" t="n">
        <f aca="false">'Task Breakdown'!Q150</f>
        <v>0</v>
      </c>
      <c r="N23" s="29" t="n">
        <f aca="false">'Task Breakdown'!R150</f>
        <v>0</v>
      </c>
      <c r="O23" s="29" t="n">
        <f aca="false">'Task Breakdown'!S150</f>
        <v>0</v>
      </c>
      <c r="P23" s="29" t="n">
        <f aca="false">'Task Breakdown'!T150</f>
        <v>0</v>
      </c>
      <c r="Q23" s="30" t="n">
        <f aca="false">SUM(E23:P23)</f>
        <v>20</v>
      </c>
      <c r="R23" s="31" t="n">
        <f aca="false">IF($Q$230&gt;0,Q23/$Q$230,0)</f>
        <v>0.00227764491515773</v>
      </c>
    </row>
    <row r="24" customFormat="false" ht="15" hidden="false" customHeight="false" outlineLevel="0" collapsed="false">
      <c r="A24" s="26" t="str">
        <f aca="false">'Task Breakdown'!A151</f>
        <v>PS-3.02.07</v>
      </c>
      <c r="B24" s="27" t="str">
        <f aca="false">'Task Breakdown'!G151</f>
        <v>Test retries, ordering and poison-message handling</v>
      </c>
      <c r="C24" s="28"/>
      <c r="D24" s="28"/>
      <c r="E24" s="29" t="n">
        <f aca="false">'Task Breakdown'!I151</f>
        <v>0</v>
      </c>
      <c r="F24" s="29" t="n">
        <f aca="false">'Task Breakdown'!J151</f>
        <v>0</v>
      </c>
      <c r="G24" s="29" t="n">
        <f aca="false">'Task Breakdown'!K151</f>
        <v>0</v>
      </c>
      <c r="H24" s="29" t="n">
        <f aca="false">'Task Breakdown'!L151</f>
        <v>0</v>
      </c>
      <c r="I24" s="29" t="n">
        <f aca="false">'Task Breakdown'!M151</f>
        <v>0</v>
      </c>
      <c r="J24" s="29" t="n">
        <f aca="false">'Task Breakdown'!N151</f>
        <v>0</v>
      </c>
      <c r="K24" s="29" t="n">
        <f aca="false">'Task Breakdown'!O151</f>
        <v>0</v>
      </c>
      <c r="L24" s="29" t="n">
        <f aca="false">'Task Breakdown'!P151</f>
        <v>0</v>
      </c>
      <c r="M24" s="29" t="n">
        <f aca="false">'Task Breakdown'!Q151</f>
        <v>0</v>
      </c>
      <c r="N24" s="29" t="n">
        <f aca="false">'Task Breakdown'!R151</f>
        <v>0</v>
      </c>
      <c r="O24" s="29" t="n">
        <f aca="false">'Task Breakdown'!S151</f>
        <v>31</v>
      </c>
      <c r="P24" s="29" t="n">
        <f aca="false">'Task Breakdown'!T151</f>
        <v>0</v>
      </c>
      <c r="Q24" s="30" t="n">
        <f aca="false">SUM(E24:P24)</f>
        <v>31</v>
      </c>
      <c r="R24" s="31" t="n">
        <f aca="false">IF($Q$230&gt;0,Q24/$Q$230,0)</f>
        <v>0.00353034961849448</v>
      </c>
    </row>
    <row r="25" customFormat="false" ht="15" hidden="false" customHeight="false" outlineLevel="0" collapsed="false">
      <c r="A25" s="26" t="str">
        <f aca="false">'Task Breakdown'!A152</f>
        <v>PS-3.02.08</v>
      </c>
      <c r="B25" s="27" t="str">
        <f aca="false">'Task Breakdown'!G152</f>
        <v>Detailed design and design review</v>
      </c>
      <c r="C25" s="28"/>
      <c r="D25" s="28"/>
      <c r="E25" s="29" t="n">
        <f aca="false">'Task Breakdown'!I152</f>
        <v>0</v>
      </c>
      <c r="F25" s="29" t="n">
        <f aca="false">'Task Breakdown'!J152</f>
        <v>13</v>
      </c>
      <c r="G25" s="29" t="n">
        <f aca="false">'Task Breakdown'!K152</f>
        <v>0</v>
      </c>
      <c r="H25" s="29" t="n">
        <f aca="false">'Task Breakdown'!L152</f>
        <v>0</v>
      </c>
      <c r="I25" s="29" t="n">
        <f aca="false">'Task Breakdown'!M152</f>
        <v>0</v>
      </c>
      <c r="J25" s="29" t="n">
        <f aca="false">'Task Breakdown'!N152</f>
        <v>0</v>
      </c>
      <c r="K25" s="29" t="n">
        <f aca="false">'Task Breakdown'!O152</f>
        <v>0</v>
      </c>
      <c r="L25" s="29" t="n">
        <f aca="false">'Task Breakdown'!P152</f>
        <v>0</v>
      </c>
      <c r="M25" s="29" t="n">
        <f aca="false">'Task Breakdown'!Q152</f>
        <v>0</v>
      </c>
      <c r="N25" s="29" t="n">
        <f aca="false">'Task Breakdown'!R152</f>
        <v>0</v>
      </c>
      <c r="O25" s="29" t="n">
        <f aca="false">'Task Breakdown'!S152</f>
        <v>0</v>
      </c>
      <c r="P25" s="29" t="n">
        <f aca="false">'Task Breakdown'!T152</f>
        <v>0</v>
      </c>
      <c r="Q25" s="30" t="n">
        <f aca="false">SUM(E25:P25)</f>
        <v>13</v>
      </c>
      <c r="R25" s="31" t="n">
        <f aca="false">IF($Q$230&gt;0,Q25/$Q$230,0)</f>
        <v>0.00148046919485252</v>
      </c>
    </row>
    <row r="26" customFormat="false" ht="15" hidden="false" customHeight="false" outlineLevel="0" collapsed="false">
      <c r="A26" s="26" t="str">
        <f aca="false">'Task Breakdown'!A153</f>
        <v>PS-3.02.09</v>
      </c>
      <c r="B26" s="27" t="str">
        <f aca="false">'Task Breakdown'!G153</f>
        <v>Promote through dev / test / prod and release</v>
      </c>
      <c r="C26" s="28"/>
      <c r="D26" s="28"/>
      <c r="E26" s="29" t="n">
        <f aca="false">'Task Breakdown'!I153</f>
        <v>0</v>
      </c>
      <c r="F26" s="29" t="n">
        <f aca="false">'Task Breakdown'!J153</f>
        <v>0</v>
      </c>
      <c r="G26" s="29" t="n">
        <f aca="false">'Task Breakdown'!K153</f>
        <v>9</v>
      </c>
      <c r="H26" s="29" t="n">
        <f aca="false">'Task Breakdown'!L153</f>
        <v>0</v>
      </c>
      <c r="I26" s="29" t="n">
        <f aca="false">'Task Breakdown'!M153</f>
        <v>0</v>
      </c>
      <c r="J26" s="29" t="n">
        <f aca="false">'Task Breakdown'!N153</f>
        <v>0</v>
      </c>
      <c r="K26" s="29" t="n">
        <f aca="false">'Task Breakdown'!O153</f>
        <v>0</v>
      </c>
      <c r="L26" s="29" t="n">
        <f aca="false">'Task Breakdown'!P153</f>
        <v>0</v>
      </c>
      <c r="M26" s="29" t="n">
        <f aca="false">'Task Breakdown'!Q153</f>
        <v>0</v>
      </c>
      <c r="N26" s="29" t="n">
        <f aca="false">'Task Breakdown'!R153</f>
        <v>0</v>
      </c>
      <c r="O26" s="29" t="n">
        <f aca="false">'Task Breakdown'!S153</f>
        <v>0</v>
      </c>
      <c r="P26" s="29" t="n">
        <f aca="false">'Task Breakdown'!T153</f>
        <v>0</v>
      </c>
      <c r="Q26" s="30" t="n">
        <f aca="false">SUM(E26:P26)</f>
        <v>9</v>
      </c>
      <c r="R26" s="31" t="n">
        <f aca="false">IF($Q$230&gt;0,Q26/$Q$230,0)</f>
        <v>0.00102494021182098</v>
      </c>
    </row>
    <row r="27" customFormat="false" ht="15" hidden="false" customHeight="false" outlineLevel="0" collapsed="false">
      <c r="A27" s="26" t="str">
        <f aca="false">'Task Breakdown'!A154</f>
        <v>PS-3.02.10</v>
      </c>
      <c r="B27" s="27" t="str">
        <f aca="false">'Task Breakdown'!G154</f>
        <v>Documentation, runbook and knowledge transfer</v>
      </c>
      <c r="C27" s="28"/>
      <c r="D27" s="28"/>
      <c r="E27" s="29" t="n">
        <f aca="false">'Task Breakdown'!I154</f>
        <v>0</v>
      </c>
      <c r="F27" s="29" t="n">
        <f aca="false">'Task Breakdown'!J154</f>
        <v>0</v>
      </c>
      <c r="G27" s="29" t="n">
        <f aca="false">'Task Breakdown'!K154</f>
        <v>9</v>
      </c>
      <c r="H27" s="29" t="n">
        <f aca="false">'Task Breakdown'!L154</f>
        <v>0</v>
      </c>
      <c r="I27" s="29" t="n">
        <f aca="false">'Task Breakdown'!M154</f>
        <v>0</v>
      </c>
      <c r="J27" s="29" t="n">
        <f aca="false">'Task Breakdown'!N154</f>
        <v>0</v>
      </c>
      <c r="K27" s="29" t="n">
        <f aca="false">'Task Breakdown'!O154</f>
        <v>0</v>
      </c>
      <c r="L27" s="29" t="n">
        <f aca="false">'Task Breakdown'!P154</f>
        <v>0</v>
      </c>
      <c r="M27" s="29" t="n">
        <f aca="false">'Task Breakdown'!Q154</f>
        <v>0</v>
      </c>
      <c r="N27" s="29" t="n">
        <f aca="false">'Task Breakdown'!R154</f>
        <v>0</v>
      </c>
      <c r="O27" s="29" t="n">
        <f aca="false">'Task Breakdown'!S154</f>
        <v>0</v>
      </c>
      <c r="P27" s="29" t="n">
        <f aca="false">'Task Breakdown'!T154</f>
        <v>0</v>
      </c>
      <c r="Q27" s="30" t="n">
        <f aca="false">SUM(E27:P27)</f>
        <v>9</v>
      </c>
      <c r="R27" s="31" t="n">
        <f aca="false">IF($Q$230&gt;0,Q27/$Q$230,0)</f>
        <v>0.00102494021182098</v>
      </c>
    </row>
    <row r="28" customFormat="false" ht="15" hidden="false" customHeight="false" outlineLevel="0" collapsed="false">
      <c r="A28" s="26" t="str">
        <f aca="false">'Task Breakdown'!A155</f>
        <v>PS-3.02.11</v>
      </c>
      <c r="B28" s="27" t="str">
        <f aca="false">'Task Breakdown'!G155</f>
        <v>Defect fixing and rework after testing</v>
      </c>
      <c r="C28" s="28"/>
      <c r="D28" s="28"/>
      <c r="E28" s="29" t="n">
        <f aca="false">'Task Breakdown'!I155</f>
        <v>0</v>
      </c>
      <c r="F28" s="29" t="n">
        <f aca="false">'Task Breakdown'!J155</f>
        <v>0</v>
      </c>
      <c r="G28" s="29" t="n">
        <f aca="false">'Task Breakdown'!K155</f>
        <v>17</v>
      </c>
      <c r="H28" s="29" t="n">
        <f aca="false">'Task Breakdown'!L155</f>
        <v>0</v>
      </c>
      <c r="I28" s="29" t="n">
        <f aca="false">'Task Breakdown'!M155</f>
        <v>0</v>
      </c>
      <c r="J28" s="29" t="n">
        <f aca="false">'Task Breakdown'!N155</f>
        <v>0</v>
      </c>
      <c r="K28" s="29" t="n">
        <f aca="false">'Task Breakdown'!O155</f>
        <v>0</v>
      </c>
      <c r="L28" s="29" t="n">
        <f aca="false">'Task Breakdown'!P155</f>
        <v>0</v>
      </c>
      <c r="M28" s="29" t="n">
        <f aca="false">'Task Breakdown'!Q155</f>
        <v>0</v>
      </c>
      <c r="N28" s="29" t="n">
        <f aca="false">'Task Breakdown'!R155</f>
        <v>0</v>
      </c>
      <c r="O28" s="29" t="n">
        <f aca="false">'Task Breakdown'!S155</f>
        <v>0</v>
      </c>
      <c r="P28" s="29" t="n">
        <f aca="false">'Task Breakdown'!T155</f>
        <v>0</v>
      </c>
      <c r="Q28" s="30" t="n">
        <f aca="false">SUM(E28:P28)</f>
        <v>17</v>
      </c>
      <c r="R28" s="31" t="n">
        <f aca="false">IF($Q$230&gt;0,Q28/$Q$230,0)</f>
        <v>0.00193599817788407</v>
      </c>
    </row>
    <row r="29" customFormat="false" ht="15" hidden="false" customHeight="false" outlineLevel="0" collapsed="false">
      <c r="A29" s="23" t="s">
        <v>239</v>
      </c>
      <c r="B29" s="23" t="s">
        <v>240</v>
      </c>
      <c r="C29" s="23" t="s">
        <v>43</v>
      </c>
      <c r="D29" s="23" t="s">
        <v>241</v>
      </c>
      <c r="E29" s="24" t="n">
        <f aca="false">SUM(E30:E40)</f>
        <v>0</v>
      </c>
      <c r="F29" s="24" t="n">
        <f aca="false">SUM(F30:F40)</f>
        <v>0</v>
      </c>
      <c r="G29" s="24" t="n">
        <f aca="false">SUM(G30:G40)</f>
        <v>16</v>
      </c>
      <c r="H29" s="24" t="n">
        <f aca="false">SUM(H30:H40)</f>
        <v>57</v>
      </c>
      <c r="I29" s="24" t="n">
        <f aca="false">SUM(I30:I40)</f>
        <v>82</v>
      </c>
      <c r="J29" s="24" t="n">
        <f aca="false">SUM(J30:J40)</f>
        <v>219</v>
      </c>
      <c r="K29" s="24" t="n">
        <f aca="false">SUM(K30:K40)</f>
        <v>0</v>
      </c>
      <c r="L29" s="24" t="n">
        <f aca="false">SUM(L30:L40)</f>
        <v>0</v>
      </c>
      <c r="M29" s="24" t="n">
        <f aca="false">SUM(M30:M40)</f>
        <v>57</v>
      </c>
      <c r="N29" s="24" t="n">
        <f aca="false">SUM(N30:N40)</f>
        <v>0</v>
      </c>
      <c r="O29" s="24" t="n">
        <f aca="false">SUM(O30:O40)</f>
        <v>57</v>
      </c>
      <c r="P29" s="24" t="n">
        <f aca="false">SUM(P30:P40)</f>
        <v>0</v>
      </c>
      <c r="Q29" s="24" t="n">
        <f aca="false">SUM(Q30:Q40)</f>
        <v>488</v>
      </c>
      <c r="R29" s="25" t="n">
        <f aca="false">IF($Q$230&gt;0,Q29/$Q$230,0)</f>
        <v>0.0555745359298485</v>
      </c>
    </row>
    <row r="30" customFormat="false" ht="15" hidden="false" customHeight="false" outlineLevel="0" collapsed="false">
      <c r="A30" s="26" t="str">
        <f aca="false">'Task Breakdown'!A156</f>
        <v>PS-3.03.01</v>
      </c>
      <c r="B30" s="27" t="str">
        <f aca="false">'Task Breakdown'!G156</f>
        <v>Define MCP server standards and tool contract</v>
      </c>
      <c r="C30" s="28"/>
      <c r="D30" s="28"/>
      <c r="E30" s="29" t="n">
        <f aca="false">'Task Breakdown'!I156</f>
        <v>0</v>
      </c>
      <c r="F30" s="29" t="n">
        <f aca="false">'Task Breakdown'!J156</f>
        <v>0</v>
      </c>
      <c r="G30" s="29" t="n">
        <f aca="false">'Task Breakdown'!K156</f>
        <v>0</v>
      </c>
      <c r="H30" s="29" t="n">
        <f aca="false">'Task Breakdown'!L156</f>
        <v>0</v>
      </c>
      <c r="I30" s="29" t="n">
        <f aca="false">'Task Breakdown'!M156</f>
        <v>29</v>
      </c>
      <c r="J30" s="29" t="n">
        <f aca="false">'Task Breakdown'!N156</f>
        <v>0</v>
      </c>
      <c r="K30" s="29" t="n">
        <f aca="false">'Task Breakdown'!O156</f>
        <v>0</v>
      </c>
      <c r="L30" s="29" t="n">
        <f aca="false">'Task Breakdown'!P156</f>
        <v>0</v>
      </c>
      <c r="M30" s="29" t="n">
        <f aca="false">'Task Breakdown'!Q156</f>
        <v>0</v>
      </c>
      <c r="N30" s="29" t="n">
        <f aca="false">'Task Breakdown'!R156</f>
        <v>0</v>
      </c>
      <c r="O30" s="29" t="n">
        <f aca="false">'Task Breakdown'!S156</f>
        <v>0</v>
      </c>
      <c r="P30" s="29" t="n">
        <f aca="false">'Task Breakdown'!T156</f>
        <v>0</v>
      </c>
      <c r="Q30" s="30" t="n">
        <f aca="false">SUM(E30:P30)</f>
        <v>29</v>
      </c>
      <c r="R30" s="31" t="n">
        <f aca="false">IF($Q$230&gt;0,Q30/$Q$230,0)</f>
        <v>0.0033025851269787</v>
      </c>
    </row>
    <row r="31" customFormat="false" ht="15" hidden="false" customHeight="false" outlineLevel="0" collapsed="false">
      <c r="A31" s="26" t="str">
        <f aca="false">'Task Breakdown'!A157</f>
        <v>PS-3.03.02</v>
      </c>
      <c r="B31" s="27" t="str">
        <f aca="false">'Task Breakdown'!G157</f>
        <v>Build tool registry (catalog, owners, versions)</v>
      </c>
      <c r="C31" s="28"/>
      <c r="D31" s="28"/>
      <c r="E31" s="29" t="n">
        <f aca="false">'Task Breakdown'!I157</f>
        <v>0</v>
      </c>
      <c r="F31" s="29" t="n">
        <f aca="false">'Task Breakdown'!J157</f>
        <v>0</v>
      </c>
      <c r="G31" s="29" t="n">
        <f aca="false">'Task Breakdown'!K157</f>
        <v>0</v>
      </c>
      <c r="H31" s="29" t="n">
        <f aca="false">'Task Breakdown'!L157</f>
        <v>0</v>
      </c>
      <c r="I31" s="29" t="n">
        <f aca="false">'Task Breakdown'!M157</f>
        <v>0</v>
      </c>
      <c r="J31" s="29" t="n">
        <f aca="false">'Task Breakdown'!N157</f>
        <v>43</v>
      </c>
      <c r="K31" s="29" t="n">
        <f aca="false">'Task Breakdown'!O157</f>
        <v>0</v>
      </c>
      <c r="L31" s="29" t="n">
        <f aca="false">'Task Breakdown'!P157</f>
        <v>0</v>
      </c>
      <c r="M31" s="29" t="n">
        <f aca="false">'Task Breakdown'!Q157</f>
        <v>43</v>
      </c>
      <c r="N31" s="29" t="n">
        <f aca="false">'Task Breakdown'!R157</f>
        <v>0</v>
      </c>
      <c r="O31" s="29" t="n">
        <f aca="false">'Task Breakdown'!S157</f>
        <v>0</v>
      </c>
      <c r="P31" s="29" t="n">
        <f aca="false">'Task Breakdown'!T157</f>
        <v>0</v>
      </c>
      <c r="Q31" s="30" t="n">
        <f aca="false">SUM(E31:P31)</f>
        <v>86</v>
      </c>
      <c r="R31" s="31" t="n">
        <f aca="false">IF($Q$230&gt;0,Q31/$Q$230,0)</f>
        <v>0.00979387313517823</v>
      </c>
    </row>
    <row r="32" customFormat="false" ht="23.85" hidden="false" customHeight="false" outlineLevel="0" collapsed="false">
      <c r="A32" s="26" t="str">
        <f aca="false">'Task Breakdown'!A158</f>
        <v>PS-3.03.03</v>
      </c>
      <c r="B32" s="27" t="str">
        <f aca="false">'Task Breakdown'!G158</f>
        <v>Build MCP servers: SAP S/4HANA, SharePoint, AVEVA PI, FactoryTalk MES, Coupa, Azure SQL</v>
      </c>
      <c r="C32" s="28"/>
      <c r="D32" s="28"/>
      <c r="E32" s="29" t="n">
        <f aca="false">'Task Breakdown'!I158</f>
        <v>0</v>
      </c>
      <c r="F32" s="29" t="n">
        <f aca="false">'Task Breakdown'!J158</f>
        <v>0</v>
      </c>
      <c r="G32" s="29" t="n">
        <f aca="false">'Task Breakdown'!K158</f>
        <v>0</v>
      </c>
      <c r="H32" s="29" t="n">
        <f aca="false">'Task Breakdown'!L158</f>
        <v>0</v>
      </c>
      <c r="I32" s="29" t="n">
        <f aca="false">'Task Breakdown'!M158</f>
        <v>0</v>
      </c>
      <c r="J32" s="29" t="n">
        <f aca="false">'Task Breakdown'!N158</f>
        <v>100</v>
      </c>
      <c r="K32" s="29" t="n">
        <f aca="false">'Task Breakdown'!O158</f>
        <v>0</v>
      </c>
      <c r="L32" s="29" t="n">
        <f aca="false">'Task Breakdown'!P158</f>
        <v>0</v>
      </c>
      <c r="M32" s="29" t="n">
        <f aca="false">'Task Breakdown'!Q158</f>
        <v>0</v>
      </c>
      <c r="N32" s="29" t="n">
        <f aca="false">'Task Breakdown'!R158</f>
        <v>0</v>
      </c>
      <c r="O32" s="29" t="n">
        <f aca="false">'Task Breakdown'!S158</f>
        <v>0</v>
      </c>
      <c r="P32" s="29" t="n">
        <f aca="false">'Task Breakdown'!T158</f>
        <v>0</v>
      </c>
      <c r="Q32" s="30" t="n">
        <f aca="false">SUM(E32:P32)</f>
        <v>100</v>
      </c>
      <c r="R32" s="31" t="n">
        <f aca="false">IF($Q$230&gt;0,Q32/$Q$230,0)</f>
        <v>0.0113882245757886</v>
      </c>
    </row>
    <row r="33" customFormat="false" ht="15" hidden="false" customHeight="false" outlineLevel="0" collapsed="false">
      <c r="A33" s="26" t="str">
        <f aca="false">'Task Breakdown'!A159</f>
        <v>PS-3.03.04</v>
      </c>
      <c r="B33" s="27" t="str">
        <f aca="false">'Task Breakdown'!G159</f>
        <v>Implement per-tool permissions and on-behalf-of authentication</v>
      </c>
      <c r="C33" s="28"/>
      <c r="D33" s="28"/>
      <c r="E33" s="29" t="n">
        <f aca="false">'Task Breakdown'!I159</f>
        <v>0</v>
      </c>
      <c r="F33" s="29" t="n">
        <f aca="false">'Task Breakdown'!J159</f>
        <v>0</v>
      </c>
      <c r="G33" s="29" t="n">
        <f aca="false">'Task Breakdown'!K159</f>
        <v>0</v>
      </c>
      <c r="H33" s="29" t="n">
        <f aca="false">'Task Breakdown'!L159</f>
        <v>43</v>
      </c>
      <c r="I33" s="29" t="n">
        <f aca="false">'Task Breakdown'!M159</f>
        <v>0</v>
      </c>
      <c r="J33" s="29" t="n">
        <f aca="false">'Task Breakdown'!N159</f>
        <v>14</v>
      </c>
      <c r="K33" s="29" t="n">
        <f aca="false">'Task Breakdown'!O159</f>
        <v>0</v>
      </c>
      <c r="L33" s="29" t="n">
        <f aca="false">'Task Breakdown'!P159</f>
        <v>0</v>
      </c>
      <c r="M33" s="29" t="n">
        <f aca="false">'Task Breakdown'!Q159</f>
        <v>0</v>
      </c>
      <c r="N33" s="29" t="n">
        <f aca="false">'Task Breakdown'!R159</f>
        <v>0</v>
      </c>
      <c r="O33" s="29" t="n">
        <f aca="false">'Task Breakdown'!S159</f>
        <v>0</v>
      </c>
      <c r="P33" s="29" t="n">
        <f aca="false">'Task Breakdown'!T159</f>
        <v>0</v>
      </c>
      <c r="Q33" s="30" t="n">
        <f aca="false">SUM(E33:P33)</f>
        <v>57</v>
      </c>
      <c r="R33" s="31" t="n">
        <f aca="false">IF($Q$230&gt;0,Q33/$Q$230,0)</f>
        <v>0.00649128800819952</v>
      </c>
    </row>
    <row r="34" customFormat="false" ht="15" hidden="false" customHeight="false" outlineLevel="0" collapsed="false">
      <c r="A34" s="26" t="str">
        <f aca="false">'Task Breakdown'!A160</f>
        <v>PS-3.03.05</v>
      </c>
      <c r="B34" s="27" t="str">
        <f aca="false">'Task Breakdown'!G160</f>
        <v>Register MCP servers behind APIM</v>
      </c>
      <c r="C34" s="28"/>
      <c r="D34" s="28"/>
      <c r="E34" s="29" t="n">
        <f aca="false">'Task Breakdown'!I160</f>
        <v>0</v>
      </c>
      <c r="F34" s="29" t="n">
        <f aca="false">'Task Breakdown'!J160</f>
        <v>0</v>
      </c>
      <c r="G34" s="29" t="n">
        <f aca="false">'Task Breakdown'!K160</f>
        <v>0</v>
      </c>
      <c r="H34" s="29" t="n">
        <f aca="false">'Task Breakdown'!L160</f>
        <v>0</v>
      </c>
      <c r="I34" s="29" t="n">
        <f aca="false">'Task Breakdown'!M160</f>
        <v>0</v>
      </c>
      <c r="J34" s="29" t="n">
        <f aca="false">'Task Breakdown'!N160</f>
        <v>14</v>
      </c>
      <c r="K34" s="29" t="n">
        <f aca="false">'Task Breakdown'!O160</f>
        <v>0</v>
      </c>
      <c r="L34" s="29" t="n">
        <f aca="false">'Task Breakdown'!P160</f>
        <v>0</v>
      </c>
      <c r="M34" s="29" t="n">
        <f aca="false">'Task Breakdown'!Q160</f>
        <v>14</v>
      </c>
      <c r="N34" s="29" t="n">
        <f aca="false">'Task Breakdown'!R160</f>
        <v>0</v>
      </c>
      <c r="O34" s="29" t="n">
        <f aca="false">'Task Breakdown'!S160</f>
        <v>0</v>
      </c>
      <c r="P34" s="29" t="n">
        <f aca="false">'Task Breakdown'!T160</f>
        <v>0</v>
      </c>
      <c r="Q34" s="30" t="n">
        <f aca="false">SUM(E34:P34)</f>
        <v>28</v>
      </c>
      <c r="R34" s="31" t="n">
        <f aca="false">IF($Q$230&gt;0,Q34/$Q$230,0)</f>
        <v>0.00318870288122082</v>
      </c>
    </row>
    <row r="35" customFormat="false" ht="15" hidden="false" customHeight="false" outlineLevel="0" collapsed="false">
      <c r="A35" s="26" t="str">
        <f aca="false">'Task Breakdown'!A161</f>
        <v>PS-3.03.06</v>
      </c>
      <c r="B35" s="27" t="str">
        <f aca="false">'Task Breakdown'!G161</f>
        <v>Threat-model tools (read vs write actions)</v>
      </c>
      <c r="C35" s="28"/>
      <c r="D35" s="28"/>
      <c r="E35" s="29" t="n">
        <f aca="false">'Task Breakdown'!I161</f>
        <v>0</v>
      </c>
      <c r="F35" s="29" t="n">
        <f aca="false">'Task Breakdown'!J161</f>
        <v>0</v>
      </c>
      <c r="G35" s="29" t="n">
        <f aca="false">'Task Breakdown'!K161</f>
        <v>0</v>
      </c>
      <c r="H35" s="29" t="n">
        <f aca="false">'Task Breakdown'!L161</f>
        <v>14</v>
      </c>
      <c r="I35" s="29" t="n">
        <f aca="false">'Task Breakdown'!M161</f>
        <v>29</v>
      </c>
      <c r="J35" s="29" t="n">
        <f aca="false">'Task Breakdown'!N161</f>
        <v>0</v>
      </c>
      <c r="K35" s="29" t="n">
        <f aca="false">'Task Breakdown'!O161</f>
        <v>0</v>
      </c>
      <c r="L35" s="29" t="n">
        <f aca="false">'Task Breakdown'!P161</f>
        <v>0</v>
      </c>
      <c r="M35" s="29" t="n">
        <f aca="false">'Task Breakdown'!Q161</f>
        <v>0</v>
      </c>
      <c r="N35" s="29" t="n">
        <f aca="false">'Task Breakdown'!R161</f>
        <v>0</v>
      </c>
      <c r="O35" s="29" t="n">
        <f aca="false">'Task Breakdown'!S161</f>
        <v>0</v>
      </c>
      <c r="P35" s="29" t="n">
        <f aca="false">'Task Breakdown'!T161</f>
        <v>0</v>
      </c>
      <c r="Q35" s="30" t="n">
        <f aca="false">SUM(E35:P35)</f>
        <v>43</v>
      </c>
      <c r="R35" s="31" t="n">
        <f aca="false">IF($Q$230&gt;0,Q35/$Q$230,0)</f>
        <v>0.00489693656758911</v>
      </c>
    </row>
    <row r="36" customFormat="false" ht="15" hidden="false" customHeight="false" outlineLevel="0" collapsed="false">
      <c r="A36" s="26" t="str">
        <f aca="false">'Task Breakdown'!A162</f>
        <v>PS-3.03.07</v>
      </c>
      <c r="B36" s="27" t="str">
        <f aca="false">'Task Breakdown'!G162</f>
        <v>Contract and permission testing</v>
      </c>
      <c r="C36" s="28"/>
      <c r="D36" s="28"/>
      <c r="E36" s="29" t="n">
        <f aca="false">'Task Breakdown'!I162</f>
        <v>0</v>
      </c>
      <c r="F36" s="29" t="n">
        <f aca="false">'Task Breakdown'!J162</f>
        <v>0</v>
      </c>
      <c r="G36" s="29" t="n">
        <f aca="false">'Task Breakdown'!K162</f>
        <v>0</v>
      </c>
      <c r="H36" s="29" t="n">
        <f aca="false">'Task Breakdown'!L162</f>
        <v>0</v>
      </c>
      <c r="I36" s="29" t="n">
        <f aca="false">'Task Breakdown'!M162</f>
        <v>0</v>
      </c>
      <c r="J36" s="29" t="n">
        <f aca="false">'Task Breakdown'!N162</f>
        <v>0</v>
      </c>
      <c r="K36" s="29" t="n">
        <f aca="false">'Task Breakdown'!O162</f>
        <v>0</v>
      </c>
      <c r="L36" s="29" t="n">
        <f aca="false">'Task Breakdown'!P162</f>
        <v>0</v>
      </c>
      <c r="M36" s="29" t="n">
        <f aca="false">'Task Breakdown'!Q162</f>
        <v>0</v>
      </c>
      <c r="N36" s="29" t="n">
        <f aca="false">'Task Breakdown'!R162</f>
        <v>0</v>
      </c>
      <c r="O36" s="29" t="n">
        <f aca="false">'Task Breakdown'!S162</f>
        <v>57</v>
      </c>
      <c r="P36" s="29" t="n">
        <f aca="false">'Task Breakdown'!T162</f>
        <v>0</v>
      </c>
      <c r="Q36" s="30" t="n">
        <f aca="false">SUM(E36:P36)</f>
        <v>57</v>
      </c>
      <c r="R36" s="31" t="n">
        <f aca="false">IF($Q$230&gt;0,Q36/$Q$230,0)</f>
        <v>0.00649128800819952</v>
      </c>
    </row>
    <row r="37" customFormat="false" ht="15" hidden="false" customHeight="false" outlineLevel="0" collapsed="false">
      <c r="A37" s="26" t="str">
        <f aca="false">'Task Breakdown'!A163</f>
        <v>PS-3.03.08</v>
      </c>
      <c r="B37" s="27" t="str">
        <f aca="false">'Task Breakdown'!G163</f>
        <v>Detailed design and design review</v>
      </c>
      <c r="C37" s="28"/>
      <c r="D37" s="28"/>
      <c r="E37" s="29" t="n">
        <f aca="false">'Task Breakdown'!I163</f>
        <v>0</v>
      </c>
      <c r="F37" s="29" t="n">
        <f aca="false">'Task Breakdown'!J163</f>
        <v>0</v>
      </c>
      <c r="G37" s="29" t="n">
        <f aca="false">'Task Breakdown'!K163</f>
        <v>0</v>
      </c>
      <c r="H37" s="29" t="n">
        <f aca="false">'Task Breakdown'!L163</f>
        <v>0</v>
      </c>
      <c r="I37" s="29" t="n">
        <f aca="false">'Task Breakdown'!M163</f>
        <v>24</v>
      </c>
      <c r="J37" s="29" t="n">
        <f aca="false">'Task Breakdown'!N163</f>
        <v>0</v>
      </c>
      <c r="K37" s="29" t="n">
        <f aca="false">'Task Breakdown'!O163</f>
        <v>0</v>
      </c>
      <c r="L37" s="29" t="n">
        <f aca="false">'Task Breakdown'!P163</f>
        <v>0</v>
      </c>
      <c r="M37" s="29" t="n">
        <f aca="false">'Task Breakdown'!Q163</f>
        <v>0</v>
      </c>
      <c r="N37" s="29" t="n">
        <f aca="false">'Task Breakdown'!R163</f>
        <v>0</v>
      </c>
      <c r="O37" s="29" t="n">
        <f aca="false">'Task Breakdown'!S163</f>
        <v>0</v>
      </c>
      <c r="P37" s="29" t="n">
        <f aca="false">'Task Breakdown'!T163</f>
        <v>0</v>
      </c>
      <c r="Q37" s="30" t="n">
        <f aca="false">SUM(E37:P37)</f>
        <v>24</v>
      </c>
      <c r="R37" s="31" t="n">
        <f aca="false">IF($Q$230&gt;0,Q37/$Q$230,0)</f>
        <v>0.00273317389818927</v>
      </c>
    </row>
    <row r="38" customFormat="false" ht="15" hidden="false" customHeight="false" outlineLevel="0" collapsed="false">
      <c r="A38" s="26" t="str">
        <f aca="false">'Task Breakdown'!A164</f>
        <v>PS-3.03.09</v>
      </c>
      <c r="B38" s="27" t="str">
        <f aca="false">'Task Breakdown'!G164</f>
        <v>Promote through dev / test / prod and release</v>
      </c>
      <c r="C38" s="28"/>
      <c r="D38" s="28"/>
      <c r="E38" s="29" t="n">
        <f aca="false">'Task Breakdown'!I164</f>
        <v>0</v>
      </c>
      <c r="F38" s="29" t="n">
        <f aca="false">'Task Breakdown'!J164</f>
        <v>0</v>
      </c>
      <c r="G38" s="29" t="n">
        <f aca="false">'Task Breakdown'!K164</f>
        <v>16</v>
      </c>
      <c r="H38" s="29" t="n">
        <f aca="false">'Task Breakdown'!L164</f>
        <v>0</v>
      </c>
      <c r="I38" s="29" t="n">
        <f aca="false">'Task Breakdown'!M164</f>
        <v>0</v>
      </c>
      <c r="J38" s="29" t="n">
        <f aca="false">'Task Breakdown'!N164</f>
        <v>0</v>
      </c>
      <c r="K38" s="29" t="n">
        <f aca="false">'Task Breakdown'!O164</f>
        <v>0</v>
      </c>
      <c r="L38" s="29" t="n">
        <f aca="false">'Task Breakdown'!P164</f>
        <v>0</v>
      </c>
      <c r="M38" s="29" t="n">
        <f aca="false">'Task Breakdown'!Q164</f>
        <v>0</v>
      </c>
      <c r="N38" s="29" t="n">
        <f aca="false">'Task Breakdown'!R164</f>
        <v>0</v>
      </c>
      <c r="O38" s="29" t="n">
        <f aca="false">'Task Breakdown'!S164</f>
        <v>0</v>
      </c>
      <c r="P38" s="29" t="n">
        <f aca="false">'Task Breakdown'!T164</f>
        <v>0</v>
      </c>
      <c r="Q38" s="30" t="n">
        <f aca="false">SUM(E38:P38)</f>
        <v>16</v>
      </c>
      <c r="R38" s="31" t="n">
        <f aca="false">IF($Q$230&gt;0,Q38/$Q$230,0)</f>
        <v>0.00182211593212618</v>
      </c>
    </row>
    <row r="39" customFormat="false" ht="15" hidden="false" customHeight="false" outlineLevel="0" collapsed="false">
      <c r="A39" s="26" t="str">
        <f aca="false">'Task Breakdown'!A165</f>
        <v>PS-3.03.10</v>
      </c>
      <c r="B39" s="27" t="str">
        <f aca="false">'Task Breakdown'!G165</f>
        <v>Documentation, runbook and knowledge transfer</v>
      </c>
      <c r="C39" s="28"/>
      <c r="D39" s="28"/>
      <c r="E39" s="29" t="n">
        <f aca="false">'Task Breakdown'!I165</f>
        <v>0</v>
      </c>
      <c r="F39" s="29" t="n">
        <f aca="false">'Task Breakdown'!J165</f>
        <v>0</v>
      </c>
      <c r="G39" s="29" t="n">
        <f aca="false">'Task Breakdown'!K165</f>
        <v>0</v>
      </c>
      <c r="H39" s="29" t="n">
        <f aca="false">'Task Breakdown'!L165</f>
        <v>0</v>
      </c>
      <c r="I39" s="29" t="n">
        <f aca="false">'Task Breakdown'!M165</f>
        <v>0</v>
      </c>
      <c r="J39" s="29" t="n">
        <f aca="false">'Task Breakdown'!N165</f>
        <v>16</v>
      </c>
      <c r="K39" s="29" t="n">
        <f aca="false">'Task Breakdown'!O165</f>
        <v>0</v>
      </c>
      <c r="L39" s="29" t="n">
        <f aca="false">'Task Breakdown'!P165</f>
        <v>0</v>
      </c>
      <c r="M39" s="29" t="n">
        <f aca="false">'Task Breakdown'!Q165</f>
        <v>0</v>
      </c>
      <c r="N39" s="29" t="n">
        <f aca="false">'Task Breakdown'!R165</f>
        <v>0</v>
      </c>
      <c r="O39" s="29" t="n">
        <f aca="false">'Task Breakdown'!S165</f>
        <v>0</v>
      </c>
      <c r="P39" s="29" t="n">
        <f aca="false">'Task Breakdown'!T165</f>
        <v>0</v>
      </c>
      <c r="Q39" s="30" t="n">
        <f aca="false">SUM(E39:P39)</f>
        <v>16</v>
      </c>
      <c r="R39" s="31" t="n">
        <f aca="false">IF($Q$230&gt;0,Q39/$Q$230,0)</f>
        <v>0.00182211593212618</v>
      </c>
    </row>
    <row r="40" customFormat="false" ht="15" hidden="false" customHeight="false" outlineLevel="0" collapsed="false">
      <c r="A40" s="26" t="str">
        <f aca="false">'Task Breakdown'!A166</f>
        <v>PS-3.03.11</v>
      </c>
      <c r="B40" s="27" t="str">
        <f aca="false">'Task Breakdown'!G166</f>
        <v>Defect fixing and rework after testing</v>
      </c>
      <c r="C40" s="28"/>
      <c r="D40" s="28"/>
      <c r="E40" s="29" t="n">
        <f aca="false">'Task Breakdown'!I166</f>
        <v>0</v>
      </c>
      <c r="F40" s="29" t="n">
        <f aca="false">'Task Breakdown'!J166</f>
        <v>0</v>
      </c>
      <c r="G40" s="29" t="n">
        <f aca="false">'Task Breakdown'!K166</f>
        <v>0</v>
      </c>
      <c r="H40" s="29" t="n">
        <f aca="false">'Task Breakdown'!L166</f>
        <v>0</v>
      </c>
      <c r="I40" s="29" t="n">
        <f aca="false">'Task Breakdown'!M166</f>
        <v>0</v>
      </c>
      <c r="J40" s="29" t="n">
        <f aca="false">'Task Breakdown'!N166</f>
        <v>32</v>
      </c>
      <c r="K40" s="29" t="n">
        <f aca="false">'Task Breakdown'!O166</f>
        <v>0</v>
      </c>
      <c r="L40" s="29" t="n">
        <f aca="false">'Task Breakdown'!P166</f>
        <v>0</v>
      </c>
      <c r="M40" s="29" t="n">
        <f aca="false">'Task Breakdown'!Q166</f>
        <v>0</v>
      </c>
      <c r="N40" s="29" t="n">
        <f aca="false">'Task Breakdown'!R166</f>
        <v>0</v>
      </c>
      <c r="O40" s="29" t="n">
        <f aca="false">'Task Breakdown'!S166</f>
        <v>0</v>
      </c>
      <c r="P40" s="29" t="n">
        <f aca="false">'Task Breakdown'!T166</f>
        <v>0</v>
      </c>
      <c r="Q40" s="30" t="n">
        <f aca="false">SUM(E40:P40)</f>
        <v>32</v>
      </c>
      <c r="R40" s="31" t="n">
        <f aca="false">IF($Q$230&gt;0,Q40/$Q$230,0)</f>
        <v>0.00364423186425236</v>
      </c>
    </row>
    <row r="41" customFormat="false" ht="23.85" hidden="false" customHeight="false" outlineLevel="0" collapsed="false">
      <c r="A41" s="23" t="s">
        <v>242</v>
      </c>
      <c r="B41" s="23" t="s">
        <v>243</v>
      </c>
      <c r="C41" s="23" t="s">
        <v>43</v>
      </c>
      <c r="D41" s="23" t="s">
        <v>244</v>
      </c>
      <c r="E41" s="24" t="n">
        <f aca="false">SUM(E42:E52)</f>
        <v>0</v>
      </c>
      <c r="F41" s="24" t="n">
        <f aca="false">SUM(F42:F52)</f>
        <v>0</v>
      </c>
      <c r="G41" s="24" t="n">
        <f aca="false">SUM(G42:G52)</f>
        <v>13</v>
      </c>
      <c r="H41" s="24" t="n">
        <f aca="false">SUM(H42:H52)</f>
        <v>0</v>
      </c>
      <c r="I41" s="24" t="n">
        <f aca="false">SUM(I42:I52)</f>
        <v>19</v>
      </c>
      <c r="J41" s="24" t="n">
        <f aca="false">SUM(J42:J52)</f>
        <v>73</v>
      </c>
      <c r="K41" s="24" t="n">
        <f aca="false">SUM(K42:K52)</f>
        <v>0</v>
      </c>
      <c r="L41" s="24" t="n">
        <f aca="false">SUM(L42:L52)</f>
        <v>0</v>
      </c>
      <c r="M41" s="24" t="n">
        <f aca="false">SUM(M42:M52)</f>
        <v>185</v>
      </c>
      <c r="N41" s="24" t="n">
        <f aca="false">SUM(N42:N52)</f>
        <v>49</v>
      </c>
      <c r="O41" s="24" t="n">
        <f aca="false">SUM(O42:O52)</f>
        <v>49</v>
      </c>
      <c r="P41" s="24" t="n">
        <f aca="false">SUM(P42:P52)</f>
        <v>0</v>
      </c>
      <c r="Q41" s="24" t="n">
        <f aca="false">SUM(Q42:Q52)</f>
        <v>388</v>
      </c>
      <c r="R41" s="25" t="n">
        <f aca="false">IF($Q$230&gt;0,Q41/$Q$230,0)</f>
        <v>0.0441863113540599</v>
      </c>
    </row>
    <row r="42" customFormat="false" ht="15" hidden="false" customHeight="false" outlineLevel="0" collapsed="false">
      <c r="A42" s="26" t="str">
        <f aca="false">'Task Breakdown'!A167</f>
        <v>PS-3.04.01</v>
      </c>
      <c r="B42" s="27" t="str">
        <f aca="false">'Task Breakdown'!G167</f>
        <v>Define approval points and escalation rules with the business</v>
      </c>
      <c r="C42" s="28"/>
      <c r="D42" s="28"/>
      <c r="E42" s="29" t="n">
        <f aca="false">'Task Breakdown'!I167</f>
        <v>0</v>
      </c>
      <c r="F42" s="29" t="n">
        <f aca="false">'Task Breakdown'!J167</f>
        <v>0</v>
      </c>
      <c r="G42" s="29" t="n">
        <f aca="false">'Task Breakdown'!K167</f>
        <v>0</v>
      </c>
      <c r="H42" s="29" t="n">
        <f aca="false">'Task Breakdown'!L167</f>
        <v>0</v>
      </c>
      <c r="I42" s="29" t="n">
        <f aca="false">'Task Breakdown'!M167</f>
        <v>0</v>
      </c>
      <c r="J42" s="29" t="n">
        <f aca="false">'Task Breakdown'!N167</f>
        <v>0</v>
      </c>
      <c r="K42" s="29" t="n">
        <f aca="false">'Task Breakdown'!O167</f>
        <v>0</v>
      </c>
      <c r="L42" s="29" t="n">
        <f aca="false">'Task Breakdown'!P167</f>
        <v>0</v>
      </c>
      <c r="M42" s="29" t="n">
        <f aca="false">'Task Breakdown'!Q167</f>
        <v>0</v>
      </c>
      <c r="N42" s="29" t="n">
        <f aca="false">'Task Breakdown'!R167</f>
        <v>37</v>
      </c>
      <c r="O42" s="29" t="n">
        <f aca="false">'Task Breakdown'!S167</f>
        <v>0</v>
      </c>
      <c r="P42" s="29" t="n">
        <f aca="false">'Task Breakdown'!T167</f>
        <v>0</v>
      </c>
      <c r="Q42" s="30" t="n">
        <f aca="false">SUM(E42:P42)</f>
        <v>37</v>
      </c>
      <c r="R42" s="31" t="n">
        <f aca="false">IF($Q$230&gt;0,Q42/$Q$230,0)</f>
        <v>0.0042136430930418</v>
      </c>
    </row>
    <row r="43" customFormat="false" ht="15" hidden="false" customHeight="false" outlineLevel="0" collapsed="false">
      <c r="A43" s="26" t="str">
        <f aca="false">'Task Breakdown'!A168</f>
        <v>PS-3.04.02</v>
      </c>
      <c r="B43" s="27" t="str">
        <f aca="false">'Task Breakdown'!G168</f>
        <v>Build approval request UI (Teams adaptive cards and web)</v>
      </c>
      <c r="C43" s="28"/>
      <c r="D43" s="28"/>
      <c r="E43" s="29" t="n">
        <f aca="false">'Task Breakdown'!I168</f>
        <v>0</v>
      </c>
      <c r="F43" s="29" t="n">
        <f aca="false">'Task Breakdown'!J168</f>
        <v>0</v>
      </c>
      <c r="G43" s="29" t="n">
        <f aca="false">'Task Breakdown'!K168</f>
        <v>0</v>
      </c>
      <c r="H43" s="29" t="n">
        <f aca="false">'Task Breakdown'!L168</f>
        <v>0</v>
      </c>
      <c r="I43" s="29" t="n">
        <f aca="false">'Task Breakdown'!M168</f>
        <v>0</v>
      </c>
      <c r="J43" s="29" t="n">
        <f aca="false">'Task Breakdown'!N168</f>
        <v>0</v>
      </c>
      <c r="K43" s="29" t="n">
        <f aca="false">'Task Breakdown'!O168</f>
        <v>0</v>
      </c>
      <c r="L43" s="29" t="n">
        <f aca="false">'Task Breakdown'!P168</f>
        <v>0</v>
      </c>
      <c r="M43" s="29" t="n">
        <f aca="false">'Task Breakdown'!Q168</f>
        <v>73</v>
      </c>
      <c r="N43" s="29" t="n">
        <f aca="false">'Task Breakdown'!R168</f>
        <v>0</v>
      </c>
      <c r="O43" s="29" t="n">
        <f aca="false">'Task Breakdown'!S168</f>
        <v>0</v>
      </c>
      <c r="P43" s="29" t="n">
        <f aca="false">'Task Breakdown'!T168</f>
        <v>0</v>
      </c>
      <c r="Q43" s="30" t="n">
        <f aca="false">SUM(E43:P43)</f>
        <v>73</v>
      </c>
      <c r="R43" s="31" t="n">
        <f aca="false">IF($Q$230&gt;0,Q43/$Q$230,0)</f>
        <v>0.0083134039403257</v>
      </c>
    </row>
    <row r="44" customFormat="false" ht="15" hidden="false" customHeight="false" outlineLevel="0" collapsed="false">
      <c r="A44" s="26" t="str">
        <f aca="false">'Task Breakdown'!A169</f>
        <v>PS-3.04.03</v>
      </c>
      <c r="B44" s="27" t="str">
        <f aca="false">'Task Breakdown'!G169</f>
        <v>Implement pause / resume in the orchestrator</v>
      </c>
      <c r="C44" s="28"/>
      <c r="D44" s="28"/>
      <c r="E44" s="29" t="n">
        <f aca="false">'Task Breakdown'!I169</f>
        <v>0</v>
      </c>
      <c r="F44" s="29" t="n">
        <f aca="false">'Task Breakdown'!J169</f>
        <v>0</v>
      </c>
      <c r="G44" s="29" t="n">
        <f aca="false">'Task Breakdown'!K169</f>
        <v>0</v>
      </c>
      <c r="H44" s="29" t="n">
        <f aca="false">'Task Breakdown'!L169</f>
        <v>0</v>
      </c>
      <c r="I44" s="29" t="n">
        <f aca="false">'Task Breakdown'!M169</f>
        <v>0</v>
      </c>
      <c r="J44" s="29" t="n">
        <f aca="false">'Task Breakdown'!N169</f>
        <v>49</v>
      </c>
      <c r="K44" s="29" t="n">
        <f aca="false">'Task Breakdown'!O169</f>
        <v>0</v>
      </c>
      <c r="L44" s="29" t="n">
        <f aca="false">'Task Breakdown'!P169</f>
        <v>0</v>
      </c>
      <c r="M44" s="29" t="n">
        <f aca="false">'Task Breakdown'!Q169</f>
        <v>0</v>
      </c>
      <c r="N44" s="29" t="n">
        <f aca="false">'Task Breakdown'!R169</f>
        <v>0</v>
      </c>
      <c r="O44" s="29" t="n">
        <f aca="false">'Task Breakdown'!S169</f>
        <v>0</v>
      </c>
      <c r="P44" s="29" t="n">
        <f aca="false">'Task Breakdown'!T169</f>
        <v>0</v>
      </c>
      <c r="Q44" s="30" t="n">
        <f aca="false">SUM(E44:P44)</f>
        <v>49</v>
      </c>
      <c r="R44" s="31" t="n">
        <f aca="false">IF($Q$230&gt;0,Q44/$Q$230,0)</f>
        <v>0.00558023004213643</v>
      </c>
    </row>
    <row r="45" customFormat="false" ht="15" hidden="false" customHeight="false" outlineLevel="0" collapsed="false">
      <c r="A45" s="26" t="str">
        <f aca="false">'Task Breakdown'!A170</f>
        <v>PS-3.04.04</v>
      </c>
      <c r="B45" s="27" t="str">
        <f aca="false">'Task Breakdown'!G170</f>
        <v>Build edit-and-feedback capture</v>
      </c>
      <c r="C45" s="28"/>
      <c r="D45" s="28"/>
      <c r="E45" s="29" t="n">
        <f aca="false">'Task Breakdown'!I170</f>
        <v>0</v>
      </c>
      <c r="F45" s="29" t="n">
        <f aca="false">'Task Breakdown'!J170</f>
        <v>0</v>
      </c>
      <c r="G45" s="29" t="n">
        <f aca="false">'Task Breakdown'!K170</f>
        <v>0</v>
      </c>
      <c r="H45" s="29" t="n">
        <f aca="false">'Task Breakdown'!L170</f>
        <v>0</v>
      </c>
      <c r="I45" s="29" t="n">
        <f aca="false">'Task Breakdown'!M170</f>
        <v>0</v>
      </c>
      <c r="J45" s="29" t="n">
        <f aca="false">'Task Breakdown'!N170</f>
        <v>12</v>
      </c>
      <c r="K45" s="29" t="n">
        <f aca="false">'Task Breakdown'!O170</f>
        <v>0</v>
      </c>
      <c r="L45" s="29" t="n">
        <f aca="false">'Task Breakdown'!P170</f>
        <v>0</v>
      </c>
      <c r="M45" s="29" t="n">
        <f aca="false">'Task Breakdown'!Q170</f>
        <v>37</v>
      </c>
      <c r="N45" s="29" t="n">
        <f aca="false">'Task Breakdown'!R170</f>
        <v>0</v>
      </c>
      <c r="O45" s="29" t="n">
        <f aca="false">'Task Breakdown'!S170</f>
        <v>0</v>
      </c>
      <c r="P45" s="29" t="n">
        <f aca="false">'Task Breakdown'!T170</f>
        <v>0</v>
      </c>
      <c r="Q45" s="30" t="n">
        <f aca="false">SUM(E45:P45)</f>
        <v>49</v>
      </c>
      <c r="R45" s="31" t="n">
        <f aca="false">IF($Q$230&gt;0,Q45/$Q$230,0)</f>
        <v>0.00558023004213643</v>
      </c>
    </row>
    <row r="46" customFormat="false" ht="15" hidden="false" customHeight="false" outlineLevel="0" collapsed="false">
      <c r="A46" s="26" t="str">
        <f aca="false">'Task Breakdown'!A171</f>
        <v>PS-3.04.05</v>
      </c>
      <c r="B46" s="27" t="str">
        <f aca="false">'Task Breakdown'!G171</f>
        <v>Build escalation and SLA timers</v>
      </c>
      <c r="C46" s="28"/>
      <c r="D46" s="28"/>
      <c r="E46" s="29" t="n">
        <f aca="false">'Task Breakdown'!I171</f>
        <v>0</v>
      </c>
      <c r="F46" s="29" t="n">
        <f aca="false">'Task Breakdown'!J171</f>
        <v>0</v>
      </c>
      <c r="G46" s="29" t="n">
        <f aca="false">'Task Breakdown'!K171</f>
        <v>0</v>
      </c>
      <c r="H46" s="29" t="n">
        <f aca="false">'Task Breakdown'!L171</f>
        <v>0</v>
      </c>
      <c r="I46" s="29" t="n">
        <f aca="false">'Task Breakdown'!M171</f>
        <v>0</v>
      </c>
      <c r="J46" s="29" t="n">
        <f aca="false">'Task Breakdown'!N171</f>
        <v>12</v>
      </c>
      <c r="K46" s="29" t="n">
        <f aca="false">'Task Breakdown'!O171</f>
        <v>0</v>
      </c>
      <c r="L46" s="29" t="n">
        <f aca="false">'Task Breakdown'!P171</f>
        <v>0</v>
      </c>
      <c r="M46" s="29" t="n">
        <f aca="false">'Task Breakdown'!Q171</f>
        <v>37</v>
      </c>
      <c r="N46" s="29" t="n">
        <f aca="false">'Task Breakdown'!R171</f>
        <v>0</v>
      </c>
      <c r="O46" s="29" t="n">
        <f aca="false">'Task Breakdown'!S171</f>
        <v>0</v>
      </c>
      <c r="P46" s="29" t="n">
        <f aca="false">'Task Breakdown'!T171</f>
        <v>0</v>
      </c>
      <c r="Q46" s="30" t="n">
        <f aca="false">SUM(E46:P46)</f>
        <v>49</v>
      </c>
      <c r="R46" s="31" t="n">
        <f aca="false">IF($Q$230&gt;0,Q46/$Q$230,0)</f>
        <v>0.00558023004213643</v>
      </c>
    </row>
    <row r="47" customFormat="false" ht="15" hidden="false" customHeight="false" outlineLevel="0" collapsed="false">
      <c r="A47" s="26" t="str">
        <f aca="false">'Task Breakdown'!A172</f>
        <v>PS-3.04.06</v>
      </c>
      <c r="B47" s="27" t="str">
        <f aca="false">'Task Breakdown'!G172</f>
        <v>Define audit trail of decisions</v>
      </c>
      <c r="C47" s="28"/>
      <c r="D47" s="28"/>
      <c r="E47" s="29" t="n">
        <f aca="false">'Task Breakdown'!I172</f>
        <v>0</v>
      </c>
      <c r="F47" s="29" t="n">
        <f aca="false">'Task Breakdown'!J172</f>
        <v>0</v>
      </c>
      <c r="G47" s="29" t="n">
        <f aca="false">'Task Breakdown'!K172</f>
        <v>0</v>
      </c>
      <c r="H47" s="29" t="n">
        <f aca="false">'Task Breakdown'!L172</f>
        <v>0</v>
      </c>
      <c r="I47" s="29" t="n">
        <f aca="false">'Task Breakdown'!M172</f>
        <v>0</v>
      </c>
      <c r="J47" s="29" t="n">
        <f aca="false">'Task Breakdown'!N172</f>
        <v>0</v>
      </c>
      <c r="K47" s="29" t="n">
        <f aca="false">'Task Breakdown'!O172</f>
        <v>0</v>
      </c>
      <c r="L47" s="29" t="n">
        <f aca="false">'Task Breakdown'!P172</f>
        <v>0</v>
      </c>
      <c r="M47" s="29" t="n">
        <f aca="false">'Task Breakdown'!Q172</f>
        <v>0</v>
      </c>
      <c r="N47" s="29" t="n">
        <f aca="false">'Task Breakdown'!R172</f>
        <v>12</v>
      </c>
      <c r="O47" s="29" t="n">
        <f aca="false">'Task Breakdown'!S172</f>
        <v>0</v>
      </c>
      <c r="P47" s="29" t="n">
        <f aca="false">'Task Breakdown'!T172</f>
        <v>0</v>
      </c>
      <c r="Q47" s="30" t="n">
        <f aca="false">SUM(E47:P47)</f>
        <v>12</v>
      </c>
      <c r="R47" s="31" t="n">
        <f aca="false">IF($Q$230&gt;0,Q47/$Q$230,0)</f>
        <v>0.00136658694909464</v>
      </c>
    </row>
    <row r="48" customFormat="false" ht="15" hidden="false" customHeight="false" outlineLevel="0" collapsed="false">
      <c r="A48" s="26" t="str">
        <f aca="false">'Task Breakdown'!A173</f>
        <v>PS-3.04.07</v>
      </c>
      <c r="B48" s="27" t="str">
        <f aca="false">'Task Breakdown'!G173</f>
        <v>Test approval and timeout scenarios</v>
      </c>
      <c r="C48" s="28"/>
      <c r="D48" s="28"/>
      <c r="E48" s="29" t="n">
        <f aca="false">'Task Breakdown'!I173</f>
        <v>0</v>
      </c>
      <c r="F48" s="29" t="n">
        <f aca="false">'Task Breakdown'!J173</f>
        <v>0</v>
      </c>
      <c r="G48" s="29" t="n">
        <f aca="false">'Task Breakdown'!K173</f>
        <v>0</v>
      </c>
      <c r="H48" s="29" t="n">
        <f aca="false">'Task Breakdown'!L173</f>
        <v>0</v>
      </c>
      <c r="I48" s="29" t="n">
        <f aca="false">'Task Breakdown'!M173</f>
        <v>0</v>
      </c>
      <c r="J48" s="29" t="n">
        <f aca="false">'Task Breakdown'!N173</f>
        <v>0</v>
      </c>
      <c r="K48" s="29" t="n">
        <f aca="false">'Task Breakdown'!O173</f>
        <v>0</v>
      </c>
      <c r="L48" s="29" t="n">
        <f aca="false">'Task Breakdown'!P173</f>
        <v>0</v>
      </c>
      <c r="M48" s="29" t="n">
        <f aca="false">'Task Breakdown'!Q173</f>
        <v>0</v>
      </c>
      <c r="N48" s="29" t="n">
        <f aca="false">'Task Breakdown'!R173</f>
        <v>0</v>
      </c>
      <c r="O48" s="29" t="n">
        <f aca="false">'Task Breakdown'!S173</f>
        <v>49</v>
      </c>
      <c r="P48" s="29" t="n">
        <f aca="false">'Task Breakdown'!T173</f>
        <v>0</v>
      </c>
      <c r="Q48" s="30" t="n">
        <f aca="false">SUM(E48:P48)</f>
        <v>49</v>
      </c>
      <c r="R48" s="31" t="n">
        <f aca="false">IF($Q$230&gt;0,Q48/$Q$230,0)</f>
        <v>0.00558023004213643</v>
      </c>
    </row>
    <row r="49" customFormat="false" ht="15" hidden="false" customHeight="false" outlineLevel="0" collapsed="false">
      <c r="A49" s="26" t="str">
        <f aca="false">'Task Breakdown'!A174</f>
        <v>PS-3.04.08</v>
      </c>
      <c r="B49" s="27" t="str">
        <f aca="false">'Task Breakdown'!G174</f>
        <v>Detailed design and design review</v>
      </c>
      <c r="C49" s="28"/>
      <c r="D49" s="28"/>
      <c r="E49" s="29" t="n">
        <f aca="false">'Task Breakdown'!I174</f>
        <v>0</v>
      </c>
      <c r="F49" s="29" t="n">
        <f aca="false">'Task Breakdown'!J174</f>
        <v>0</v>
      </c>
      <c r="G49" s="29" t="n">
        <f aca="false">'Task Breakdown'!K174</f>
        <v>0</v>
      </c>
      <c r="H49" s="29" t="n">
        <f aca="false">'Task Breakdown'!L174</f>
        <v>0</v>
      </c>
      <c r="I49" s="29" t="n">
        <f aca="false">'Task Breakdown'!M174</f>
        <v>19</v>
      </c>
      <c r="J49" s="29" t="n">
        <f aca="false">'Task Breakdown'!N174</f>
        <v>0</v>
      </c>
      <c r="K49" s="29" t="n">
        <f aca="false">'Task Breakdown'!O174</f>
        <v>0</v>
      </c>
      <c r="L49" s="29" t="n">
        <f aca="false">'Task Breakdown'!P174</f>
        <v>0</v>
      </c>
      <c r="M49" s="29" t="n">
        <f aca="false">'Task Breakdown'!Q174</f>
        <v>0</v>
      </c>
      <c r="N49" s="29" t="n">
        <f aca="false">'Task Breakdown'!R174</f>
        <v>0</v>
      </c>
      <c r="O49" s="29" t="n">
        <f aca="false">'Task Breakdown'!S174</f>
        <v>0</v>
      </c>
      <c r="P49" s="29" t="n">
        <f aca="false">'Task Breakdown'!T174</f>
        <v>0</v>
      </c>
      <c r="Q49" s="30" t="n">
        <f aca="false">SUM(E49:P49)</f>
        <v>19</v>
      </c>
      <c r="R49" s="31" t="n">
        <f aca="false">IF($Q$230&gt;0,Q49/$Q$230,0)</f>
        <v>0.00216376266939984</v>
      </c>
    </row>
    <row r="50" customFormat="false" ht="15" hidden="false" customHeight="false" outlineLevel="0" collapsed="false">
      <c r="A50" s="26" t="str">
        <f aca="false">'Task Breakdown'!A175</f>
        <v>PS-3.04.09</v>
      </c>
      <c r="B50" s="27" t="str">
        <f aca="false">'Task Breakdown'!G175</f>
        <v>Promote through dev / test / prod and release</v>
      </c>
      <c r="C50" s="28"/>
      <c r="D50" s="28"/>
      <c r="E50" s="29" t="n">
        <f aca="false">'Task Breakdown'!I175</f>
        <v>0</v>
      </c>
      <c r="F50" s="29" t="n">
        <f aca="false">'Task Breakdown'!J175</f>
        <v>0</v>
      </c>
      <c r="G50" s="29" t="n">
        <f aca="false">'Task Breakdown'!K175</f>
        <v>13</v>
      </c>
      <c r="H50" s="29" t="n">
        <f aca="false">'Task Breakdown'!L175</f>
        <v>0</v>
      </c>
      <c r="I50" s="29" t="n">
        <f aca="false">'Task Breakdown'!M175</f>
        <v>0</v>
      </c>
      <c r="J50" s="29" t="n">
        <f aca="false">'Task Breakdown'!N175</f>
        <v>0</v>
      </c>
      <c r="K50" s="29" t="n">
        <f aca="false">'Task Breakdown'!O175</f>
        <v>0</v>
      </c>
      <c r="L50" s="29" t="n">
        <f aca="false">'Task Breakdown'!P175</f>
        <v>0</v>
      </c>
      <c r="M50" s="29" t="n">
        <f aca="false">'Task Breakdown'!Q175</f>
        <v>0</v>
      </c>
      <c r="N50" s="29" t="n">
        <f aca="false">'Task Breakdown'!R175</f>
        <v>0</v>
      </c>
      <c r="O50" s="29" t="n">
        <f aca="false">'Task Breakdown'!S175</f>
        <v>0</v>
      </c>
      <c r="P50" s="29" t="n">
        <f aca="false">'Task Breakdown'!T175</f>
        <v>0</v>
      </c>
      <c r="Q50" s="30" t="n">
        <f aca="false">SUM(E50:P50)</f>
        <v>13</v>
      </c>
      <c r="R50" s="31" t="n">
        <f aca="false">IF($Q$230&gt;0,Q50/$Q$230,0)</f>
        <v>0.00148046919485252</v>
      </c>
    </row>
    <row r="51" customFormat="false" ht="15" hidden="false" customHeight="false" outlineLevel="0" collapsed="false">
      <c r="A51" s="26" t="str">
        <f aca="false">'Task Breakdown'!A176</f>
        <v>PS-3.04.10</v>
      </c>
      <c r="B51" s="27" t="str">
        <f aca="false">'Task Breakdown'!G176</f>
        <v>Documentation, runbook and knowledge transfer</v>
      </c>
      <c r="C51" s="28"/>
      <c r="D51" s="28"/>
      <c r="E51" s="29" t="n">
        <f aca="false">'Task Breakdown'!I176</f>
        <v>0</v>
      </c>
      <c r="F51" s="29" t="n">
        <f aca="false">'Task Breakdown'!J176</f>
        <v>0</v>
      </c>
      <c r="G51" s="29" t="n">
        <f aca="false">'Task Breakdown'!K176</f>
        <v>0</v>
      </c>
      <c r="H51" s="29" t="n">
        <f aca="false">'Task Breakdown'!L176</f>
        <v>0</v>
      </c>
      <c r="I51" s="29" t="n">
        <f aca="false">'Task Breakdown'!M176</f>
        <v>0</v>
      </c>
      <c r="J51" s="29" t="n">
        <f aca="false">'Task Breakdown'!N176</f>
        <v>0</v>
      </c>
      <c r="K51" s="29" t="n">
        <f aca="false">'Task Breakdown'!O176</f>
        <v>0</v>
      </c>
      <c r="L51" s="29" t="n">
        <f aca="false">'Task Breakdown'!P176</f>
        <v>0</v>
      </c>
      <c r="M51" s="29" t="n">
        <f aca="false">'Task Breakdown'!Q176</f>
        <v>13</v>
      </c>
      <c r="N51" s="29" t="n">
        <f aca="false">'Task Breakdown'!R176</f>
        <v>0</v>
      </c>
      <c r="O51" s="29" t="n">
        <f aca="false">'Task Breakdown'!S176</f>
        <v>0</v>
      </c>
      <c r="P51" s="29" t="n">
        <f aca="false">'Task Breakdown'!T176</f>
        <v>0</v>
      </c>
      <c r="Q51" s="30" t="n">
        <f aca="false">SUM(E51:P51)</f>
        <v>13</v>
      </c>
      <c r="R51" s="31" t="n">
        <f aca="false">IF($Q$230&gt;0,Q51/$Q$230,0)</f>
        <v>0.00148046919485252</v>
      </c>
    </row>
    <row r="52" customFormat="false" ht="15" hidden="false" customHeight="false" outlineLevel="0" collapsed="false">
      <c r="A52" s="26" t="str">
        <f aca="false">'Task Breakdown'!A177</f>
        <v>PS-3.04.11</v>
      </c>
      <c r="B52" s="27" t="str">
        <f aca="false">'Task Breakdown'!G177</f>
        <v>Defect fixing and rework after testing</v>
      </c>
      <c r="C52" s="28"/>
      <c r="D52" s="28"/>
      <c r="E52" s="29" t="n">
        <f aca="false">'Task Breakdown'!I177</f>
        <v>0</v>
      </c>
      <c r="F52" s="29" t="n">
        <f aca="false">'Task Breakdown'!J177</f>
        <v>0</v>
      </c>
      <c r="G52" s="29" t="n">
        <f aca="false">'Task Breakdown'!K177</f>
        <v>0</v>
      </c>
      <c r="H52" s="29" t="n">
        <f aca="false">'Task Breakdown'!L177</f>
        <v>0</v>
      </c>
      <c r="I52" s="29" t="n">
        <f aca="false">'Task Breakdown'!M177</f>
        <v>0</v>
      </c>
      <c r="J52" s="29" t="n">
        <f aca="false">'Task Breakdown'!N177</f>
        <v>0</v>
      </c>
      <c r="K52" s="29" t="n">
        <f aca="false">'Task Breakdown'!O177</f>
        <v>0</v>
      </c>
      <c r="L52" s="29" t="n">
        <f aca="false">'Task Breakdown'!P177</f>
        <v>0</v>
      </c>
      <c r="M52" s="29" t="n">
        <f aca="false">'Task Breakdown'!Q177</f>
        <v>25</v>
      </c>
      <c r="N52" s="29" t="n">
        <f aca="false">'Task Breakdown'!R177</f>
        <v>0</v>
      </c>
      <c r="O52" s="29" t="n">
        <f aca="false">'Task Breakdown'!S177</f>
        <v>0</v>
      </c>
      <c r="P52" s="29" t="n">
        <f aca="false">'Task Breakdown'!T177</f>
        <v>0</v>
      </c>
      <c r="Q52" s="30" t="n">
        <f aca="false">SUM(E52:P52)</f>
        <v>25</v>
      </c>
      <c r="R52" s="31" t="n">
        <f aca="false">IF($Q$230&gt;0,Q52/$Q$230,0)</f>
        <v>0.00284705614394716</v>
      </c>
    </row>
    <row r="53" customFormat="false" ht="15" hidden="false" customHeight="false" outlineLevel="0" collapsed="false">
      <c r="A53" s="23" t="s">
        <v>245</v>
      </c>
      <c r="B53" s="23" t="s">
        <v>246</v>
      </c>
      <c r="C53" s="23" t="s">
        <v>42</v>
      </c>
      <c r="D53" s="23" t="s">
        <v>247</v>
      </c>
      <c r="E53" s="24" t="n">
        <f aca="false">SUM(E54:E64)</f>
        <v>0</v>
      </c>
      <c r="F53" s="24" t="n">
        <f aca="false">SUM(F54:F64)</f>
        <v>24</v>
      </c>
      <c r="G53" s="24" t="n">
        <f aca="false">SUM(G54:G64)</f>
        <v>16</v>
      </c>
      <c r="H53" s="24" t="n">
        <f aca="false">SUM(H54:H64)</f>
        <v>24</v>
      </c>
      <c r="I53" s="24" t="n">
        <f aca="false">SUM(I54:I64)</f>
        <v>0</v>
      </c>
      <c r="J53" s="24" t="n">
        <f aca="false">SUM(J54:J64)</f>
        <v>0</v>
      </c>
      <c r="K53" s="24" t="n">
        <f aca="false">SUM(K54:K64)</f>
        <v>0</v>
      </c>
      <c r="L53" s="24" t="n">
        <f aca="false">SUM(L54:L64)</f>
        <v>0</v>
      </c>
      <c r="M53" s="24" t="n">
        <f aca="false">SUM(M54:M64)</f>
        <v>291</v>
      </c>
      <c r="N53" s="24" t="n">
        <f aca="false">SUM(N54:N64)</f>
        <v>49</v>
      </c>
      <c r="O53" s="24" t="n">
        <f aca="false">SUM(O54:O64)</f>
        <v>73</v>
      </c>
      <c r="P53" s="24" t="n">
        <f aca="false">SUM(P54:P64)</f>
        <v>0</v>
      </c>
      <c r="Q53" s="24" t="n">
        <f aca="false">SUM(Q54:Q64)</f>
        <v>477</v>
      </c>
      <c r="R53" s="25" t="n">
        <f aca="false">IF($Q$230&gt;0,Q53/$Q$230,0)</f>
        <v>0.0543218312265118</v>
      </c>
    </row>
    <row r="54" customFormat="false" ht="15" hidden="false" customHeight="false" outlineLevel="0" collapsed="false">
      <c r="A54" s="26" t="str">
        <f aca="false">'Task Breakdown'!A178</f>
        <v>PS-3.05.01</v>
      </c>
      <c r="B54" s="27" t="str">
        <f aca="false">'Task Breakdown'!G178</f>
        <v>Gather admin requirements and wireframes</v>
      </c>
      <c r="C54" s="28"/>
      <c r="D54" s="28"/>
      <c r="E54" s="29" t="n">
        <f aca="false">'Task Breakdown'!I178</f>
        <v>0</v>
      </c>
      <c r="F54" s="29" t="n">
        <f aca="false">'Task Breakdown'!J178</f>
        <v>0</v>
      </c>
      <c r="G54" s="29" t="n">
        <f aca="false">'Task Breakdown'!K178</f>
        <v>0</v>
      </c>
      <c r="H54" s="29" t="n">
        <f aca="false">'Task Breakdown'!L178</f>
        <v>0</v>
      </c>
      <c r="I54" s="29" t="n">
        <f aca="false">'Task Breakdown'!M178</f>
        <v>0</v>
      </c>
      <c r="J54" s="29" t="n">
        <f aca="false">'Task Breakdown'!N178</f>
        <v>0</v>
      </c>
      <c r="K54" s="29" t="n">
        <f aca="false">'Task Breakdown'!O178</f>
        <v>0</v>
      </c>
      <c r="L54" s="29" t="n">
        <f aca="false">'Task Breakdown'!P178</f>
        <v>0</v>
      </c>
      <c r="M54" s="29" t="n">
        <f aca="false">'Task Breakdown'!Q178</f>
        <v>0</v>
      </c>
      <c r="N54" s="29" t="n">
        <f aca="false">'Task Breakdown'!R178</f>
        <v>37</v>
      </c>
      <c r="O54" s="29" t="n">
        <f aca="false">'Task Breakdown'!S178</f>
        <v>0</v>
      </c>
      <c r="P54" s="29" t="n">
        <f aca="false">'Task Breakdown'!T178</f>
        <v>0</v>
      </c>
      <c r="Q54" s="30" t="n">
        <f aca="false">SUM(E54:P54)</f>
        <v>37</v>
      </c>
      <c r="R54" s="31" t="n">
        <f aca="false">IF($Q$230&gt;0,Q54/$Q$230,0)</f>
        <v>0.0042136430930418</v>
      </c>
    </row>
    <row r="55" customFormat="false" ht="15" hidden="false" customHeight="false" outlineLevel="0" collapsed="false">
      <c r="A55" s="26" t="str">
        <f aca="false">'Task Breakdown'!A179</f>
        <v>PS-3.05.02</v>
      </c>
      <c r="B55" s="27" t="str">
        <f aca="false">'Task Breakdown'!G179</f>
        <v>Build agent registry screens (create, version, enable / disable)</v>
      </c>
      <c r="C55" s="28"/>
      <c r="D55" s="28"/>
      <c r="E55" s="29" t="n">
        <f aca="false">'Task Breakdown'!I179</f>
        <v>0</v>
      </c>
      <c r="F55" s="29" t="n">
        <f aca="false">'Task Breakdown'!J179</f>
        <v>0</v>
      </c>
      <c r="G55" s="29" t="n">
        <f aca="false">'Task Breakdown'!K179</f>
        <v>0</v>
      </c>
      <c r="H55" s="29" t="n">
        <f aca="false">'Task Breakdown'!L179</f>
        <v>0</v>
      </c>
      <c r="I55" s="29" t="n">
        <f aca="false">'Task Breakdown'!M179</f>
        <v>0</v>
      </c>
      <c r="J55" s="29" t="n">
        <f aca="false">'Task Breakdown'!N179</f>
        <v>0</v>
      </c>
      <c r="K55" s="29" t="n">
        <f aca="false">'Task Breakdown'!O179</f>
        <v>0</v>
      </c>
      <c r="L55" s="29" t="n">
        <f aca="false">'Task Breakdown'!P179</f>
        <v>0</v>
      </c>
      <c r="M55" s="29" t="n">
        <f aca="false">'Task Breakdown'!Q179</f>
        <v>73</v>
      </c>
      <c r="N55" s="29" t="n">
        <f aca="false">'Task Breakdown'!R179</f>
        <v>0</v>
      </c>
      <c r="O55" s="29" t="n">
        <f aca="false">'Task Breakdown'!S179</f>
        <v>0</v>
      </c>
      <c r="P55" s="29" t="n">
        <f aca="false">'Task Breakdown'!T179</f>
        <v>0</v>
      </c>
      <c r="Q55" s="30" t="n">
        <f aca="false">SUM(E55:P55)</f>
        <v>73</v>
      </c>
      <c r="R55" s="31" t="n">
        <f aca="false">IF($Q$230&gt;0,Q55/$Q$230,0)</f>
        <v>0.0083134039403257</v>
      </c>
    </row>
    <row r="56" customFormat="false" ht="15" hidden="false" customHeight="false" outlineLevel="0" collapsed="false">
      <c r="A56" s="26" t="str">
        <f aca="false">'Task Breakdown'!A180</f>
        <v>PS-3.05.03</v>
      </c>
      <c r="B56" s="27" t="str">
        <f aca="false">'Task Breakdown'!G180</f>
        <v>Build user and role management screens</v>
      </c>
      <c r="C56" s="28"/>
      <c r="D56" s="28"/>
      <c r="E56" s="29" t="n">
        <f aca="false">'Task Breakdown'!I180</f>
        <v>0</v>
      </c>
      <c r="F56" s="29" t="n">
        <f aca="false">'Task Breakdown'!J180</f>
        <v>0</v>
      </c>
      <c r="G56" s="29" t="n">
        <f aca="false">'Task Breakdown'!K180</f>
        <v>0</v>
      </c>
      <c r="H56" s="29" t="n">
        <f aca="false">'Task Breakdown'!L180</f>
        <v>12</v>
      </c>
      <c r="I56" s="29" t="n">
        <f aca="false">'Task Breakdown'!M180</f>
        <v>0</v>
      </c>
      <c r="J56" s="29" t="n">
        <f aca="false">'Task Breakdown'!N180</f>
        <v>0</v>
      </c>
      <c r="K56" s="29" t="n">
        <f aca="false">'Task Breakdown'!O180</f>
        <v>0</v>
      </c>
      <c r="L56" s="29" t="n">
        <f aca="false">'Task Breakdown'!P180</f>
        <v>0</v>
      </c>
      <c r="M56" s="29" t="n">
        <f aca="false">'Task Breakdown'!Q180</f>
        <v>49</v>
      </c>
      <c r="N56" s="29" t="n">
        <f aca="false">'Task Breakdown'!R180</f>
        <v>0</v>
      </c>
      <c r="O56" s="29" t="n">
        <f aca="false">'Task Breakdown'!S180</f>
        <v>0</v>
      </c>
      <c r="P56" s="29" t="n">
        <f aca="false">'Task Breakdown'!T180</f>
        <v>0</v>
      </c>
      <c r="Q56" s="30" t="n">
        <f aca="false">SUM(E56:P56)</f>
        <v>61</v>
      </c>
      <c r="R56" s="31" t="n">
        <f aca="false">IF($Q$230&gt;0,Q56/$Q$230,0)</f>
        <v>0.00694681699123107</v>
      </c>
    </row>
    <row r="57" customFormat="false" ht="15" hidden="false" customHeight="false" outlineLevel="0" collapsed="false">
      <c r="A57" s="26" t="str">
        <f aca="false">'Task Breakdown'!A181</f>
        <v>PS-3.05.04</v>
      </c>
      <c r="B57" s="27" t="str">
        <f aca="false">'Task Breakdown'!G181</f>
        <v>Build policy, prompt and knowledge-base management screens</v>
      </c>
      <c r="C57" s="28"/>
      <c r="D57" s="28"/>
      <c r="E57" s="29" t="n">
        <f aca="false">'Task Breakdown'!I181</f>
        <v>0</v>
      </c>
      <c r="F57" s="29" t="n">
        <f aca="false">'Task Breakdown'!J181</f>
        <v>0</v>
      </c>
      <c r="G57" s="29" t="n">
        <f aca="false">'Task Breakdown'!K181</f>
        <v>0</v>
      </c>
      <c r="H57" s="29" t="n">
        <f aca="false">'Task Breakdown'!L181</f>
        <v>0</v>
      </c>
      <c r="I57" s="29" t="n">
        <f aca="false">'Task Breakdown'!M181</f>
        <v>0</v>
      </c>
      <c r="J57" s="29" t="n">
        <f aca="false">'Task Breakdown'!N181</f>
        <v>0</v>
      </c>
      <c r="K57" s="29" t="n">
        <f aca="false">'Task Breakdown'!O181</f>
        <v>0</v>
      </c>
      <c r="L57" s="29" t="n">
        <f aca="false">'Task Breakdown'!P181</f>
        <v>0</v>
      </c>
      <c r="M57" s="29" t="n">
        <f aca="false">'Task Breakdown'!Q181</f>
        <v>61</v>
      </c>
      <c r="N57" s="29" t="n">
        <f aca="false">'Task Breakdown'!R181</f>
        <v>0</v>
      </c>
      <c r="O57" s="29" t="n">
        <f aca="false">'Task Breakdown'!S181</f>
        <v>0</v>
      </c>
      <c r="P57" s="29" t="n">
        <f aca="false">'Task Breakdown'!T181</f>
        <v>0</v>
      </c>
      <c r="Q57" s="30" t="n">
        <f aca="false">SUM(E57:P57)</f>
        <v>61</v>
      </c>
      <c r="R57" s="31" t="n">
        <f aca="false">IF($Q$230&gt;0,Q57/$Q$230,0)</f>
        <v>0.00694681699123107</v>
      </c>
    </row>
    <row r="58" customFormat="false" ht="15" hidden="false" customHeight="false" outlineLevel="0" collapsed="false">
      <c r="A58" s="26" t="str">
        <f aca="false">'Task Breakdown'!A182</f>
        <v>PS-3.05.05</v>
      </c>
      <c r="B58" s="27" t="str">
        <f aca="false">'Task Breakdown'!G182</f>
        <v>Build logs, usage and chargeback views</v>
      </c>
      <c r="C58" s="28"/>
      <c r="D58" s="28"/>
      <c r="E58" s="29" t="n">
        <f aca="false">'Task Breakdown'!I182</f>
        <v>0</v>
      </c>
      <c r="F58" s="29" t="n">
        <f aca="false">'Task Breakdown'!J182</f>
        <v>0</v>
      </c>
      <c r="G58" s="29" t="n">
        <f aca="false">'Task Breakdown'!K182</f>
        <v>0</v>
      </c>
      <c r="H58" s="29" t="n">
        <f aca="false">'Task Breakdown'!L182</f>
        <v>0</v>
      </c>
      <c r="I58" s="29" t="n">
        <f aca="false">'Task Breakdown'!M182</f>
        <v>0</v>
      </c>
      <c r="J58" s="29" t="n">
        <f aca="false">'Task Breakdown'!N182</f>
        <v>0</v>
      </c>
      <c r="K58" s="29" t="n">
        <f aca="false">'Task Breakdown'!O182</f>
        <v>0</v>
      </c>
      <c r="L58" s="29" t="n">
        <f aca="false">'Task Breakdown'!P182</f>
        <v>0</v>
      </c>
      <c r="M58" s="29" t="n">
        <f aca="false">'Task Breakdown'!Q182</f>
        <v>61</v>
      </c>
      <c r="N58" s="29" t="n">
        <f aca="false">'Task Breakdown'!R182</f>
        <v>0</v>
      </c>
      <c r="O58" s="29" t="n">
        <f aca="false">'Task Breakdown'!S182</f>
        <v>0</v>
      </c>
      <c r="P58" s="29" t="n">
        <f aca="false">'Task Breakdown'!T182</f>
        <v>0</v>
      </c>
      <c r="Q58" s="30" t="n">
        <f aca="false">SUM(E58:P58)</f>
        <v>61</v>
      </c>
      <c r="R58" s="31" t="n">
        <f aca="false">IF($Q$230&gt;0,Q58/$Q$230,0)</f>
        <v>0.00694681699123107</v>
      </c>
    </row>
    <row r="59" customFormat="false" ht="15" hidden="false" customHeight="false" outlineLevel="0" collapsed="false">
      <c r="A59" s="26" t="str">
        <f aca="false">'Task Breakdown'!A183</f>
        <v>PS-3.05.06</v>
      </c>
      <c r="B59" s="27" t="str">
        <f aca="false">'Task Breakdown'!G183</f>
        <v>Security review</v>
      </c>
      <c r="C59" s="28"/>
      <c r="D59" s="28"/>
      <c r="E59" s="29" t="n">
        <f aca="false">'Task Breakdown'!I183</f>
        <v>0</v>
      </c>
      <c r="F59" s="29" t="n">
        <f aca="false">'Task Breakdown'!J183</f>
        <v>0</v>
      </c>
      <c r="G59" s="29" t="n">
        <f aca="false">'Task Breakdown'!K183</f>
        <v>0</v>
      </c>
      <c r="H59" s="29" t="n">
        <f aca="false">'Task Breakdown'!L183</f>
        <v>12</v>
      </c>
      <c r="I59" s="29" t="n">
        <f aca="false">'Task Breakdown'!M183</f>
        <v>0</v>
      </c>
      <c r="J59" s="29" t="n">
        <f aca="false">'Task Breakdown'!N183</f>
        <v>0</v>
      </c>
      <c r="K59" s="29" t="n">
        <f aca="false">'Task Breakdown'!O183</f>
        <v>0</v>
      </c>
      <c r="L59" s="29" t="n">
        <f aca="false">'Task Breakdown'!P183</f>
        <v>0</v>
      </c>
      <c r="M59" s="29" t="n">
        <f aca="false">'Task Breakdown'!Q183</f>
        <v>0</v>
      </c>
      <c r="N59" s="29" t="n">
        <f aca="false">'Task Breakdown'!R183</f>
        <v>0</v>
      </c>
      <c r="O59" s="29" t="n">
        <f aca="false">'Task Breakdown'!S183</f>
        <v>0</v>
      </c>
      <c r="P59" s="29" t="n">
        <f aca="false">'Task Breakdown'!T183</f>
        <v>0</v>
      </c>
      <c r="Q59" s="30" t="n">
        <f aca="false">SUM(E59:P59)</f>
        <v>12</v>
      </c>
      <c r="R59" s="31" t="n">
        <f aca="false">IF($Q$230&gt;0,Q59/$Q$230,0)</f>
        <v>0.00136658694909464</v>
      </c>
    </row>
    <row r="60" customFormat="false" ht="15" hidden="false" customHeight="false" outlineLevel="0" collapsed="false">
      <c r="A60" s="26" t="str">
        <f aca="false">'Task Breakdown'!A184</f>
        <v>PS-3.05.07</v>
      </c>
      <c r="B60" s="27" t="str">
        <f aca="false">'Task Breakdown'!G184</f>
        <v>UAT with administrators</v>
      </c>
      <c r="C60" s="28"/>
      <c r="D60" s="28"/>
      <c r="E60" s="29" t="n">
        <f aca="false">'Task Breakdown'!I184</f>
        <v>0</v>
      </c>
      <c r="F60" s="29" t="n">
        <f aca="false">'Task Breakdown'!J184</f>
        <v>0</v>
      </c>
      <c r="G60" s="29" t="n">
        <f aca="false">'Task Breakdown'!K184</f>
        <v>0</v>
      </c>
      <c r="H60" s="29" t="n">
        <f aca="false">'Task Breakdown'!L184</f>
        <v>0</v>
      </c>
      <c r="I60" s="29" t="n">
        <f aca="false">'Task Breakdown'!M184</f>
        <v>0</v>
      </c>
      <c r="J60" s="29" t="n">
        <f aca="false">'Task Breakdown'!N184</f>
        <v>0</v>
      </c>
      <c r="K60" s="29" t="n">
        <f aca="false">'Task Breakdown'!O184</f>
        <v>0</v>
      </c>
      <c r="L60" s="29" t="n">
        <f aca="false">'Task Breakdown'!P184</f>
        <v>0</v>
      </c>
      <c r="M60" s="29" t="n">
        <f aca="false">'Task Breakdown'!Q184</f>
        <v>0</v>
      </c>
      <c r="N60" s="29" t="n">
        <f aca="false">'Task Breakdown'!R184</f>
        <v>12</v>
      </c>
      <c r="O60" s="29" t="n">
        <f aca="false">'Task Breakdown'!S184</f>
        <v>73</v>
      </c>
      <c r="P60" s="29" t="n">
        <f aca="false">'Task Breakdown'!T184</f>
        <v>0</v>
      </c>
      <c r="Q60" s="30" t="n">
        <f aca="false">SUM(E60:P60)</f>
        <v>85</v>
      </c>
      <c r="R60" s="31" t="n">
        <f aca="false">IF($Q$230&gt;0,Q60/$Q$230,0)</f>
        <v>0.00967999088942034</v>
      </c>
    </row>
    <row r="61" customFormat="false" ht="15" hidden="false" customHeight="false" outlineLevel="0" collapsed="false">
      <c r="A61" s="26" t="str">
        <f aca="false">'Task Breakdown'!A185</f>
        <v>PS-3.05.08</v>
      </c>
      <c r="B61" s="27" t="str">
        <f aca="false">'Task Breakdown'!G185</f>
        <v>Detailed design and design review</v>
      </c>
      <c r="C61" s="28"/>
      <c r="D61" s="28"/>
      <c r="E61" s="29" t="n">
        <f aca="false">'Task Breakdown'!I185</f>
        <v>0</v>
      </c>
      <c r="F61" s="29" t="n">
        <f aca="false">'Task Breakdown'!J185</f>
        <v>24</v>
      </c>
      <c r="G61" s="29" t="n">
        <f aca="false">'Task Breakdown'!K185</f>
        <v>0</v>
      </c>
      <c r="H61" s="29" t="n">
        <f aca="false">'Task Breakdown'!L185</f>
        <v>0</v>
      </c>
      <c r="I61" s="29" t="n">
        <f aca="false">'Task Breakdown'!M185</f>
        <v>0</v>
      </c>
      <c r="J61" s="29" t="n">
        <f aca="false">'Task Breakdown'!N185</f>
        <v>0</v>
      </c>
      <c r="K61" s="29" t="n">
        <f aca="false">'Task Breakdown'!O185</f>
        <v>0</v>
      </c>
      <c r="L61" s="29" t="n">
        <f aca="false">'Task Breakdown'!P185</f>
        <v>0</v>
      </c>
      <c r="M61" s="29" t="n">
        <f aca="false">'Task Breakdown'!Q185</f>
        <v>0</v>
      </c>
      <c r="N61" s="29" t="n">
        <f aca="false">'Task Breakdown'!R185</f>
        <v>0</v>
      </c>
      <c r="O61" s="29" t="n">
        <f aca="false">'Task Breakdown'!S185</f>
        <v>0</v>
      </c>
      <c r="P61" s="29" t="n">
        <f aca="false">'Task Breakdown'!T185</f>
        <v>0</v>
      </c>
      <c r="Q61" s="30" t="n">
        <f aca="false">SUM(E61:P61)</f>
        <v>24</v>
      </c>
      <c r="R61" s="31" t="n">
        <f aca="false">IF($Q$230&gt;0,Q61/$Q$230,0)</f>
        <v>0.00273317389818927</v>
      </c>
    </row>
    <row r="62" customFormat="false" ht="15" hidden="false" customHeight="false" outlineLevel="0" collapsed="false">
      <c r="A62" s="26" t="str">
        <f aca="false">'Task Breakdown'!A186</f>
        <v>PS-3.05.09</v>
      </c>
      <c r="B62" s="27" t="str">
        <f aca="false">'Task Breakdown'!G186</f>
        <v>Promote through dev / test / prod and release</v>
      </c>
      <c r="C62" s="28"/>
      <c r="D62" s="28"/>
      <c r="E62" s="29" t="n">
        <f aca="false">'Task Breakdown'!I186</f>
        <v>0</v>
      </c>
      <c r="F62" s="29" t="n">
        <f aca="false">'Task Breakdown'!J186</f>
        <v>0</v>
      </c>
      <c r="G62" s="29" t="n">
        <f aca="false">'Task Breakdown'!K186</f>
        <v>16</v>
      </c>
      <c r="H62" s="29" t="n">
        <f aca="false">'Task Breakdown'!L186</f>
        <v>0</v>
      </c>
      <c r="I62" s="29" t="n">
        <f aca="false">'Task Breakdown'!M186</f>
        <v>0</v>
      </c>
      <c r="J62" s="29" t="n">
        <f aca="false">'Task Breakdown'!N186</f>
        <v>0</v>
      </c>
      <c r="K62" s="29" t="n">
        <f aca="false">'Task Breakdown'!O186</f>
        <v>0</v>
      </c>
      <c r="L62" s="29" t="n">
        <f aca="false">'Task Breakdown'!P186</f>
        <v>0</v>
      </c>
      <c r="M62" s="29" t="n">
        <f aca="false">'Task Breakdown'!Q186</f>
        <v>0</v>
      </c>
      <c r="N62" s="29" t="n">
        <f aca="false">'Task Breakdown'!R186</f>
        <v>0</v>
      </c>
      <c r="O62" s="29" t="n">
        <f aca="false">'Task Breakdown'!S186</f>
        <v>0</v>
      </c>
      <c r="P62" s="29" t="n">
        <f aca="false">'Task Breakdown'!T186</f>
        <v>0</v>
      </c>
      <c r="Q62" s="30" t="n">
        <f aca="false">SUM(E62:P62)</f>
        <v>16</v>
      </c>
      <c r="R62" s="31" t="n">
        <f aca="false">IF($Q$230&gt;0,Q62/$Q$230,0)</f>
        <v>0.00182211593212618</v>
      </c>
    </row>
    <row r="63" customFormat="false" ht="15" hidden="false" customHeight="false" outlineLevel="0" collapsed="false">
      <c r="A63" s="26" t="str">
        <f aca="false">'Task Breakdown'!A187</f>
        <v>PS-3.05.10</v>
      </c>
      <c r="B63" s="27" t="str">
        <f aca="false">'Task Breakdown'!G187</f>
        <v>Documentation, runbook and knowledge transfer</v>
      </c>
      <c r="C63" s="28"/>
      <c r="D63" s="28"/>
      <c r="E63" s="29" t="n">
        <f aca="false">'Task Breakdown'!I187</f>
        <v>0</v>
      </c>
      <c r="F63" s="29" t="n">
        <f aca="false">'Task Breakdown'!J187</f>
        <v>0</v>
      </c>
      <c r="G63" s="29" t="n">
        <f aca="false">'Task Breakdown'!K187</f>
        <v>0</v>
      </c>
      <c r="H63" s="29" t="n">
        <f aca="false">'Task Breakdown'!L187</f>
        <v>0</v>
      </c>
      <c r="I63" s="29" t="n">
        <f aca="false">'Task Breakdown'!M187</f>
        <v>0</v>
      </c>
      <c r="J63" s="29" t="n">
        <f aca="false">'Task Breakdown'!N187</f>
        <v>0</v>
      </c>
      <c r="K63" s="29" t="n">
        <f aca="false">'Task Breakdown'!O187</f>
        <v>0</v>
      </c>
      <c r="L63" s="29" t="n">
        <f aca="false">'Task Breakdown'!P187</f>
        <v>0</v>
      </c>
      <c r="M63" s="29" t="n">
        <f aca="false">'Task Breakdown'!Q187</f>
        <v>16</v>
      </c>
      <c r="N63" s="29" t="n">
        <f aca="false">'Task Breakdown'!R187</f>
        <v>0</v>
      </c>
      <c r="O63" s="29" t="n">
        <f aca="false">'Task Breakdown'!S187</f>
        <v>0</v>
      </c>
      <c r="P63" s="29" t="n">
        <f aca="false">'Task Breakdown'!T187</f>
        <v>0</v>
      </c>
      <c r="Q63" s="30" t="n">
        <f aca="false">SUM(E63:P63)</f>
        <v>16</v>
      </c>
      <c r="R63" s="31" t="n">
        <f aca="false">IF($Q$230&gt;0,Q63/$Q$230,0)</f>
        <v>0.00182211593212618</v>
      </c>
    </row>
    <row r="64" customFormat="false" ht="15" hidden="false" customHeight="false" outlineLevel="0" collapsed="false">
      <c r="A64" s="26" t="str">
        <f aca="false">'Task Breakdown'!A188</f>
        <v>PS-3.05.11</v>
      </c>
      <c r="B64" s="27" t="str">
        <f aca="false">'Task Breakdown'!G188</f>
        <v>Defect fixing and rework after testing</v>
      </c>
      <c r="C64" s="28"/>
      <c r="D64" s="28"/>
      <c r="E64" s="29" t="n">
        <f aca="false">'Task Breakdown'!I188</f>
        <v>0</v>
      </c>
      <c r="F64" s="29" t="n">
        <f aca="false">'Task Breakdown'!J188</f>
        <v>0</v>
      </c>
      <c r="G64" s="29" t="n">
        <f aca="false">'Task Breakdown'!K188</f>
        <v>0</v>
      </c>
      <c r="H64" s="29" t="n">
        <f aca="false">'Task Breakdown'!L188</f>
        <v>0</v>
      </c>
      <c r="I64" s="29" t="n">
        <f aca="false">'Task Breakdown'!M188</f>
        <v>0</v>
      </c>
      <c r="J64" s="29" t="n">
        <f aca="false">'Task Breakdown'!N188</f>
        <v>0</v>
      </c>
      <c r="K64" s="29" t="n">
        <f aca="false">'Task Breakdown'!O188</f>
        <v>0</v>
      </c>
      <c r="L64" s="29" t="n">
        <f aca="false">'Task Breakdown'!P188</f>
        <v>0</v>
      </c>
      <c r="M64" s="29" t="n">
        <f aca="false">'Task Breakdown'!Q188</f>
        <v>31</v>
      </c>
      <c r="N64" s="29" t="n">
        <f aca="false">'Task Breakdown'!R188</f>
        <v>0</v>
      </c>
      <c r="O64" s="29" t="n">
        <f aca="false">'Task Breakdown'!S188</f>
        <v>0</v>
      </c>
      <c r="P64" s="29" t="n">
        <f aca="false">'Task Breakdown'!T188</f>
        <v>0</v>
      </c>
      <c r="Q64" s="30" t="n">
        <f aca="false">SUM(E64:P64)</f>
        <v>31</v>
      </c>
      <c r="R64" s="31" t="n">
        <f aca="false">IF($Q$230&gt;0,Q64/$Q$230,0)</f>
        <v>0.00353034961849448</v>
      </c>
    </row>
    <row r="65" customFormat="false" ht="15" hidden="false" customHeight="false" outlineLevel="0" collapsed="false">
      <c r="A65" s="23" t="s">
        <v>248</v>
      </c>
      <c r="B65" s="23" t="s">
        <v>249</v>
      </c>
      <c r="C65" s="23" t="s">
        <v>42</v>
      </c>
      <c r="D65" s="23" t="s">
        <v>250</v>
      </c>
      <c r="E65" s="24" t="n">
        <f aca="false">SUM(E66:E74)</f>
        <v>0</v>
      </c>
      <c r="F65" s="24" t="n">
        <f aca="false">SUM(F66:F74)</f>
        <v>7</v>
      </c>
      <c r="G65" s="24" t="n">
        <f aca="false">SUM(G66:G74)</f>
        <v>101</v>
      </c>
      <c r="H65" s="24" t="n">
        <f aca="false">SUM(H66:H74)</f>
        <v>0</v>
      </c>
      <c r="I65" s="24" t="n">
        <f aca="false">SUM(I66:I74)</f>
        <v>0</v>
      </c>
      <c r="J65" s="24" t="n">
        <f aca="false">SUM(J66:J74)</f>
        <v>41</v>
      </c>
      <c r="K65" s="24" t="n">
        <f aca="false">SUM(K66:K74)</f>
        <v>0</v>
      </c>
      <c r="L65" s="24" t="n">
        <f aca="false">SUM(L66:L74)</f>
        <v>0</v>
      </c>
      <c r="M65" s="24" t="n">
        <f aca="false">SUM(M66:M74)</f>
        <v>0</v>
      </c>
      <c r="N65" s="24" t="n">
        <f aca="false">SUM(N66:N74)</f>
        <v>0</v>
      </c>
      <c r="O65" s="24" t="n">
        <f aca="false">SUM(O66:O74)</f>
        <v>0</v>
      </c>
      <c r="P65" s="24" t="n">
        <f aca="false">SUM(P66:P74)</f>
        <v>0</v>
      </c>
      <c r="Q65" s="24" t="n">
        <f aca="false">SUM(Q66:Q74)</f>
        <v>149</v>
      </c>
      <c r="R65" s="25" t="n">
        <f aca="false">IF($Q$230&gt;0,Q65/$Q$230,0)</f>
        <v>0.0169684546179251</v>
      </c>
    </row>
    <row r="66" customFormat="false" ht="15" hidden="false" customHeight="false" outlineLevel="0" collapsed="false">
      <c r="A66" s="26" t="str">
        <f aca="false">'Task Breakdown'!A189</f>
        <v>PS-3.06.01</v>
      </c>
      <c r="B66" s="27" t="str">
        <f aca="false">'Task Breakdown'!G189</f>
        <v>Instrument services with OpenTelemetry</v>
      </c>
      <c r="C66" s="28"/>
      <c r="D66" s="28"/>
      <c r="E66" s="29" t="n">
        <f aca="false">'Task Breakdown'!I189</f>
        <v>0</v>
      </c>
      <c r="F66" s="29" t="n">
        <f aca="false">'Task Breakdown'!J189</f>
        <v>0</v>
      </c>
      <c r="G66" s="29" t="n">
        <f aca="false">'Task Breakdown'!K189</f>
        <v>10</v>
      </c>
      <c r="H66" s="29" t="n">
        <f aca="false">'Task Breakdown'!L189</f>
        <v>0</v>
      </c>
      <c r="I66" s="29" t="n">
        <f aca="false">'Task Breakdown'!M189</f>
        <v>0</v>
      </c>
      <c r="J66" s="29" t="n">
        <f aca="false">'Task Breakdown'!N189</f>
        <v>26</v>
      </c>
      <c r="K66" s="29" t="n">
        <f aca="false">'Task Breakdown'!O189</f>
        <v>0</v>
      </c>
      <c r="L66" s="29" t="n">
        <f aca="false">'Task Breakdown'!P189</f>
        <v>0</v>
      </c>
      <c r="M66" s="29" t="n">
        <f aca="false">'Task Breakdown'!Q189</f>
        <v>0</v>
      </c>
      <c r="N66" s="29" t="n">
        <f aca="false">'Task Breakdown'!R189</f>
        <v>0</v>
      </c>
      <c r="O66" s="29" t="n">
        <f aca="false">'Task Breakdown'!S189</f>
        <v>0</v>
      </c>
      <c r="P66" s="29" t="n">
        <f aca="false">'Task Breakdown'!T189</f>
        <v>0</v>
      </c>
      <c r="Q66" s="30" t="n">
        <f aca="false">SUM(E66:P66)</f>
        <v>36</v>
      </c>
      <c r="R66" s="31" t="n">
        <f aca="false">IF($Q$230&gt;0,Q66/$Q$230,0)</f>
        <v>0.00409976084728391</v>
      </c>
    </row>
    <row r="67" customFormat="false" ht="15" hidden="false" customHeight="false" outlineLevel="0" collapsed="false">
      <c r="A67" s="26" t="str">
        <f aca="false">'Task Breakdown'!A190</f>
        <v>PS-3.06.02</v>
      </c>
      <c r="B67" s="27" t="str">
        <f aca="false">'Task Breakdown'!G190</f>
        <v>Enable Foundry tracing for agent runs</v>
      </c>
      <c r="C67" s="28"/>
      <c r="D67" s="28"/>
      <c r="E67" s="29" t="n">
        <f aca="false">'Task Breakdown'!I190</f>
        <v>0</v>
      </c>
      <c r="F67" s="29" t="n">
        <f aca="false">'Task Breakdown'!J190</f>
        <v>0</v>
      </c>
      <c r="G67" s="29" t="n">
        <f aca="false">'Task Breakdown'!K190</f>
        <v>0</v>
      </c>
      <c r="H67" s="29" t="n">
        <f aca="false">'Task Breakdown'!L190</f>
        <v>0</v>
      </c>
      <c r="I67" s="29" t="n">
        <f aca="false">'Task Breakdown'!M190</f>
        <v>0</v>
      </c>
      <c r="J67" s="29" t="n">
        <f aca="false">'Task Breakdown'!N190</f>
        <v>15</v>
      </c>
      <c r="K67" s="29" t="n">
        <f aca="false">'Task Breakdown'!O190</f>
        <v>0</v>
      </c>
      <c r="L67" s="29" t="n">
        <f aca="false">'Task Breakdown'!P190</f>
        <v>0</v>
      </c>
      <c r="M67" s="29" t="n">
        <f aca="false">'Task Breakdown'!Q190</f>
        <v>0</v>
      </c>
      <c r="N67" s="29" t="n">
        <f aca="false">'Task Breakdown'!R190</f>
        <v>0</v>
      </c>
      <c r="O67" s="29" t="n">
        <f aca="false">'Task Breakdown'!S190</f>
        <v>0</v>
      </c>
      <c r="P67" s="29" t="n">
        <f aca="false">'Task Breakdown'!T190</f>
        <v>0</v>
      </c>
      <c r="Q67" s="30" t="n">
        <f aca="false">SUM(E67:P67)</f>
        <v>15</v>
      </c>
      <c r="R67" s="31" t="n">
        <f aca="false">IF($Q$230&gt;0,Q67/$Q$230,0)</f>
        <v>0.0017082336863683</v>
      </c>
    </row>
    <row r="68" customFormat="false" ht="15" hidden="false" customHeight="false" outlineLevel="0" collapsed="false">
      <c r="A68" s="26" t="str">
        <f aca="false">'Task Breakdown'!A191</f>
        <v>PS-3.06.03</v>
      </c>
      <c r="B68" s="27" t="str">
        <f aca="false">'Task Breakdown'!G191</f>
        <v>Configure Log Analytics workspaces and retention</v>
      </c>
      <c r="C68" s="28"/>
      <c r="D68" s="28"/>
      <c r="E68" s="29" t="n">
        <f aca="false">'Task Breakdown'!I191</f>
        <v>0</v>
      </c>
      <c r="F68" s="29" t="n">
        <f aca="false">'Task Breakdown'!J191</f>
        <v>0</v>
      </c>
      <c r="G68" s="29" t="n">
        <f aca="false">'Task Breakdown'!K191</f>
        <v>20</v>
      </c>
      <c r="H68" s="29" t="n">
        <f aca="false">'Task Breakdown'!L191</f>
        <v>0</v>
      </c>
      <c r="I68" s="29" t="n">
        <f aca="false">'Task Breakdown'!M191</f>
        <v>0</v>
      </c>
      <c r="J68" s="29" t="n">
        <f aca="false">'Task Breakdown'!N191</f>
        <v>0</v>
      </c>
      <c r="K68" s="29" t="n">
        <f aca="false">'Task Breakdown'!O191</f>
        <v>0</v>
      </c>
      <c r="L68" s="29" t="n">
        <f aca="false">'Task Breakdown'!P191</f>
        <v>0</v>
      </c>
      <c r="M68" s="29" t="n">
        <f aca="false">'Task Breakdown'!Q191</f>
        <v>0</v>
      </c>
      <c r="N68" s="29" t="n">
        <f aca="false">'Task Breakdown'!R191</f>
        <v>0</v>
      </c>
      <c r="O68" s="29" t="n">
        <f aca="false">'Task Breakdown'!S191</f>
        <v>0</v>
      </c>
      <c r="P68" s="29" t="n">
        <f aca="false">'Task Breakdown'!T191</f>
        <v>0</v>
      </c>
      <c r="Q68" s="30" t="n">
        <f aca="false">SUM(E68:P68)</f>
        <v>20</v>
      </c>
      <c r="R68" s="31" t="n">
        <f aca="false">IF($Q$230&gt;0,Q68/$Q$230,0)</f>
        <v>0.00227764491515773</v>
      </c>
    </row>
    <row r="69" customFormat="false" ht="15" hidden="false" customHeight="false" outlineLevel="0" collapsed="false">
      <c r="A69" s="26" t="str">
        <f aca="false">'Task Breakdown'!A192</f>
        <v>PS-3.06.04</v>
      </c>
      <c r="B69" s="27" t="str">
        <f aca="false">'Task Breakdown'!G192</f>
        <v>Build dashboards: latency, errors, token use, agent steps</v>
      </c>
      <c r="C69" s="28"/>
      <c r="D69" s="28"/>
      <c r="E69" s="29" t="n">
        <f aca="false">'Task Breakdown'!I192</f>
        <v>0</v>
      </c>
      <c r="F69" s="29" t="n">
        <f aca="false">'Task Breakdown'!J192</f>
        <v>0</v>
      </c>
      <c r="G69" s="29" t="n">
        <f aca="false">'Task Breakdown'!K192</f>
        <v>31</v>
      </c>
      <c r="H69" s="29" t="n">
        <f aca="false">'Task Breakdown'!L192</f>
        <v>0</v>
      </c>
      <c r="I69" s="29" t="n">
        <f aca="false">'Task Breakdown'!M192</f>
        <v>0</v>
      </c>
      <c r="J69" s="29" t="n">
        <f aca="false">'Task Breakdown'!N192</f>
        <v>0</v>
      </c>
      <c r="K69" s="29" t="n">
        <f aca="false">'Task Breakdown'!O192</f>
        <v>0</v>
      </c>
      <c r="L69" s="29" t="n">
        <f aca="false">'Task Breakdown'!P192</f>
        <v>0</v>
      </c>
      <c r="M69" s="29" t="n">
        <f aca="false">'Task Breakdown'!Q192</f>
        <v>0</v>
      </c>
      <c r="N69" s="29" t="n">
        <f aca="false">'Task Breakdown'!R192</f>
        <v>0</v>
      </c>
      <c r="O69" s="29" t="n">
        <f aca="false">'Task Breakdown'!S192</f>
        <v>0</v>
      </c>
      <c r="P69" s="29" t="n">
        <f aca="false">'Task Breakdown'!T192</f>
        <v>0</v>
      </c>
      <c r="Q69" s="30" t="n">
        <f aca="false">SUM(E69:P69)</f>
        <v>31</v>
      </c>
      <c r="R69" s="31" t="n">
        <f aca="false">IF($Q$230&gt;0,Q69/$Q$230,0)</f>
        <v>0.00353034961849448</v>
      </c>
    </row>
    <row r="70" customFormat="false" ht="15" hidden="false" customHeight="false" outlineLevel="0" collapsed="false">
      <c r="A70" s="26" t="str">
        <f aca="false">'Task Breakdown'!A193</f>
        <v>PS-3.06.05</v>
      </c>
      <c r="B70" s="27" t="str">
        <f aca="false">'Task Breakdown'!G193</f>
        <v>Set up trace correlation across gateway, agents and tools</v>
      </c>
      <c r="C70" s="28"/>
      <c r="D70" s="28"/>
      <c r="E70" s="29" t="n">
        <f aca="false">'Task Breakdown'!I193</f>
        <v>0</v>
      </c>
      <c r="F70" s="29" t="n">
        <f aca="false">'Task Breakdown'!J193</f>
        <v>0</v>
      </c>
      <c r="G70" s="29" t="n">
        <f aca="false">'Task Breakdown'!K193</f>
        <v>20</v>
      </c>
      <c r="H70" s="29" t="n">
        <f aca="false">'Task Breakdown'!L193</f>
        <v>0</v>
      </c>
      <c r="I70" s="29" t="n">
        <f aca="false">'Task Breakdown'!M193</f>
        <v>0</v>
      </c>
      <c r="J70" s="29" t="n">
        <f aca="false">'Task Breakdown'!N193</f>
        <v>0</v>
      </c>
      <c r="K70" s="29" t="n">
        <f aca="false">'Task Breakdown'!O193</f>
        <v>0</v>
      </c>
      <c r="L70" s="29" t="n">
        <f aca="false">'Task Breakdown'!P193</f>
        <v>0</v>
      </c>
      <c r="M70" s="29" t="n">
        <f aca="false">'Task Breakdown'!Q193</f>
        <v>0</v>
      </c>
      <c r="N70" s="29" t="n">
        <f aca="false">'Task Breakdown'!R193</f>
        <v>0</v>
      </c>
      <c r="O70" s="29" t="n">
        <f aca="false">'Task Breakdown'!S193</f>
        <v>0</v>
      </c>
      <c r="P70" s="29" t="n">
        <f aca="false">'Task Breakdown'!T193</f>
        <v>0</v>
      </c>
      <c r="Q70" s="30" t="n">
        <f aca="false">SUM(E70:P70)</f>
        <v>20</v>
      </c>
      <c r="R70" s="31" t="n">
        <f aca="false">IF($Q$230&gt;0,Q70/$Q$230,0)</f>
        <v>0.00227764491515773</v>
      </c>
    </row>
    <row r="71" customFormat="false" ht="15" hidden="false" customHeight="false" outlineLevel="0" collapsed="false">
      <c r="A71" s="26" t="str">
        <f aca="false">'Task Breakdown'!A194</f>
        <v>PS-3.06.06</v>
      </c>
      <c r="B71" s="27" t="str">
        <f aca="false">'Task Breakdown'!G194</f>
        <v>Detailed design and design review</v>
      </c>
      <c r="C71" s="28"/>
      <c r="D71" s="28"/>
      <c r="E71" s="29" t="n">
        <f aca="false">'Task Breakdown'!I194</f>
        <v>0</v>
      </c>
      <c r="F71" s="29" t="n">
        <f aca="false">'Task Breakdown'!J194</f>
        <v>7</v>
      </c>
      <c r="G71" s="29" t="n">
        <f aca="false">'Task Breakdown'!K194</f>
        <v>0</v>
      </c>
      <c r="H71" s="29" t="n">
        <f aca="false">'Task Breakdown'!L194</f>
        <v>0</v>
      </c>
      <c r="I71" s="29" t="n">
        <f aca="false">'Task Breakdown'!M194</f>
        <v>0</v>
      </c>
      <c r="J71" s="29" t="n">
        <f aca="false">'Task Breakdown'!N194</f>
        <v>0</v>
      </c>
      <c r="K71" s="29" t="n">
        <f aca="false">'Task Breakdown'!O194</f>
        <v>0</v>
      </c>
      <c r="L71" s="29" t="n">
        <f aca="false">'Task Breakdown'!P194</f>
        <v>0</v>
      </c>
      <c r="M71" s="29" t="n">
        <f aca="false">'Task Breakdown'!Q194</f>
        <v>0</v>
      </c>
      <c r="N71" s="29" t="n">
        <f aca="false">'Task Breakdown'!R194</f>
        <v>0</v>
      </c>
      <c r="O71" s="29" t="n">
        <f aca="false">'Task Breakdown'!S194</f>
        <v>0</v>
      </c>
      <c r="P71" s="29" t="n">
        <f aca="false">'Task Breakdown'!T194</f>
        <v>0</v>
      </c>
      <c r="Q71" s="30" t="n">
        <f aca="false">SUM(E71:P71)</f>
        <v>7</v>
      </c>
      <c r="R71" s="31" t="n">
        <f aca="false">IF($Q$230&gt;0,Q71/$Q$230,0)</f>
        <v>0.000797175720305204</v>
      </c>
    </row>
    <row r="72" customFormat="false" ht="15" hidden="false" customHeight="false" outlineLevel="0" collapsed="false">
      <c r="A72" s="26" t="str">
        <f aca="false">'Task Breakdown'!A195</f>
        <v>PS-3.06.07</v>
      </c>
      <c r="B72" s="27" t="str">
        <f aca="false">'Task Breakdown'!G195</f>
        <v>Promote through dev / test / prod and release</v>
      </c>
      <c r="C72" s="28"/>
      <c r="D72" s="28"/>
      <c r="E72" s="29" t="n">
        <f aca="false">'Task Breakdown'!I195</f>
        <v>0</v>
      </c>
      <c r="F72" s="29" t="n">
        <f aca="false">'Task Breakdown'!J195</f>
        <v>0</v>
      </c>
      <c r="G72" s="29" t="n">
        <f aca="false">'Task Breakdown'!K195</f>
        <v>5</v>
      </c>
      <c r="H72" s="29" t="n">
        <f aca="false">'Task Breakdown'!L195</f>
        <v>0</v>
      </c>
      <c r="I72" s="29" t="n">
        <f aca="false">'Task Breakdown'!M195</f>
        <v>0</v>
      </c>
      <c r="J72" s="29" t="n">
        <f aca="false">'Task Breakdown'!N195</f>
        <v>0</v>
      </c>
      <c r="K72" s="29" t="n">
        <f aca="false">'Task Breakdown'!O195</f>
        <v>0</v>
      </c>
      <c r="L72" s="29" t="n">
        <f aca="false">'Task Breakdown'!P195</f>
        <v>0</v>
      </c>
      <c r="M72" s="29" t="n">
        <f aca="false">'Task Breakdown'!Q195</f>
        <v>0</v>
      </c>
      <c r="N72" s="29" t="n">
        <f aca="false">'Task Breakdown'!R195</f>
        <v>0</v>
      </c>
      <c r="O72" s="29" t="n">
        <f aca="false">'Task Breakdown'!S195</f>
        <v>0</v>
      </c>
      <c r="P72" s="29" t="n">
        <f aca="false">'Task Breakdown'!T195</f>
        <v>0</v>
      </c>
      <c r="Q72" s="30" t="n">
        <f aca="false">SUM(E72:P72)</f>
        <v>5</v>
      </c>
      <c r="R72" s="31" t="n">
        <f aca="false">IF($Q$230&gt;0,Q72/$Q$230,0)</f>
        <v>0.000569411228789432</v>
      </c>
    </row>
    <row r="73" customFormat="false" ht="15" hidden="false" customHeight="false" outlineLevel="0" collapsed="false">
      <c r="A73" s="26" t="str">
        <f aca="false">'Task Breakdown'!A196</f>
        <v>PS-3.06.08</v>
      </c>
      <c r="B73" s="27" t="str">
        <f aca="false">'Task Breakdown'!G196</f>
        <v>Documentation, runbook and knowledge transfer</v>
      </c>
      <c r="C73" s="28"/>
      <c r="D73" s="28"/>
      <c r="E73" s="29" t="n">
        <f aca="false">'Task Breakdown'!I196</f>
        <v>0</v>
      </c>
      <c r="F73" s="29" t="n">
        <f aca="false">'Task Breakdown'!J196</f>
        <v>0</v>
      </c>
      <c r="G73" s="29" t="n">
        <f aca="false">'Task Breakdown'!K196</f>
        <v>5</v>
      </c>
      <c r="H73" s="29" t="n">
        <f aca="false">'Task Breakdown'!L196</f>
        <v>0</v>
      </c>
      <c r="I73" s="29" t="n">
        <f aca="false">'Task Breakdown'!M196</f>
        <v>0</v>
      </c>
      <c r="J73" s="29" t="n">
        <f aca="false">'Task Breakdown'!N196</f>
        <v>0</v>
      </c>
      <c r="K73" s="29" t="n">
        <f aca="false">'Task Breakdown'!O196</f>
        <v>0</v>
      </c>
      <c r="L73" s="29" t="n">
        <f aca="false">'Task Breakdown'!P196</f>
        <v>0</v>
      </c>
      <c r="M73" s="29" t="n">
        <f aca="false">'Task Breakdown'!Q196</f>
        <v>0</v>
      </c>
      <c r="N73" s="29" t="n">
        <f aca="false">'Task Breakdown'!R196</f>
        <v>0</v>
      </c>
      <c r="O73" s="29" t="n">
        <f aca="false">'Task Breakdown'!S196</f>
        <v>0</v>
      </c>
      <c r="P73" s="29" t="n">
        <f aca="false">'Task Breakdown'!T196</f>
        <v>0</v>
      </c>
      <c r="Q73" s="30" t="n">
        <f aca="false">SUM(E73:P73)</f>
        <v>5</v>
      </c>
      <c r="R73" s="31" t="n">
        <f aca="false">IF($Q$230&gt;0,Q73/$Q$230,0)</f>
        <v>0.000569411228789432</v>
      </c>
    </row>
    <row r="74" customFormat="false" ht="15" hidden="false" customHeight="false" outlineLevel="0" collapsed="false">
      <c r="A74" s="26" t="str">
        <f aca="false">'Task Breakdown'!A197</f>
        <v>PS-3.06.09</v>
      </c>
      <c r="B74" s="27" t="str">
        <f aca="false">'Task Breakdown'!G197</f>
        <v>Defect fixing and rework after testing</v>
      </c>
      <c r="C74" s="28"/>
      <c r="D74" s="28"/>
      <c r="E74" s="29" t="n">
        <f aca="false">'Task Breakdown'!I197</f>
        <v>0</v>
      </c>
      <c r="F74" s="29" t="n">
        <f aca="false">'Task Breakdown'!J197</f>
        <v>0</v>
      </c>
      <c r="G74" s="29" t="n">
        <f aca="false">'Task Breakdown'!K197</f>
        <v>10</v>
      </c>
      <c r="H74" s="29" t="n">
        <f aca="false">'Task Breakdown'!L197</f>
        <v>0</v>
      </c>
      <c r="I74" s="29" t="n">
        <f aca="false">'Task Breakdown'!M197</f>
        <v>0</v>
      </c>
      <c r="J74" s="29" t="n">
        <f aca="false">'Task Breakdown'!N197</f>
        <v>0</v>
      </c>
      <c r="K74" s="29" t="n">
        <f aca="false">'Task Breakdown'!O197</f>
        <v>0</v>
      </c>
      <c r="L74" s="29" t="n">
        <f aca="false">'Task Breakdown'!P197</f>
        <v>0</v>
      </c>
      <c r="M74" s="29" t="n">
        <f aca="false">'Task Breakdown'!Q197</f>
        <v>0</v>
      </c>
      <c r="N74" s="29" t="n">
        <f aca="false">'Task Breakdown'!R197</f>
        <v>0</v>
      </c>
      <c r="O74" s="29" t="n">
        <f aca="false">'Task Breakdown'!S197</f>
        <v>0</v>
      </c>
      <c r="P74" s="29" t="n">
        <f aca="false">'Task Breakdown'!T197</f>
        <v>0</v>
      </c>
      <c r="Q74" s="30" t="n">
        <f aca="false">SUM(E74:P74)</f>
        <v>10</v>
      </c>
      <c r="R74" s="31" t="n">
        <f aca="false">IF($Q$230&gt;0,Q74/$Q$230,0)</f>
        <v>0.00113882245757886</v>
      </c>
    </row>
    <row r="75" customFormat="false" ht="23.85" hidden="false" customHeight="false" outlineLevel="0" collapsed="false">
      <c r="A75" s="23" t="s">
        <v>251</v>
      </c>
      <c r="B75" s="23" t="s">
        <v>252</v>
      </c>
      <c r="C75" s="23" t="s">
        <v>42</v>
      </c>
      <c r="D75" s="23" t="s">
        <v>253</v>
      </c>
      <c r="E75" s="24" t="n">
        <f aca="false">SUM(E76:E79)</f>
        <v>0</v>
      </c>
      <c r="F75" s="24" t="n">
        <f aca="false">SUM(F76:F79)</f>
        <v>8</v>
      </c>
      <c r="G75" s="24" t="n">
        <f aca="false">SUM(G76:G79)</f>
        <v>24</v>
      </c>
      <c r="H75" s="24" t="n">
        <f aca="false">SUM(H76:H79)</f>
        <v>65</v>
      </c>
      <c r="I75" s="24" t="n">
        <f aca="false">SUM(I76:I79)</f>
        <v>0</v>
      </c>
      <c r="J75" s="24" t="n">
        <f aca="false">SUM(J76:J79)</f>
        <v>16</v>
      </c>
      <c r="K75" s="24" t="n">
        <f aca="false">SUM(K76:K79)</f>
        <v>0</v>
      </c>
      <c r="L75" s="24" t="n">
        <f aca="false">SUM(L76:L79)</f>
        <v>0</v>
      </c>
      <c r="M75" s="24" t="n">
        <f aca="false">SUM(M76:M79)</f>
        <v>16</v>
      </c>
      <c r="N75" s="24" t="n">
        <f aca="false">SUM(N76:N79)</f>
        <v>0</v>
      </c>
      <c r="O75" s="24" t="n">
        <f aca="false">SUM(O76:O79)</f>
        <v>16</v>
      </c>
      <c r="P75" s="24" t="n">
        <f aca="false">SUM(P76:P79)</f>
        <v>0</v>
      </c>
      <c r="Q75" s="24" t="n">
        <f aca="false">SUM(Q76:Q79)</f>
        <v>145</v>
      </c>
      <c r="R75" s="25" t="n">
        <f aca="false">IF($Q$230&gt;0,Q75/$Q$230,0)</f>
        <v>0.0165129256348935</v>
      </c>
    </row>
    <row r="76" customFormat="false" ht="15" hidden="false" customHeight="false" outlineLevel="0" collapsed="false">
      <c r="A76" s="26" t="str">
        <f aca="false">'Task Breakdown'!A661</f>
        <v>PS-3.07.01</v>
      </c>
      <c r="B76" s="27" t="str">
        <f aca="false">'Task Breakdown'!G661</f>
        <v>Threat-model the end-to-end platform</v>
      </c>
      <c r="C76" s="28"/>
      <c r="D76" s="28"/>
      <c r="E76" s="29" t="n">
        <f aca="false">'Task Breakdown'!I661</f>
        <v>0</v>
      </c>
      <c r="F76" s="29" t="n">
        <f aca="false">'Task Breakdown'!J661</f>
        <v>8</v>
      </c>
      <c r="G76" s="29" t="n">
        <f aca="false">'Task Breakdown'!K661</f>
        <v>0</v>
      </c>
      <c r="H76" s="29" t="n">
        <f aca="false">'Task Breakdown'!L661</f>
        <v>16</v>
      </c>
      <c r="I76" s="29" t="n">
        <f aca="false">'Task Breakdown'!M661</f>
        <v>0</v>
      </c>
      <c r="J76" s="29" t="n">
        <f aca="false">'Task Breakdown'!N661</f>
        <v>0</v>
      </c>
      <c r="K76" s="29" t="n">
        <f aca="false">'Task Breakdown'!O661</f>
        <v>0</v>
      </c>
      <c r="L76" s="29" t="n">
        <f aca="false">'Task Breakdown'!P661</f>
        <v>0</v>
      </c>
      <c r="M76" s="29" t="n">
        <f aca="false">'Task Breakdown'!Q661</f>
        <v>0</v>
      </c>
      <c r="N76" s="29" t="n">
        <f aca="false">'Task Breakdown'!R661</f>
        <v>0</v>
      </c>
      <c r="O76" s="29" t="n">
        <f aca="false">'Task Breakdown'!S661</f>
        <v>0</v>
      </c>
      <c r="P76" s="29" t="n">
        <f aca="false">'Task Breakdown'!T661</f>
        <v>0</v>
      </c>
      <c r="Q76" s="30" t="n">
        <f aca="false">SUM(E76:P76)</f>
        <v>24</v>
      </c>
      <c r="R76" s="31" t="n">
        <f aca="false">IF($Q$230&gt;0,Q76/$Q$230,0)</f>
        <v>0.00273317389818927</v>
      </c>
    </row>
    <row r="77" customFormat="false" ht="15" hidden="false" customHeight="false" outlineLevel="0" collapsed="false">
      <c r="A77" s="26" t="str">
        <f aca="false">'Task Breakdown'!A662</f>
        <v>PS-3.07.02</v>
      </c>
      <c r="B77" s="27" t="str">
        <f aca="false">'Task Breakdown'!G662</f>
        <v>Scope and run external penetration test</v>
      </c>
      <c r="C77" s="28"/>
      <c r="D77" s="28"/>
      <c r="E77" s="29" t="n">
        <f aca="false">'Task Breakdown'!I662</f>
        <v>0</v>
      </c>
      <c r="F77" s="29" t="n">
        <f aca="false">'Task Breakdown'!J662</f>
        <v>0</v>
      </c>
      <c r="G77" s="29" t="n">
        <f aca="false">'Task Breakdown'!K662</f>
        <v>0</v>
      </c>
      <c r="H77" s="29" t="n">
        <f aca="false">'Task Breakdown'!L662</f>
        <v>41</v>
      </c>
      <c r="I77" s="29" t="n">
        <f aca="false">'Task Breakdown'!M662</f>
        <v>0</v>
      </c>
      <c r="J77" s="29" t="n">
        <f aca="false">'Task Breakdown'!N662</f>
        <v>0</v>
      </c>
      <c r="K77" s="29" t="n">
        <f aca="false">'Task Breakdown'!O662</f>
        <v>0</v>
      </c>
      <c r="L77" s="29" t="n">
        <f aca="false">'Task Breakdown'!P662</f>
        <v>0</v>
      </c>
      <c r="M77" s="29" t="n">
        <f aca="false">'Task Breakdown'!Q662</f>
        <v>0</v>
      </c>
      <c r="N77" s="29" t="n">
        <f aca="false">'Task Breakdown'!R662</f>
        <v>0</v>
      </c>
      <c r="O77" s="29" t="n">
        <f aca="false">'Task Breakdown'!S662</f>
        <v>0</v>
      </c>
      <c r="P77" s="29" t="n">
        <f aca="false">'Task Breakdown'!T662</f>
        <v>0</v>
      </c>
      <c r="Q77" s="30" t="n">
        <f aca="false">SUM(E77:P77)</f>
        <v>41</v>
      </c>
      <c r="R77" s="31" t="n">
        <f aca="false">IF($Q$230&gt;0,Q77/$Q$230,0)</f>
        <v>0.00466917207607334</v>
      </c>
    </row>
    <row r="78" customFormat="false" ht="15" hidden="false" customHeight="false" outlineLevel="0" collapsed="false">
      <c r="A78" s="26" t="str">
        <f aca="false">'Task Breakdown'!A663</f>
        <v>PS-3.07.03</v>
      </c>
      <c r="B78" s="27" t="str">
        <f aca="false">'Task Breakdown'!G663</f>
        <v>Remediate findings across platform, agents and apps</v>
      </c>
      <c r="C78" s="28"/>
      <c r="D78" s="28"/>
      <c r="E78" s="29" t="n">
        <f aca="false">'Task Breakdown'!I663</f>
        <v>0</v>
      </c>
      <c r="F78" s="29" t="n">
        <f aca="false">'Task Breakdown'!J663</f>
        <v>0</v>
      </c>
      <c r="G78" s="29" t="n">
        <f aca="false">'Task Breakdown'!K663</f>
        <v>24</v>
      </c>
      <c r="H78" s="29" t="n">
        <f aca="false">'Task Breakdown'!L663</f>
        <v>0</v>
      </c>
      <c r="I78" s="29" t="n">
        <f aca="false">'Task Breakdown'!M663</f>
        <v>0</v>
      </c>
      <c r="J78" s="29" t="n">
        <f aca="false">'Task Breakdown'!N663</f>
        <v>16</v>
      </c>
      <c r="K78" s="29" t="n">
        <f aca="false">'Task Breakdown'!O663</f>
        <v>0</v>
      </c>
      <c r="L78" s="29" t="n">
        <f aca="false">'Task Breakdown'!P663</f>
        <v>0</v>
      </c>
      <c r="M78" s="29" t="n">
        <f aca="false">'Task Breakdown'!Q663</f>
        <v>16</v>
      </c>
      <c r="N78" s="29" t="n">
        <f aca="false">'Task Breakdown'!R663</f>
        <v>0</v>
      </c>
      <c r="O78" s="29" t="n">
        <f aca="false">'Task Breakdown'!S663</f>
        <v>0</v>
      </c>
      <c r="P78" s="29" t="n">
        <f aca="false">'Task Breakdown'!T663</f>
        <v>0</v>
      </c>
      <c r="Q78" s="30" t="n">
        <f aca="false">SUM(E78:P78)</f>
        <v>56</v>
      </c>
      <c r="R78" s="31" t="n">
        <f aca="false">IF($Q$230&gt;0,Q78/$Q$230,0)</f>
        <v>0.00637740576244164</v>
      </c>
    </row>
    <row r="79" customFormat="false" ht="15" hidden="false" customHeight="false" outlineLevel="0" collapsed="false">
      <c r="A79" s="26" t="str">
        <f aca="false">'Task Breakdown'!A664</f>
        <v>PS-3.07.04</v>
      </c>
      <c r="B79" s="27" t="str">
        <f aca="false">'Task Breakdown'!G664</f>
        <v>Retest and close findings</v>
      </c>
      <c r="C79" s="28"/>
      <c r="D79" s="28"/>
      <c r="E79" s="29" t="n">
        <f aca="false">'Task Breakdown'!I664</f>
        <v>0</v>
      </c>
      <c r="F79" s="29" t="n">
        <f aca="false">'Task Breakdown'!J664</f>
        <v>0</v>
      </c>
      <c r="G79" s="29" t="n">
        <f aca="false">'Task Breakdown'!K664</f>
        <v>0</v>
      </c>
      <c r="H79" s="29" t="n">
        <f aca="false">'Task Breakdown'!L664</f>
        <v>8</v>
      </c>
      <c r="I79" s="29" t="n">
        <f aca="false">'Task Breakdown'!M664</f>
        <v>0</v>
      </c>
      <c r="J79" s="29" t="n">
        <f aca="false">'Task Breakdown'!N664</f>
        <v>0</v>
      </c>
      <c r="K79" s="29" t="n">
        <f aca="false">'Task Breakdown'!O664</f>
        <v>0</v>
      </c>
      <c r="L79" s="29" t="n">
        <f aca="false">'Task Breakdown'!P664</f>
        <v>0</v>
      </c>
      <c r="M79" s="29" t="n">
        <f aca="false">'Task Breakdown'!Q664</f>
        <v>0</v>
      </c>
      <c r="N79" s="29" t="n">
        <f aca="false">'Task Breakdown'!R664</f>
        <v>0</v>
      </c>
      <c r="O79" s="29" t="n">
        <f aca="false">'Task Breakdown'!S664</f>
        <v>16</v>
      </c>
      <c r="P79" s="29" t="n">
        <f aca="false">'Task Breakdown'!T664</f>
        <v>0</v>
      </c>
      <c r="Q79" s="30" t="n">
        <f aca="false">SUM(E79:P79)</f>
        <v>24</v>
      </c>
      <c r="R79" s="31" t="n">
        <f aca="false">IF($Q$230&gt;0,Q79/$Q$230,0)</f>
        <v>0.00273317389818927</v>
      </c>
    </row>
    <row r="80" customFormat="false" ht="23.85" hidden="false" customHeight="false" outlineLevel="0" collapsed="false">
      <c r="A80" s="23" t="s">
        <v>254</v>
      </c>
      <c r="B80" s="23" t="s">
        <v>255</v>
      </c>
      <c r="C80" s="23" t="s">
        <v>43</v>
      </c>
      <c r="D80" s="23" t="s">
        <v>256</v>
      </c>
      <c r="E80" s="24" t="n">
        <f aca="false">SUM(E81:E84)</f>
        <v>0</v>
      </c>
      <c r="F80" s="24" t="n">
        <f aca="false">SUM(F81:F84)</f>
        <v>0</v>
      </c>
      <c r="G80" s="24" t="n">
        <f aca="false">SUM(G81:G84)</f>
        <v>0</v>
      </c>
      <c r="H80" s="24" t="n">
        <f aca="false">SUM(H81:H84)</f>
        <v>0</v>
      </c>
      <c r="I80" s="24" t="n">
        <f aca="false">SUM(I81:I84)</f>
        <v>24</v>
      </c>
      <c r="J80" s="24" t="n">
        <f aca="false">SUM(J81:J84)</f>
        <v>64</v>
      </c>
      <c r="K80" s="24" t="n">
        <f aca="false">SUM(K81:K84)</f>
        <v>0</v>
      </c>
      <c r="L80" s="24" t="n">
        <f aca="false">SUM(L81:L84)</f>
        <v>0</v>
      </c>
      <c r="M80" s="24" t="n">
        <f aca="false">SUM(M81:M84)</f>
        <v>0</v>
      </c>
      <c r="N80" s="24" t="n">
        <f aca="false">SUM(N81:N84)</f>
        <v>0</v>
      </c>
      <c r="O80" s="24" t="n">
        <f aca="false">SUM(O81:O84)</f>
        <v>0</v>
      </c>
      <c r="P80" s="24" t="n">
        <f aca="false">SUM(P81:P84)</f>
        <v>8</v>
      </c>
      <c r="Q80" s="24" t="n">
        <f aca="false">SUM(Q81:Q84)</f>
        <v>96</v>
      </c>
      <c r="R80" s="25" t="n">
        <f aca="false">IF($Q$230&gt;0,Q80/$Q$230,0)</f>
        <v>0.0109326955927571</v>
      </c>
    </row>
    <row r="81" customFormat="false" ht="15" hidden="false" customHeight="false" outlineLevel="0" collapsed="false">
      <c r="A81" s="26" t="str">
        <f aca="false">'Task Breakdown'!A669</f>
        <v>PS-3.08.01</v>
      </c>
      <c r="B81" s="27" t="str">
        <f aca="false">'Task Breakdown'!G669</f>
        <v>Build training curriculum for agent developers</v>
      </c>
      <c r="C81" s="28"/>
      <c r="D81" s="28"/>
      <c r="E81" s="29" t="n">
        <f aca="false">'Task Breakdown'!I669</f>
        <v>0</v>
      </c>
      <c r="F81" s="29" t="n">
        <f aca="false">'Task Breakdown'!J669</f>
        <v>0</v>
      </c>
      <c r="G81" s="29" t="n">
        <f aca="false">'Task Breakdown'!K669</f>
        <v>0</v>
      </c>
      <c r="H81" s="29" t="n">
        <f aca="false">'Task Breakdown'!L669</f>
        <v>0</v>
      </c>
      <c r="I81" s="29" t="n">
        <f aca="false">'Task Breakdown'!M669</f>
        <v>16</v>
      </c>
      <c r="J81" s="29" t="n">
        <f aca="false">'Task Breakdown'!N669</f>
        <v>16</v>
      </c>
      <c r="K81" s="29" t="n">
        <f aca="false">'Task Breakdown'!O669</f>
        <v>0</v>
      </c>
      <c r="L81" s="29" t="n">
        <f aca="false">'Task Breakdown'!P669</f>
        <v>0</v>
      </c>
      <c r="M81" s="29" t="n">
        <f aca="false">'Task Breakdown'!Q669</f>
        <v>0</v>
      </c>
      <c r="N81" s="29" t="n">
        <f aca="false">'Task Breakdown'!R669</f>
        <v>0</v>
      </c>
      <c r="O81" s="29" t="n">
        <f aca="false">'Task Breakdown'!S669</f>
        <v>0</v>
      </c>
      <c r="P81" s="29" t="n">
        <f aca="false">'Task Breakdown'!T669</f>
        <v>0</v>
      </c>
      <c r="Q81" s="30" t="n">
        <f aca="false">SUM(E81:P81)</f>
        <v>32</v>
      </c>
      <c r="R81" s="31" t="n">
        <f aca="false">IF($Q$230&gt;0,Q81/$Q$230,0)</f>
        <v>0.00364423186425236</v>
      </c>
    </row>
    <row r="82" customFormat="false" ht="15" hidden="false" customHeight="false" outlineLevel="0" collapsed="false">
      <c r="A82" s="26" t="str">
        <f aca="false">'Task Breakdown'!A670</f>
        <v>PS-3.08.02</v>
      </c>
      <c r="B82" s="27" t="str">
        <f aca="false">'Task Breakdown'!G670</f>
        <v>Hands-on labs using Foundry templates</v>
      </c>
      <c r="C82" s="28"/>
      <c r="D82" s="28"/>
      <c r="E82" s="29" t="n">
        <f aca="false">'Task Breakdown'!I670</f>
        <v>0</v>
      </c>
      <c r="F82" s="29" t="n">
        <f aca="false">'Task Breakdown'!J670</f>
        <v>0</v>
      </c>
      <c r="G82" s="29" t="n">
        <f aca="false">'Task Breakdown'!K670</f>
        <v>0</v>
      </c>
      <c r="H82" s="29" t="n">
        <f aca="false">'Task Breakdown'!L670</f>
        <v>0</v>
      </c>
      <c r="I82" s="29" t="n">
        <f aca="false">'Task Breakdown'!M670</f>
        <v>0</v>
      </c>
      <c r="J82" s="29" t="n">
        <f aca="false">'Task Breakdown'!N670</f>
        <v>24</v>
      </c>
      <c r="K82" s="29" t="n">
        <f aca="false">'Task Breakdown'!O670</f>
        <v>0</v>
      </c>
      <c r="L82" s="29" t="n">
        <f aca="false">'Task Breakdown'!P670</f>
        <v>0</v>
      </c>
      <c r="M82" s="29" t="n">
        <f aca="false">'Task Breakdown'!Q670</f>
        <v>0</v>
      </c>
      <c r="N82" s="29" t="n">
        <f aca="false">'Task Breakdown'!R670</f>
        <v>0</v>
      </c>
      <c r="O82" s="29" t="n">
        <f aca="false">'Task Breakdown'!S670</f>
        <v>0</v>
      </c>
      <c r="P82" s="29" t="n">
        <f aca="false">'Task Breakdown'!T670</f>
        <v>0</v>
      </c>
      <c r="Q82" s="30" t="n">
        <f aca="false">SUM(E82:P82)</f>
        <v>24</v>
      </c>
      <c r="R82" s="31" t="n">
        <f aca="false">IF($Q$230&gt;0,Q82/$Q$230,0)</f>
        <v>0.00273317389818927</v>
      </c>
    </row>
    <row r="83" customFormat="false" ht="15" hidden="false" customHeight="false" outlineLevel="0" collapsed="false">
      <c r="A83" s="26" t="str">
        <f aca="false">'Task Breakdown'!A671</f>
        <v>PS-3.08.03</v>
      </c>
      <c r="B83" s="27" t="str">
        <f aca="false">'Task Breakdown'!G671</f>
        <v>Weekly office hours and design clinics</v>
      </c>
      <c r="C83" s="28"/>
      <c r="D83" s="28"/>
      <c r="E83" s="29" t="n">
        <f aca="false">'Task Breakdown'!I671</f>
        <v>0</v>
      </c>
      <c r="F83" s="29" t="n">
        <f aca="false">'Task Breakdown'!J671</f>
        <v>0</v>
      </c>
      <c r="G83" s="29" t="n">
        <f aca="false">'Task Breakdown'!K671</f>
        <v>0</v>
      </c>
      <c r="H83" s="29" t="n">
        <f aca="false">'Task Breakdown'!L671</f>
        <v>0</v>
      </c>
      <c r="I83" s="29" t="n">
        <f aca="false">'Task Breakdown'!M671</f>
        <v>8</v>
      </c>
      <c r="J83" s="29" t="n">
        <f aca="false">'Task Breakdown'!N671</f>
        <v>24</v>
      </c>
      <c r="K83" s="29" t="n">
        <f aca="false">'Task Breakdown'!O671</f>
        <v>0</v>
      </c>
      <c r="L83" s="29" t="n">
        <f aca="false">'Task Breakdown'!P671</f>
        <v>0</v>
      </c>
      <c r="M83" s="29" t="n">
        <f aca="false">'Task Breakdown'!Q671</f>
        <v>0</v>
      </c>
      <c r="N83" s="29" t="n">
        <f aca="false">'Task Breakdown'!R671</f>
        <v>0</v>
      </c>
      <c r="O83" s="29" t="n">
        <f aca="false">'Task Breakdown'!S671</f>
        <v>0</v>
      </c>
      <c r="P83" s="29" t="n">
        <f aca="false">'Task Breakdown'!T671</f>
        <v>0</v>
      </c>
      <c r="Q83" s="30" t="n">
        <f aca="false">SUM(E83:P83)</f>
        <v>32</v>
      </c>
      <c r="R83" s="31" t="n">
        <f aca="false">IF($Q$230&gt;0,Q83/$Q$230,0)</f>
        <v>0.00364423186425236</v>
      </c>
    </row>
    <row r="84" customFormat="false" ht="15" hidden="false" customHeight="false" outlineLevel="0" collapsed="false">
      <c r="A84" s="26" t="str">
        <f aca="false">'Task Breakdown'!A672</f>
        <v>PS-3.08.04</v>
      </c>
      <c r="B84" s="27" t="str">
        <f aca="false">'Task Breakdown'!G672</f>
        <v>Enablement communications</v>
      </c>
      <c r="C84" s="28"/>
      <c r="D84" s="28"/>
      <c r="E84" s="29" t="n">
        <f aca="false">'Task Breakdown'!I672</f>
        <v>0</v>
      </c>
      <c r="F84" s="29" t="n">
        <f aca="false">'Task Breakdown'!J672</f>
        <v>0</v>
      </c>
      <c r="G84" s="29" t="n">
        <f aca="false">'Task Breakdown'!K672</f>
        <v>0</v>
      </c>
      <c r="H84" s="29" t="n">
        <f aca="false">'Task Breakdown'!L672</f>
        <v>0</v>
      </c>
      <c r="I84" s="29" t="n">
        <f aca="false">'Task Breakdown'!M672</f>
        <v>0</v>
      </c>
      <c r="J84" s="29" t="n">
        <f aca="false">'Task Breakdown'!N672</f>
        <v>0</v>
      </c>
      <c r="K84" s="29" t="n">
        <f aca="false">'Task Breakdown'!O672</f>
        <v>0</v>
      </c>
      <c r="L84" s="29" t="n">
        <f aca="false">'Task Breakdown'!P672</f>
        <v>0</v>
      </c>
      <c r="M84" s="29" t="n">
        <f aca="false">'Task Breakdown'!Q672</f>
        <v>0</v>
      </c>
      <c r="N84" s="29" t="n">
        <f aca="false">'Task Breakdown'!R672</f>
        <v>0</v>
      </c>
      <c r="O84" s="29" t="n">
        <f aca="false">'Task Breakdown'!S672</f>
        <v>0</v>
      </c>
      <c r="P84" s="29" t="n">
        <f aca="false">'Task Breakdown'!T672</f>
        <v>8</v>
      </c>
      <c r="Q84" s="30" t="n">
        <f aca="false">SUM(E84:P84)</f>
        <v>8</v>
      </c>
      <c r="R84" s="31" t="n">
        <f aca="false">IF($Q$230&gt;0,Q84/$Q$230,0)</f>
        <v>0.000911057966063091</v>
      </c>
    </row>
    <row r="85" customFormat="false" ht="15" hidden="false" customHeight="false" outlineLevel="0" collapsed="false">
      <c r="A85" s="9"/>
      <c r="B85" s="10" t="s">
        <v>119</v>
      </c>
      <c r="C85" s="9"/>
      <c r="D85" s="9"/>
      <c r="E85" s="32" t="n">
        <f aca="false">E6+E17+E29+E41+E53+E65+E75+E80</f>
        <v>0</v>
      </c>
      <c r="F85" s="32" t="n">
        <f aca="false">F6+F17+F29+F41+F53+F65+F75+F80</f>
        <v>87</v>
      </c>
      <c r="G85" s="32" t="n">
        <f aca="false">G6+G17+G29+G41+G53+G65+G75+G80</f>
        <v>360</v>
      </c>
      <c r="H85" s="32" t="n">
        <f aca="false">H6+H17+H29+H41+H53+H65+H75+H80</f>
        <v>146</v>
      </c>
      <c r="I85" s="32" t="n">
        <f aca="false">I6+I17+I29+I41+I53+I65+I75+I80</f>
        <v>125</v>
      </c>
      <c r="J85" s="32" t="n">
        <f aca="false">J6+J17+J29+J41+J53+J65+J75+J80</f>
        <v>476</v>
      </c>
      <c r="K85" s="32" t="n">
        <f aca="false">K6+K17+K29+K41+K53+K65+K75+K80</f>
        <v>0</v>
      </c>
      <c r="L85" s="32" t="n">
        <f aca="false">L6+L17+L29+L41+L53+L65+L75+L80</f>
        <v>0</v>
      </c>
      <c r="M85" s="32" t="n">
        <f aca="false">M6+M17+M29+M41+M53+M65+M75+M80</f>
        <v>610</v>
      </c>
      <c r="N85" s="32" t="n">
        <f aca="false">N6+N17+N29+N41+N53+N65+N75+N80</f>
        <v>98</v>
      </c>
      <c r="O85" s="32" t="n">
        <f aca="false">O6+O17+O29+O41+O53+O65+O75+O80</f>
        <v>242</v>
      </c>
      <c r="P85" s="32" t="n">
        <f aca="false">P6+P17+P29+P41+P53+P65+P75+P80</f>
        <v>8</v>
      </c>
      <c r="Q85" s="32" t="n">
        <f aca="false">Q6+Q17+Q29+Q41+Q53+Q65+Q75+Q80</f>
        <v>2152</v>
      </c>
      <c r="R85" s="33" t="n">
        <f aca="false">IF($Q$230&gt;0,Q85/$Q$230,0)</f>
        <v>0.245074592870971</v>
      </c>
    </row>
    <row r="87" customFormat="false" ht="15" hidden="false" customHeight="false" outlineLevel="0" collapsed="false">
      <c r="A87" s="21" t="s">
        <v>257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</row>
    <row r="88" customFormat="false" ht="15" hidden="false" customHeight="false" outlineLevel="0" collapsed="false">
      <c r="A88" s="23" t="s">
        <v>258</v>
      </c>
      <c r="B88" s="23" t="s">
        <v>259</v>
      </c>
      <c r="C88" s="23" t="s">
        <v>43</v>
      </c>
      <c r="D88" s="23" t="s">
        <v>260</v>
      </c>
      <c r="E88" s="24" t="n">
        <f aca="false">SUM(E89:E99)</f>
        <v>0</v>
      </c>
      <c r="F88" s="24" t="n">
        <f aca="false">SUM(F89:F99)</f>
        <v>0</v>
      </c>
      <c r="G88" s="24" t="n">
        <f aca="false">SUM(G89:G99)</f>
        <v>17</v>
      </c>
      <c r="H88" s="24" t="n">
        <f aca="false">SUM(H89:H99)</f>
        <v>0</v>
      </c>
      <c r="I88" s="24" t="n">
        <f aca="false">SUM(I89:I99)</f>
        <v>99</v>
      </c>
      <c r="J88" s="24" t="n">
        <f aca="false">SUM(J89:J99)</f>
        <v>246</v>
      </c>
      <c r="K88" s="24" t="n">
        <f aca="false">SUM(K89:K99)</f>
        <v>98</v>
      </c>
      <c r="L88" s="24" t="n">
        <f aca="false">SUM(L89:L99)</f>
        <v>0</v>
      </c>
      <c r="M88" s="24" t="n">
        <f aca="false">SUM(M89:M99)</f>
        <v>0</v>
      </c>
      <c r="N88" s="24" t="n">
        <f aca="false">SUM(N89:N99)</f>
        <v>0</v>
      </c>
      <c r="O88" s="24" t="n">
        <f aca="false">SUM(O89:O99)</f>
        <v>49</v>
      </c>
      <c r="P88" s="24" t="n">
        <f aca="false">SUM(P89:P99)</f>
        <v>0</v>
      </c>
      <c r="Q88" s="24" t="n">
        <f aca="false">SUM(Q89:Q99)</f>
        <v>509</v>
      </c>
      <c r="R88" s="25" t="n">
        <f aca="false">IF($Q$230&gt;0,Q88/$Q$230,0)</f>
        <v>0.0579660630907642</v>
      </c>
    </row>
    <row r="89" customFormat="false" ht="15" hidden="false" customHeight="false" outlineLevel="0" collapsed="false">
      <c r="A89" s="26" t="str">
        <f aca="false">'Task Breakdown'!A364</f>
        <v>DR-3.01.01</v>
      </c>
      <c r="B89" s="27" t="str">
        <f aca="false">'Task Breakdown'!G364</f>
        <v>Design ontology (plants, lines, equipment, products, specs, suppliers)</v>
      </c>
      <c r="C89" s="28"/>
      <c r="D89" s="28"/>
      <c r="E89" s="29" t="n">
        <f aca="false">'Task Breakdown'!I364</f>
        <v>0</v>
      </c>
      <c r="F89" s="29" t="n">
        <f aca="false">'Task Breakdown'!J364</f>
        <v>0</v>
      </c>
      <c r="G89" s="29" t="n">
        <f aca="false">'Task Breakdown'!K364</f>
        <v>0</v>
      </c>
      <c r="H89" s="29" t="n">
        <f aca="false">'Task Breakdown'!L364</f>
        <v>0</v>
      </c>
      <c r="I89" s="29" t="n">
        <f aca="false">'Task Breakdown'!M364</f>
        <v>49</v>
      </c>
      <c r="J89" s="29" t="n">
        <f aca="false">'Task Breakdown'!N364</f>
        <v>0</v>
      </c>
      <c r="K89" s="29" t="n">
        <f aca="false">'Task Breakdown'!O364</f>
        <v>0</v>
      </c>
      <c r="L89" s="29" t="n">
        <f aca="false">'Task Breakdown'!P364</f>
        <v>0</v>
      </c>
      <c r="M89" s="29" t="n">
        <f aca="false">'Task Breakdown'!Q364</f>
        <v>0</v>
      </c>
      <c r="N89" s="29" t="n">
        <f aca="false">'Task Breakdown'!R364</f>
        <v>0</v>
      </c>
      <c r="O89" s="29" t="n">
        <f aca="false">'Task Breakdown'!S364</f>
        <v>0</v>
      </c>
      <c r="P89" s="29" t="n">
        <f aca="false">'Task Breakdown'!T364</f>
        <v>0</v>
      </c>
      <c r="Q89" s="30" t="n">
        <f aca="false">SUM(E89:P89)</f>
        <v>49</v>
      </c>
      <c r="R89" s="31" t="n">
        <f aca="false">IF($Q$230&gt;0,Q89/$Q$230,0)</f>
        <v>0.00558023004213643</v>
      </c>
    </row>
    <row r="90" customFormat="false" ht="15" hidden="false" customHeight="false" outlineLevel="0" collapsed="false">
      <c r="A90" s="26" t="str">
        <f aca="false">'Task Breakdown'!A365</f>
        <v>DR-3.01.02</v>
      </c>
      <c r="B90" s="27" t="str">
        <f aca="false">'Task Breakdown'!G365</f>
        <v>Deploy Cosmos DB for Gremlin</v>
      </c>
      <c r="C90" s="28"/>
      <c r="D90" s="28"/>
      <c r="E90" s="29" t="n">
        <f aca="false">'Task Breakdown'!I365</f>
        <v>0</v>
      </c>
      <c r="F90" s="29" t="n">
        <f aca="false">'Task Breakdown'!J365</f>
        <v>0</v>
      </c>
      <c r="G90" s="29" t="n">
        <f aca="false">'Task Breakdown'!K365</f>
        <v>0</v>
      </c>
      <c r="H90" s="29" t="n">
        <f aca="false">'Task Breakdown'!L365</f>
        <v>0</v>
      </c>
      <c r="I90" s="29" t="n">
        <f aca="false">'Task Breakdown'!M365</f>
        <v>0</v>
      </c>
      <c r="J90" s="29" t="n">
        <f aca="false">'Task Breakdown'!N365</f>
        <v>12</v>
      </c>
      <c r="K90" s="29" t="n">
        <f aca="false">'Task Breakdown'!O365</f>
        <v>0</v>
      </c>
      <c r="L90" s="29" t="n">
        <f aca="false">'Task Breakdown'!P365</f>
        <v>0</v>
      </c>
      <c r="M90" s="29" t="n">
        <f aca="false">'Task Breakdown'!Q365</f>
        <v>0</v>
      </c>
      <c r="N90" s="29" t="n">
        <f aca="false">'Task Breakdown'!R365</f>
        <v>0</v>
      </c>
      <c r="O90" s="29" t="n">
        <f aca="false">'Task Breakdown'!S365</f>
        <v>0</v>
      </c>
      <c r="P90" s="29" t="n">
        <f aca="false">'Task Breakdown'!T365</f>
        <v>0</v>
      </c>
      <c r="Q90" s="30" t="n">
        <f aca="false">SUM(E90:P90)</f>
        <v>12</v>
      </c>
      <c r="R90" s="31" t="n">
        <f aca="false">IF($Q$230&gt;0,Q90/$Q$230,0)</f>
        <v>0.00136658694909464</v>
      </c>
    </row>
    <row r="91" customFormat="false" ht="15" hidden="false" customHeight="false" outlineLevel="0" collapsed="false">
      <c r="A91" s="26" t="str">
        <f aca="false">'Task Breakdown'!A366</f>
        <v>DR-3.01.03</v>
      </c>
      <c r="B91" s="27" t="str">
        <f aca="false">'Task Breakdown'!G366</f>
        <v>Build graph load pipelines from SAP / MES master data</v>
      </c>
      <c r="C91" s="28"/>
      <c r="D91" s="28"/>
      <c r="E91" s="29" t="n">
        <f aca="false">'Task Breakdown'!I366</f>
        <v>0</v>
      </c>
      <c r="F91" s="29" t="n">
        <f aca="false">'Task Breakdown'!J366</f>
        <v>0</v>
      </c>
      <c r="G91" s="29" t="n">
        <f aca="false">'Task Breakdown'!K366</f>
        <v>0</v>
      </c>
      <c r="H91" s="29" t="n">
        <f aca="false">'Task Breakdown'!L366</f>
        <v>0</v>
      </c>
      <c r="I91" s="29" t="n">
        <f aca="false">'Task Breakdown'!M366</f>
        <v>0</v>
      </c>
      <c r="J91" s="29" t="n">
        <f aca="false">'Task Breakdown'!N366</f>
        <v>0</v>
      </c>
      <c r="K91" s="29" t="n">
        <f aca="false">'Task Breakdown'!O366</f>
        <v>73</v>
      </c>
      <c r="L91" s="29" t="n">
        <f aca="false">'Task Breakdown'!P366</f>
        <v>0</v>
      </c>
      <c r="M91" s="29" t="n">
        <f aca="false">'Task Breakdown'!Q366</f>
        <v>0</v>
      </c>
      <c r="N91" s="29" t="n">
        <f aca="false">'Task Breakdown'!R366</f>
        <v>0</v>
      </c>
      <c r="O91" s="29" t="n">
        <f aca="false">'Task Breakdown'!S366</f>
        <v>0</v>
      </c>
      <c r="P91" s="29" t="n">
        <f aca="false">'Task Breakdown'!T366</f>
        <v>0</v>
      </c>
      <c r="Q91" s="30" t="n">
        <f aca="false">SUM(E91:P91)</f>
        <v>73</v>
      </c>
      <c r="R91" s="31" t="n">
        <f aca="false">IF($Q$230&gt;0,Q91/$Q$230,0)</f>
        <v>0.0083134039403257</v>
      </c>
    </row>
    <row r="92" customFormat="false" ht="15" hidden="false" customHeight="false" outlineLevel="0" collapsed="false">
      <c r="A92" s="26" t="str">
        <f aca="false">'Task Breakdown'!A367</f>
        <v>DR-3.01.04</v>
      </c>
      <c r="B92" s="27" t="str">
        <f aca="false">'Task Breakdown'!G367</f>
        <v>Implement GraphRAG indexing over documents</v>
      </c>
      <c r="C92" s="28"/>
      <c r="D92" s="28"/>
      <c r="E92" s="29" t="n">
        <f aca="false">'Task Breakdown'!I367</f>
        <v>0</v>
      </c>
      <c r="F92" s="29" t="n">
        <f aca="false">'Task Breakdown'!J367</f>
        <v>0</v>
      </c>
      <c r="G92" s="29" t="n">
        <f aca="false">'Task Breakdown'!K367</f>
        <v>0</v>
      </c>
      <c r="H92" s="29" t="n">
        <f aca="false">'Task Breakdown'!L367</f>
        <v>0</v>
      </c>
      <c r="I92" s="29" t="n">
        <f aca="false">'Task Breakdown'!M367</f>
        <v>0</v>
      </c>
      <c r="J92" s="29" t="n">
        <f aca="false">'Task Breakdown'!N367</f>
        <v>98</v>
      </c>
      <c r="K92" s="29" t="n">
        <f aca="false">'Task Breakdown'!O367</f>
        <v>0</v>
      </c>
      <c r="L92" s="29" t="n">
        <f aca="false">'Task Breakdown'!P367</f>
        <v>0</v>
      </c>
      <c r="M92" s="29" t="n">
        <f aca="false">'Task Breakdown'!Q367</f>
        <v>0</v>
      </c>
      <c r="N92" s="29" t="n">
        <f aca="false">'Task Breakdown'!R367</f>
        <v>0</v>
      </c>
      <c r="O92" s="29" t="n">
        <f aca="false">'Task Breakdown'!S367</f>
        <v>0</v>
      </c>
      <c r="P92" s="29" t="n">
        <f aca="false">'Task Breakdown'!T367</f>
        <v>0</v>
      </c>
      <c r="Q92" s="30" t="n">
        <f aca="false">SUM(E92:P92)</f>
        <v>98</v>
      </c>
      <c r="R92" s="31" t="n">
        <f aca="false">IF($Q$230&gt;0,Q92/$Q$230,0)</f>
        <v>0.0111604600842729</v>
      </c>
    </row>
    <row r="93" customFormat="false" ht="15" hidden="false" customHeight="false" outlineLevel="0" collapsed="false">
      <c r="A93" s="26" t="str">
        <f aca="false">'Task Breakdown'!A368</f>
        <v>DR-3.01.05</v>
      </c>
      <c r="B93" s="27" t="str">
        <f aca="false">'Task Breakdown'!G368</f>
        <v>Build graph query tools for agents (Gremlin / Cypher)</v>
      </c>
      <c r="C93" s="28"/>
      <c r="D93" s="28"/>
      <c r="E93" s="29" t="n">
        <f aca="false">'Task Breakdown'!I368</f>
        <v>0</v>
      </c>
      <c r="F93" s="29" t="n">
        <f aca="false">'Task Breakdown'!J368</f>
        <v>0</v>
      </c>
      <c r="G93" s="29" t="n">
        <f aca="false">'Task Breakdown'!K368</f>
        <v>0</v>
      </c>
      <c r="H93" s="29" t="n">
        <f aca="false">'Task Breakdown'!L368</f>
        <v>0</v>
      </c>
      <c r="I93" s="29" t="n">
        <f aca="false">'Task Breakdown'!M368</f>
        <v>0</v>
      </c>
      <c r="J93" s="29" t="n">
        <f aca="false">'Task Breakdown'!N368</f>
        <v>61</v>
      </c>
      <c r="K93" s="29" t="n">
        <f aca="false">'Task Breakdown'!O368</f>
        <v>0</v>
      </c>
      <c r="L93" s="29" t="n">
        <f aca="false">'Task Breakdown'!P368</f>
        <v>0</v>
      </c>
      <c r="M93" s="29" t="n">
        <f aca="false">'Task Breakdown'!Q368</f>
        <v>0</v>
      </c>
      <c r="N93" s="29" t="n">
        <f aca="false">'Task Breakdown'!R368</f>
        <v>0</v>
      </c>
      <c r="O93" s="29" t="n">
        <f aca="false">'Task Breakdown'!S368</f>
        <v>0</v>
      </c>
      <c r="P93" s="29" t="n">
        <f aca="false">'Task Breakdown'!T368</f>
        <v>0</v>
      </c>
      <c r="Q93" s="30" t="n">
        <f aca="false">SUM(E93:P93)</f>
        <v>61</v>
      </c>
      <c r="R93" s="31" t="n">
        <f aca="false">IF($Q$230&gt;0,Q93/$Q$230,0)</f>
        <v>0.00694681699123107</v>
      </c>
    </row>
    <row r="94" customFormat="false" ht="15" hidden="false" customHeight="false" outlineLevel="0" collapsed="false">
      <c r="A94" s="26" t="str">
        <f aca="false">'Task Breakdown'!A369</f>
        <v>DR-3.01.06</v>
      </c>
      <c r="B94" s="27" t="str">
        <f aca="false">'Task Breakdown'!G369</f>
        <v>Validate ontology with SMEs</v>
      </c>
      <c r="C94" s="28"/>
      <c r="D94" s="28"/>
      <c r="E94" s="29" t="n">
        <f aca="false">'Task Breakdown'!I369</f>
        <v>0</v>
      </c>
      <c r="F94" s="29" t="n">
        <f aca="false">'Task Breakdown'!J369</f>
        <v>0</v>
      </c>
      <c r="G94" s="29" t="n">
        <f aca="false">'Task Breakdown'!K369</f>
        <v>0</v>
      </c>
      <c r="H94" s="29" t="n">
        <f aca="false">'Task Breakdown'!L369</f>
        <v>0</v>
      </c>
      <c r="I94" s="29" t="n">
        <f aca="false">'Task Breakdown'!M369</f>
        <v>25</v>
      </c>
      <c r="J94" s="29" t="n">
        <f aca="false">'Task Breakdown'!N369</f>
        <v>0</v>
      </c>
      <c r="K94" s="29" t="n">
        <f aca="false">'Task Breakdown'!O369</f>
        <v>25</v>
      </c>
      <c r="L94" s="29" t="n">
        <f aca="false">'Task Breakdown'!P369</f>
        <v>0</v>
      </c>
      <c r="M94" s="29" t="n">
        <f aca="false">'Task Breakdown'!Q369</f>
        <v>0</v>
      </c>
      <c r="N94" s="29" t="n">
        <f aca="false">'Task Breakdown'!R369</f>
        <v>0</v>
      </c>
      <c r="O94" s="29" t="n">
        <f aca="false">'Task Breakdown'!S369</f>
        <v>0</v>
      </c>
      <c r="P94" s="29" t="n">
        <f aca="false">'Task Breakdown'!T369</f>
        <v>0</v>
      </c>
      <c r="Q94" s="30" t="n">
        <f aca="false">SUM(E94:P94)</f>
        <v>50</v>
      </c>
      <c r="R94" s="31" t="n">
        <f aca="false">IF($Q$230&gt;0,Q94/$Q$230,0)</f>
        <v>0.00569411228789432</v>
      </c>
    </row>
    <row r="95" customFormat="false" ht="15" hidden="false" customHeight="false" outlineLevel="0" collapsed="false">
      <c r="A95" s="26" t="str">
        <f aca="false">'Task Breakdown'!A370</f>
        <v>DR-3.01.07</v>
      </c>
      <c r="B95" s="27" t="str">
        <f aca="false">'Task Breakdown'!G370</f>
        <v>Graph quality testing</v>
      </c>
      <c r="C95" s="28"/>
      <c r="D95" s="28"/>
      <c r="E95" s="29" t="n">
        <f aca="false">'Task Breakdown'!I370</f>
        <v>0</v>
      </c>
      <c r="F95" s="29" t="n">
        <f aca="false">'Task Breakdown'!J370</f>
        <v>0</v>
      </c>
      <c r="G95" s="29" t="n">
        <f aca="false">'Task Breakdown'!K370</f>
        <v>0</v>
      </c>
      <c r="H95" s="29" t="n">
        <f aca="false">'Task Breakdown'!L370</f>
        <v>0</v>
      </c>
      <c r="I95" s="29" t="n">
        <f aca="false">'Task Breakdown'!M370</f>
        <v>0</v>
      </c>
      <c r="J95" s="29" t="n">
        <f aca="false">'Task Breakdown'!N370</f>
        <v>25</v>
      </c>
      <c r="K95" s="29" t="n">
        <f aca="false">'Task Breakdown'!O370</f>
        <v>0</v>
      </c>
      <c r="L95" s="29" t="n">
        <f aca="false">'Task Breakdown'!P370</f>
        <v>0</v>
      </c>
      <c r="M95" s="29" t="n">
        <f aca="false">'Task Breakdown'!Q370</f>
        <v>0</v>
      </c>
      <c r="N95" s="29" t="n">
        <f aca="false">'Task Breakdown'!R370</f>
        <v>0</v>
      </c>
      <c r="O95" s="29" t="n">
        <f aca="false">'Task Breakdown'!S370</f>
        <v>49</v>
      </c>
      <c r="P95" s="29" t="n">
        <f aca="false">'Task Breakdown'!T370</f>
        <v>0</v>
      </c>
      <c r="Q95" s="30" t="n">
        <f aca="false">SUM(E95:P95)</f>
        <v>74</v>
      </c>
      <c r="R95" s="31" t="n">
        <f aca="false">IF($Q$230&gt;0,Q95/$Q$230,0)</f>
        <v>0.00842728618608359</v>
      </c>
    </row>
    <row r="96" customFormat="false" ht="15" hidden="false" customHeight="false" outlineLevel="0" collapsed="false">
      <c r="A96" s="26" t="str">
        <f aca="false">'Task Breakdown'!A371</f>
        <v>DR-3.01.08</v>
      </c>
      <c r="B96" s="27" t="str">
        <f aca="false">'Task Breakdown'!G371</f>
        <v>Detailed design and design review</v>
      </c>
      <c r="C96" s="28"/>
      <c r="D96" s="28"/>
      <c r="E96" s="29" t="n">
        <f aca="false">'Task Breakdown'!I371</f>
        <v>0</v>
      </c>
      <c r="F96" s="29" t="n">
        <f aca="false">'Task Breakdown'!J371</f>
        <v>0</v>
      </c>
      <c r="G96" s="29" t="n">
        <f aca="false">'Task Breakdown'!K371</f>
        <v>0</v>
      </c>
      <c r="H96" s="29" t="n">
        <f aca="false">'Task Breakdown'!L371</f>
        <v>0</v>
      </c>
      <c r="I96" s="29" t="n">
        <f aca="false">'Task Breakdown'!M371</f>
        <v>25</v>
      </c>
      <c r="J96" s="29" t="n">
        <f aca="false">'Task Breakdown'!N371</f>
        <v>0</v>
      </c>
      <c r="K96" s="29" t="n">
        <f aca="false">'Task Breakdown'!O371</f>
        <v>0</v>
      </c>
      <c r="L96" s="29" t="n">
        <f aca="false">'Task Breakdown'!P371</f>
        <v>0</v>
      </c>
      <c r="M96" s="29" t="n">
        <f aca="false">'Task Breakdown'!Q371</f>
        <v>0</v>
      </c>
      <c r="N96" s="29" t="n">
        <f aca="false">'Task Breakdown'!R371</f>
        <v>0</v>
      </c>
      <c r="O96" s="29" t="n">
        <f aca="false">'Task Breakdown'!S371</f>
        <v>0</v>
      </c>
      <c r="P96" s="29" t="n">
        <f aca="false">'Task Breakdown'!T371</f>
        <v>0</v>
      </c>
      <c r="Q96" s="30" t="n">
        <f aca="false">SUM(E96:P96)</f>
        <v>25</v>
      </c>
      <c r="R96" s="31" t="n">
        <f aca="false">IF($Q$230&gt;0,Q96/$Q$230,0)</f>
        <v>0.00284705614394716</v>
      </c>
    </row>
    <row r="97" customFormat="false" ht="15" hidden="false" customHeight="false" outlineLevel="0" collapsed="false">
      <c r="A97" s="26" t="str">
        <f aca="false">'Task Breakdown'!A372</f>
        <v>DR-3.01.09</v>
      </c>
      <c r="B97" s="27" t="str">
        <f aca="false">'Task Breakdown'!G372</f>
        <v>Promote through dev / test / prod and release</v>
      </c>
      <c r="C97" s="28"/>
      <c r="D97" s="28"/>
      <c r="E97" s="29" t="n">
        <f aca="false">'Task Breakdown'!I372</f>
        <v>0</v>
      </c>
      <c r="F97" s="29" t="n">
        <f aca="false">'Task Breakdown'!J372</f>
        <v>0</v>
      </c>
      <c r="G97" s="29" t="n">
        <f aca="false">'Task Breakdown'!K372</f>
        <v>17</v>
      </c>
      <c r="H97" s="29" t="n">
        <f aca="false">'Task Breakdown'!L372</f>
        <v>0</v>
      </c>
      <c r="I97" s="29" t="n">
        <f aca="false">'Task Breakdown'!M372</f>
        <v>0</v>
      </c>
      <c r="J97" s="29" t="n">
        <f aca="false">'Task Breakdown'!N372</f>
        <v>0</v>
      </c>
      <c r="K97" s="29" t="n">
        <f aca="false">'Task Breakdown'!O372</f>
        <v>0</v>
      </c>
      <c r="L97" s="29" t="n">
        <f aca="false">'Task Breakdown'!P372</f>
        <v>0</v>
      </c>
      <c r="M97" s="29" t="n">
        <f aca="false">'Task Breakdown'!Q372</f>
        <v>0</v>
      </c>
      <c r="N97" s="29" t="n">
        <f aca="false">'Task Breakdown'!R372</f>
        <v>0</v>
      </c>
      <c r="O97" s="29" t="n">
        <f aca="false">'Task Breakdown'!S372</f>
        <v>0</v>
      </c>
      <c r="P97" s="29" t="n">
        <f aca="false">'Task Breakdown'!T372</f>
        <v>0</v>
      </c>
      <c r="Q97" s="30" t="n">
        <f aca="false">SUM(E97:P97)</f>
        <v>17</v>
      </c>
      <c r="R97" s="31" t="n">
        <f aca="false">IF($Q$230&gt;0,Q97/$Q$230,0)</f>
        <v>0.00193599817788407</v>
      </c>
    </row>
    <row r="98" customFormat="false" ht="15" hidden="false" customHeight="false" outlineLevel="0" collapsed="false">
      <c r="A98" s="26" t="str">
        <f aca="false">'Task Breakdown'!A373</f>
        <v>DR-3.01.10</v>
      </c>
      <c r="B98" s="27" t="str">
        <f aca="false">'Task Breakdown'!G373</f>
        <v>Documentation, runbook and knowledge transfer</v>
      </c>
      <c r="C98" s="28"/>
      <c r="D98" s="28"/>
      <c r="E98" s="29" t="n">
        <f aca="false">'Task Breakdown'!I373</f>
        <v>0</v>
      </c>
      <c r="F98" s="29" t="n">
        <f aca="false">'Task Breakdown'!J373</f>
        <v>0</v>
      </c>
      <c r="G98" s="29" t="n">
        <f aca="false">'Task Breakdown'!K373</f>
        <v>0</v>
      </c>
      <c r="H98" s="29" t="n">
        <f aca="false">'Task Breakdown'!L373</f>
        <v>0</v>
      </c>
      <c r="I98" s="29" t="n">
        <f aca="false">'Task Breakdown'!M373</f>
        <v>0</v>
      </c>
      <c r="J98" s="29" t="n">
        <f aca="false">'Task Breakdown'!N373</f>
        <v>17</v>
      </c>
      <c r="K98" s="29" t="n">
        <f aca="false">'Task Breakdown'!O373</f>
        <v>0</v>
      </c>
      <c r="L98" s="29" t="n">
        <f aca="false">'Task Breakdown'!P373</f>
        <v>0</v>
      </c>
      <c r="M98" s="29" t="n">
        <f aca="false">'Task Breakdown'!Q373</f>
        <v>0</v>
      </c>
      <c r="N98" s="29" t="n">
        <f aca="false">'Task Breakdown'!R373</f>
        <v>0</v>
      </c>
      <c r="O98" s="29" t="n">
        <f aca="false">'Task Breakdown'!S373</f>
        <v>0</v>
      </c>
      <c r="P98" s="29" t="n">
        <f aca="false">'Task Breakdown'!T373</f>
        <v>0</v>
      </c>
      <c r="Q98" s="30" t="n">
        <f aca="false">SUM(E98:P98)</f>
        <v>17</v>
      </c>
      <c r="R98" s="31" t="n">
        <f aca="false">IF($Q$230&gt;0,Q98/$Q$230,0)</f>
        <v>0.00193599817788407</v>
      </c>
    </row>
    <row r="99" customFormat="false" ht="15" hidden="false" customHeight="false" outlineLevel="0" collapsed="false">
      <c r="A99" s="26" t="str">
        <f aca="false">'Task Breakdown'!A374</f>
        <v>DR-3.01.11</v>
      </c>
      <c r="B99" s="27" t="str">
        <f aca="false">'Task Breakdown'!G374</f>
        <v>Defect fixing and rework after testing</v>
      </c>
      <c r="C99" s="28"/>
      <c r="D99" s="28"/>
      <c r="E99" s="29" t="n">
        <f aca="false">'Task Breakdown'!I374</f>
        <v>0</v>
      </c>
      <c r="F99" s="29" t="n">
        <f aca="false">'Task Breakdown'!J374</f>
        <v>0</v>
      </c>
      <c r="G99" s="29" t="n">
        <f aca="false">'Task Breakdown'!K374</f>
        <v>0</v>
      </c>
      <c r="H99" s="29" t="n">
        <f aca="false">'Task Breakdown'!L374</f>
        <v>0</v>
      </c>
      <c r="I99" s="29" t="n">
        <f aca="false">'Task Breakdown'!M374</f>
        <v>0</v>
      </c>
      <c r="J99" s="29" t="n">
        <f aca="false">'Task Breakdown'!N374</f>
        <v>33</v>
      </c>
      <c r="K99" s="29" t="n">
        <f aca="false">'Task Breakdown'!O374</f>
        <v>0</v>
      </c>
      <c r="L99" s="29" t="n">
        <f aca="false">'Task Breakdown'!P374</f>
        <v>0</v>
      </c>
      <c r="M99" s="29" t="n">
        <f aca="false">'Task Breakdown'!Q374</f>
        <v>0</v>
      </c>
      <c r="N99" s="29" t="n">
        <f aca="false">'Task Breakdown'!R374</f>
        <v>0</v>
      </c>
      <c r="O99" s="29" t="n">
        <f aca="false">'Task Breakdown'!S374</f>
        <v>0</v>
      </c>
      <c r="P99" s="29" t="n">
        <f aca="false">'Task Breakdown'!T374</f>
        <v>0</v>
      </c>
      <c r="Q99" s="30" t="n">
        <f aca="false">SUM(E99:P99)</f>
        <v>33</v>
      </c>
      <c r="R99" s="31" t="n">
        <f aca="false">IF($Q$230&gt;0,Q99/$Q$230,0)</f>
        <v>0.00375811411001025</v>
      </c>
    </row>
    <row r="100" customFormat="false" ht="15" hidden="false" customHeight="false" outlineLevel="0" collapsed="false">
      <c r="A100" s="23" t="s">
        <v>261</v>
      </c>
      <c r="B100" s="23" t="s">
        <v>262</v>
      </c>
      <c r="C100" s="23" t="s">
        <v>43</v>
      </c>
      <c r="D100" s="23" t="s">
        <v>263</v>
      </c>
      <c r="E100" s="24" t="n">
        <f aca="false">SUM(E101:E109)</f>
        <v>0</v>
      </c>
      <c r="F100" s="24" t="n">
        <f aca="false">SUM(F101:F109)</f>
        <v>0</v>
      </c>
      <c r="G100" s="24" t="n">
        <f aca="false">SUM(G101:G109)</f>
        <v>9</v>
      </c>
      <c r="H100" s="24" t="n">
        <f aca="false">SUM(H101:H109)</f>
        <v>0</v>
      </c>
      <c r="I100" s="24" t="n">
        <f aca="false">SUM(I101:I109)</f>
        <v>14</v>
      </c>
      <c r="J100" s="24" t="n">
        <f aca="false">SUM(J101:J109)</f>
        <v>149</v>
      </c>
      <c r="K100" s="24" t="n">
        <f aca="false">SUM(K101:K109)</f>
        <v>61</v>
      </c>
      <c r="L100" s="24" t="n">
        <f aca="false">SUM(L101:L109)</f>
        <v>0</v>
      </c>
      <c r="M100" s="24" t="n">
        <f aca="false">SUM(M101:M109)</f>
        <v>0</v>
      </c>
      <c r="N100" s="24" t="n">
        <f aca="false">SUM(N101:N109)</f>
        <v>20</v>
      </c>
      <c r="O100" s="24" t="n">
        <f aca="false">SUM(O101:O109)</f>
        <v>20</v>
      </c>
      <c r="P100" s="24" t="n">
        <f aca="false">SUM(P101:P109)</f>
        <v>0</v>
      </c>
      <c r="Q100" s="24" t="n">
        <f aca="false">SUM(Q101:Q109)</f>
        <v>273</v>
      </c>
      <c r="R100" s="25" t="n">
        <f aca="false">IF($Q$230&gt;0,Q100/$Q$230,0)</f>
        <v>0.031089853091903</v>
      </c>
    </row>
    <row r="101" customFormat="false" ht="15" hidden="false" customHeight="false" outlineLevel="0" collapsed="false">
      <c r="A101" s="26" t="str">
        <f aca="false">'Task Breakdown'!A375</f>
        <v>DR-3.02.01</v>
      </c>
      <c r="B101" s="27" t="str">
        <f aca="false">'Task Breakdown'!G375</f>
        <v>Define entity types and linking rules</v>
      </c>
      <c r="C101" s="28"/>
      <c r="D101" s="28"/>
      <c r="E101" s="29" t="n">
        <f aca="false">'Task Breakdown'!I375</f>
        <v>0</v>
      </c>
      <c r="F101" s="29" t="n">
        <f aca="false">'Task Breakdown'!J375</f>
        <v>0</v>
      </c>
      <c r="G101" s="29" t="n">
        <f aca="false">'Task Breakdown'!K375</f>
        <v>0</v>
      </c>
      <c r="H101" s="29" t="n">
        <f aca="false">'Task Breakdown'!L375</f>
        <v>0</v>
      </c>
      <c r="I101" s="29" t="n">
        <f aca="false">'Task Breakdown'!M375</f>
        <v>0</v>
      </c>
      <c r="J101" s="29" t="n">
        <f aca="false">'Task Breakdown'!N375</f>
        <v>10</v>
      </c>
      <c r="K101" s="29" t="n">
        <f aca="false">'Task Breakdown'!O375</f>
        <v>0</v>
      </c>
      <c r="L101" s="29" t="n">
        <f aca="false">'Task Breakdown'!P375</f>
        <v>0</v>
      </c>
      <c r="M101" s="29" t="n">
        <f aca="false">'Task Breakdown'!Q375</f>
        <v>0</v>
      </c>
      <c r="N101" s="29" t="n">
        <f aca="false">'Task Breakdown'!R375</f>
        <v>20</v>
      </c>
      <c r="O101" s="29" t="n">
        <f aca="false">'Task Breakdown'!S375</f>
        <v>0</v>
      </c>
      <c r="P101" s="29" t="n">
        <f aca="false">'Task Breakdown'!T375</f>
        <v>0</v>
      </c>
      <c r="Q101" s="30" t="n">
        <f aca="false">SUM(E101:P101)</f>
        <v>30</v>
      </c>
      <c r="R101" s="31" t="n">
        <f aca="false">IF($Q$230&gt;0,Q101/$Q$230,0)</f>
        <v>0.00341646737273659</v>
      </c>
    </row>
    <row r="102" customFormat="false" ht="15" hidden="false" customHeight="false" outlineLevel="0" collapsed="false">
      <c r="A102" s="26" t="str">
        <f aca="false">'Task Breakdown'!A376</f>
        <v>DR-3.02.02</v>
      </c>
      <c r="B102" s="27" t="str">
        <f aca="false">'Task Breakdown'!G376</f>
        <v>Build LLM / AI Language extraction pipeline</v>
      </c>
      <c r="C102" s="28"/>
      <c r="D102" s="28"/>
      <c r="E102" s="29" t="n">
        <f aca="false">'Task Breakdown'!I376</f>
        <v>0</v>
      </c>
      <c r="F102" s="29" t="n">
        <f aca="false">'Task Breakdown'!J376</f>
        <v>0</v>
      </c>
      <c r="G102" s="29" t="n">
        <f aca="false">'Task Breakdown'!K376</f>
        <v>0</v>
      </c>
      <c r="H102" s="29" t="n">
        <f aca="false">'Task Breakdown'!L376</f>
        <v>0</v>
      </c>
      <c r="I102" s="29" t="n">
        <f aca="false">'Task Breakdown'!M376</f>
        <v>0</v>
      </c>
      <c r="J102" s="29" t="n">
        <f aca="false">'Task Breakdown'!N376</f>
        <v>51</v>
      </c>
      <c r="K102" s="29" t="n">
        <f aca="false">'Task Breakdown'!O376</f>
        <v>0</v>
      </c>
      <c r="L102" s="29" t="n">
        <f aca="false">'Task Breakdown'!P376</f>
        <v>0</v>
      </c>
      <c r="M102" s="29" t="n">
        <f aca="false">'Task Breakdown'!Q376</f>
        <v>0</v>
      </c>
      <c r="N102" s="29" t="n">
        <f aca="false">'Task Breakdown'!R376</f>
        <v>0</v>
      </c>
      <c r="O102" s="29" t="n">
        <f aca="false">'Task Breakdown'!S376</f>
        <v>0</v>
      </c>
      <c r="P102" s="29" t="n">
        <f aca="false">'Task Breakdown'!T376</f>
        <v>0</v>
      </c>
      <c r="Q102" s="30" t="n">
        <f aca="false">SUM(E102:P102)</f>
        <v>51</v>
      </c>
      <c r="R102" s="31" t="n">
        <f aca="false">IF($Q$230&gt;0,Q102/$Q$230,0)</f>
        <v>0.0058079945336522</v>
      </c>
    </row>
    <row r="103" customFormat="false" ht="15" hidden="false" customHeight="false" outlineLevel="0" collapsed="false">
      <c r="A103" s="26" t="str">
        <f aca="false">'Task Breakdown'!A377</f>
        <v>DR-3.02.03</v>
      </c>
      <c r="B103" s="27" t="str">
        <f aca="false">'Task Breakdown'!G377</f>
        <v>Resolve entities to master data (SAP material, equipment IDs)</v>
      </c>
      <c r="C103" s="28"/>
      <c r="D103" s="28"/>
      <c r="E103" s="29" t="n">
        <f aca="false">'Task Breakdown'!I377</f>
        <v>0</v>
      </c>
      <c r="F103" s="29" t="n">
        <f aca="false">'Task Breakdown'!J377</f>
        <v>0</v>
      </c>
      <c r="G103" s="29" t="n">
        <f aca="false">'Task Breakdown'!K377</f>
        <v>0</v>
      </c>
      <c r="H103" s="29" t="n">
        <f aca="false">'Task Breakdown'!L377</f>
        <v>0</v>
      </c>
      <c r="I103" s="29" t="n">
        <f aca="false">'Task Breakdown'!M377</f>
        <v>0</v>
      </c>
      <c r="J103" s="29" t="n">
        <f aca="false">'Task Breakdown'!N377</f>
        <v>31</v>
      </c>
      <c r="K103" s="29" t="n">
        <f aca="false">'Task Breakdown'!O377</f>
        <v>41</v>
      </c>
      <c r="L103" s="29" t="n">
        <f aca="false">'Task Breakdown'!P377</f>
        <v>0</v>
      </c>
      <c r="M103" s="29" t="n">
        <f aca="false">'Task Breakdown'!Q377</f>
        <v>0</v>
      </c>
      <c r="N103" s="29" t="n">
        <f aca="false">'Task Breakdown'!R377</f>
        <v>0</v>
      </c>
      <c r="O103" s="29" t="n">
        <f aca="false">'Task Breakdown'!S377</f>
        <v>0</v>
      </c>
      <c r="P103" s="29" t="n">
        <f aca="false">'Task Breakdown'!T377</f>
        <v>0</v>
      </c>
      <c r="Q103" s="30" t="n">
        <f aca="false">SUM(E103:P103)</f>
        <v>72</v>
      </c>
      <c r="R103" s="31" t="n">
        <f aca="false">IF($Q$230&gt;0,Q103/$Q$230,0)</f>
        <v>0.00819952169456782</v>
      </c>
    </row>
    <row r="104" customFormat="false" ht="15" hidden="false" customHeight="false" outlineLevel="0" collapsed="false">
      <c r="A104" s="26" t="str">
        <f aca="false">'Task Breakdown'!A378</f>
        <v>DR-3.02.04</v>
      </c>
      <c r="B104" s="27" t="str">
        <f aca="false">'Task Breakdown'!G378</f>
        <v>Write relationships to the graph</v>
      </c>
      <c r="C104" s="28"/>
      <c r="D104" s="28"/>
      <c r="E104" s="29" t="n">
        <f aca="false">'Task Breakdown'!I378</f>
        <v>0</v>
      </c>
      <c r="F104" s="29" t="n">
        <f aca="false">'Task Breakdown'!J378</f>
        <v>0</v>
      </c>
      <c r="G104" s="29" t="n">
        <f aca="false">'Task Breakdown'!K378</f>
        <v>0</v>
      </c>
      <c r="H104" s="29" t="n">
        <f aca="false">'Task Breakdown'!L378</f>
        <v>0</v>
      </c>
      <c r="I104" s="29" t="n">
        <f aca="false">'Task Breakdown'!M378</f>
        <v>0</v>
      </c>
      <c r="J104" s="29" t="n">
        <f aca="false">'Task Breakdown'!N378</f>
        <v>10</v>
      </c>
      <c r="K104" s="29" t="n">
        <f aca="false">'Task Breakdown'!O378</f>
        <v>20</v>
      </c>
      <c r="L104" s="29" t="n">
        <f aca="false">'Task Breakdown'!P378</f>
        <v>0</v>
      </c>
      <c r="M104" s="29" t="n">
        <f aca="false">'Task Breakdown'!Q378</f>
        <v>0</v>
      </c>
      <c r="N104" s="29" t="n">
        <f aca="false">'Task Breakdown'!R378</f>
        <v>0</v>
      </c>
      <c r="O104" s="29" t="n">
        <f aca="false">'Task Breakdown'!S378</f>
        <v>0</v>
      </c>
      <c r="P104" s="29" t="n">
        <f aca="false">'Task Breakdown'!T378</f>
        <v>0</v>
      </c>
      <c r="Q104" s="30" t="n">
        <f aca="false">SUM(E104:P104)</f>
        <v>30</v>
      </c>
      <c r="R104" s="31" t="n">
        <f aca="false">IF($Q$230&gt;0,Q104/$Q$230,0)</f>
        <v>0.00341646737273659</v>
      </c>
    </row>
    <row r="105" customFormat="false" ht="15" hidden="false" customHeight="false" outlineLevel="0" collapsed="false">
      <c r="A105" s="26" t="str">
        <f aca="false">'Task Breakdown'!A379</f>
        <v>DR-3.02.05</v>
      </c>
      <c r="B105" s="27" t="str">
        <f aca="false">'Task Breakdown'!G379</f>
        <v>Precision / recall evaluation</v>
      </c>
      <c r="C105" s="28"/>
      <c r="D105" s="28"/>
      <c r="E105" s="29" t="n">
        <f aca="false">'Task Breakdown'!I379</f>
        <v>0</v>
      </c>
      <c r="F105" s="29" t="n">
        <f aca="false">'Task Breakdown'!J379</f>
        <v>0</v>
      </c>
      <c r="G105" s="29" t="n">
        <f aca="false">'Task Breakdown'!K379</f>
        <v>0</v>
      </c>
      <c r="H105" s="29" t="n">
        <f aca="false">'Task Breakdown'!L379</f>
        <v>0</v>
      </c>
      <c r="I105" s="29" t="n">
        <f aca="false">'Task Breakdown'!M379</f>
        <v>0</v>
      </c>
      <c r="J105" s="29" t="n">
        <f aca="false">'Task Breakdown'!N379</f>
        <v>20</v>
      </c>
      <c r="K105" s="29" t="n">
        <f aca="false">'Task Breakdown'!O379</f>
        <v>0</v>
      </c>
      <c r="L105" s="29" t="n">
        <f aca="false">'Task Breakdown'!P379</f>
        <v>0</v>
      </c>
      <c r="M105" s="29" t="n">
        <f aca="false">'Task Breakdown'!Q379</f>
        <v>0</v>
      </c>
      <c r="N105" s="29" t="n">
        <f aca="false">'Task Breakdown'!R379</f>
        <v>0</v>
      </c>
      <c r="O105" s="29" t="n">
        <f aca="false">'Task Breakdown'!S379</f>
        <v>20</v>
      </c>
      <c r="P105" s="29" t="n">
        <f aca="false">'Task Breakdown'!T379</f>
        <v>0</v>
      </c>
      <c r="Q105" s="30" t="n">
        <f aca="false">SUM(E105:P105)</f>
        <v>40</v>
      </c>
      <c r="R105" s="31" t="n">
        <f aca="false">IF($Q$230&gt;0,Q105/$Q$230,0)</f>
        <v>0.00455528983031545</v>
      </c>
    </row>
    <row r="106" customFormat="false" ht="15" hidden="false" customHeight="false" outlineLevel="0" collapsed="false">
      <c r="A106" s="26" t="str">
        <f aca="false">'Task Breakdown'!A380</f>
        <v>DR-3.02.06</v>
      </c>
      <c r="B106" s="27" t="str">
        <f aca="false">'Task Breakdown'!G380</f>
        <v>Detailed design and design review</v>
      </c>
      <c r="C106" s="28"/>
      <c r="D106" s="28"/>
      <c r="E106" s="29" t="n">
        <f aca="false">'Task Breakdown'!I380</f>
        <v>0</v>
      </c>
      <c r="F106" s="29" t="n">
        <f aca="false">'Task Breakdown'!J380</f>
        <v>0</v>
      </c>
      <c r="G106" s="29" t="n">
        <f aca="false">'Task Breakdown'!K380</f>
        <v>0</v>
      </c>
      <c r="H106" s="29" t="n">
        <f aca="false">'Task Breakdown'!L380</f>
        <v>0</v>
      </c>
      <c r="I106" s="29" t="n">
        <f aca="false">'Task Breakdown'!M380</f>
        <v>14</v>
      </c>
      <c r="J106" s="29" t="n">
        <f aca="false">'Task Breakdown'!N380</f>
        <v>0</v>
      </c>
      <c r="K106" s="29" t="n">
        <f aca="false">'Task Breakdown'!O380</f>
        <v>0</v>
      </c>
      <c r="L106" s="29" t="n">
        <f aca="false">'Task Breakdown'!P380</f>
        <v>0</v>
      </c>
      <c r="M106" s="29" t="n">
        <f aca="false">'Task Breakdown'!Q380</f>
        <v>0</v>
      </c>
      <c r="N106" s="29" t="n">
        <f aca="false">'Task Breakdown'!R380</f>
        <v>0</v>
      </c>
      <c r="O106" s="29" t="n">
        <f aca="false">'Task Breakdown'!S380</f>
        <v>0</v>
      </c>
      <c r="P106" s="29" t="n">
        <f aca="false">'Task Breakdown'!T380</f>
        <v>0</v>
      </c>
      <c r="Q106" s="30" t="n">
        <f aca="false">SUM(E106:P106)</f>
        <v>14</v>
      </c>
      <c r="R106" s="31" t="n">
        <f aca="false">IF($Q$230&gt;0,Q106/$Q$230,0)</f>
        <v>0.00159435144061041</v>
      </c>
    </row>
    <row r="107" customFormat="false" ht="15" hidden="false" customHeight="false" outlineLevel="0" collapsed="false">
      <c r="A107" s="26" t="str">
        <f aca="false">'Task Breakdown'!A381</f>
        <v>DR-3.02.07</v>
      </c>
      <c r="B107" s="27" t="str">
        <f aca="false">'Task Breakdown'!G381</f>
        <v>Promote through dev / test / prod and release</v>
      </c>
      <c r="C107" s="28"/>
      <c r="D107" s="28"/>
      <c r="E107" s="29" t="n">
        <f aca="false">'Task Breakdown'!I381</f>
        <v>0</v>
      </c>
      <c r="F107" s="29" t="n">
        <f aca="false">'Task Breakdown'!J381</f>
        <v>0</v>
      </c>
      <c r="G107" s="29" t="n">
        <f aca="false">'Task Breakdown'!K381</f>
        <v>9</v>
      </c>
      <c r="H107" s="29" t="n">
        <f aca="false">'Task Breakdown'!L381</f>
        <v>0</v>
      </c>
      <c r="I107" s="29" t="n">
        <f aca="false">'Task Breakdown'!M381</f>
        <v>0</v>
      </c>
      <c r="J107" s="29" t="n">
        <f aca="false">'Task Breakdown'!N381</f>
        <v>0</v>
      </c>
      <c r="K107" s="29" t="n">
        <f aca="false">'Task Breakdown'!O381</f>
        <v>0</v>
      </c>
      <c r="L107" s="29" t="n">
        <f aca="false">'Task Breakdown'!P381</f>
        <v>0</v>
      </c>
      <c r="M107" s="29" t="n">
        <f aca="false">'Task Breakdown'!Q381</f>
        <v>0</v>
      </c>
      <c r="N107" s="29" t="n">
        <f aca="false">'Task Breakdown'!R381</f>
        <v>0</v>
      </c>
      <c r="O107" s="29" t="n">
        <f aca="false">'Task Breakdown'!S381</f>
        <v>0</v>
      </c>
      <c r="P107" s="29" t="n">
        <f aca="false">'Task Breakdown'!T381</f>
        <v>0</v>
      </c>
      <c r="Q107" s="30" t="n">
        <f aca="false">SUM(E107:P107)</f>
        <v>9</v>
      </c>
      <c r="R107" s="31" t="n">
        <f aca="false">IF($Q$230&gt;0,Q107/$Q$230,0)</f>
        <v>0.00102494021182098</v>
      </c>
    </row>
    <row r="108" customFormat="false" ht="15" hidden="false" customHeight="false" outlineLevel="0" collapsed="false">
      <c r="A108" s="26" t="str">
        <f aca="false">'Task Breakdown'!A382</f>
        <v>DR-3.02.08</v>
      </c>
      <c r="B108" s="27" t="str">
        <f aca="false">'Task Breakdown'!G382</f>
        <v>Documentation, runbook and knowledge transfer</v>
      </c>
      <c r="C108" s="28"/>
      <c r="D108" s="28"/>
      <c r="E108" s="29" t="n">
        <f aca="false">'Task Breakdown'!I382</f>
        <v>0</v>
      </c>
      <c r="F108" s="29" t="n">
        <f aca="false">'Task Breakdown'!J382</f>
        <v>0</v>
      </c>
      <c r="G108" s="29" t="n">
        <f aca="false">'Task Breakdown'!K382</f>
        <v>0</v>
      </c>
      <c r="H108" s="29" t="n">
        <f aca="false">'Task Breakdown'!L382</f>
        <v>0</v>
      </c>
      <c r="I108" s="29" t="n">
        <f aca="false">'Task Breakdown'!M382</f>
        <v>0</v>
      </c>
      <c r="J108" s="29" t="n">
        <f aca="false">'Task Breakdown'!N382</f>
        <v>9</v>
      </c>
      <c r="K108" s="29" t="n">
        <f aca="false">'Task Breakdown'!O382</f>
        <v>0</v>
      </c>
      <c r="L108" s="29" t="n">
        <f aca="false">'Task Breakdown'!P382</f>
        <v>0</v>
      </c>
      <c r="M108" s="29" t="n">
        <f aca="false">'Task Breakdown'!Q382</f>
        <v>0</v>
      </c>
      <c r="N108" s="29" t="n">
        <f aca="false">'Task Breakdown'!R382</f>
        <v>0</v>
      </c>
      <c r="O108" s="29" t="n">
        <f aca="false">'Task Breakdown'!S382</f>
        <v>0</v>
      </c>
      <c r="P108" s="29" t="n">
        <f aca="false">'Task Breakdown'!T382</f>
        <v>0</v>
      </c>
      <c r="Q108" s="30" t="n">
        <f aca="false">SUM(E108:P108)</f>
        <v>9</v>
      </c>
      <c r="R108" s="31" t="n">
        <f aca="false">IF($Q$230&gt;0,Q108/$Q$230,0)</f>
        <v>0.00102494021182098</v>
      </c>
    </row>
    <row r="109" customFormat="false" ht="15" hidden="false" customHeight="false" outlineLevel="0" collapsed="false">
      <c r="A109" s="26" t="str">
        <f aca="false">'Task Breakdown'!A383</f>
        <v>DR-3.02.09</v>
      </c>
      <c r="B109" s="27" t="str">
        <f aca="false">'Task Breakdown'!G383</f>
        <v>Defect fixing and rework after testing</v>
      </c>
      <c r="C109" s="28"/>
      <c r="D109" s="28"/>
      <c r="E109" s="29" t="n">
        <f aca="false">'Task Breakdown'!I383</f>
        <v>0</v>
      </c>
      <c r="F109" s="29" t="n">
        <f aca="false">'Task Breakdown'!J383</f>
        <v>0</v>
      </c>
      <c r="G109" s="29" t="n">
        <f aca="false">'Task Breakdown'!K383</f>
        <v>0</v>
      </c>
      <c r="H109" s="29" t="n">
        <f aca="false">'Task Breakdown'!L383</f>
        <v>0</v>
      </c>
      <c r="I109" s="29" t="n">
        <f aca="false">'Task Breakdown'!M383</f>
        <v>0</v>
      </c>
      <c r="J109" s="29" t="n">
        <f aca="false">'Task Breakdown'!N383</f>
        <v>18</v>
      </c>
      <c r="K109" s="29" t="n">
        <f aca="false">'Task Breakdown'!O383</f>
        <v>0</v>
      </c>
      <c r="L109" s="29" t="n">
        <f aca="false">'Task Breakdown'!P383</f>
        <v>0</v>
      </c>
      <c r="M109" s="29" t="n">
        <f aca="false">'Task Breakdown'!Q383</f>
        <v>0</v>
      </c>
      <c r="N109" s="29" t="n">
        <f aca="false">'Task Breakdown'!R383</f>
        <v>0</v>
      </c>
      <c r="O109" s="29" t="n">
        <f aca="false">'Task Breakdown'!S383</f>
        <v>0</v>
      </c>
      <c r="P109" s="29" t="n">
        <f aca="false">'Task Breakdown'!T383</f>
        <v>0</v>
      </c>
      <c r="Q109" s="30" t="n">
        <f aca="false">SUM(E109:P109)</f>
        <v>18</v>
      </c>
      <c r="R109" s="31" t="n">
        <f aca="false">IF($Q$230&gt;0,Q109/$Q$230,0)</f>
        <v>0.00204988042364195</v>
      </c>
    </row>
    <row r="110" customFormat="false" ht="15" hidden="false" customHeight="false" outlineLevel="0" collapsed="false">
      <c r="A110" s="23" t="s">
        <v>264</v>
      </c>
      <c r="B110" s="23" t="s">
        <v>265</v>
      </c>
      <c r="C110" s="23" t="s">
        <v>44</v>
      </c>
      <c r="D110" s="23" t="s">
        <v>266</v>
      </c>
      <c r="E110" s="24" t="n">
        <f aca="false">SUM(E111:E120)</f>
        <v>0</v>
      </c>
      <c r="F110" s="24" t="n">
        <f aca="false">SUM(F111:F120)</f>
        <v>29</v>
      </c>
      <c r="G110" s="24" t="n">
        <f aca="false">SUM(G111:G120)</f>
        <v>72</v>
      </c>
      <c r="H110" s="24" t="n">
        <f aca="false">SUM(H111:H120)</f>
        <v>0</v>
      </c>
      <c r="I110" s="24" t="n">
        <f aca="false">SUM(I111:I120)</f>
        <v>0</v>
      </c>
      <c r="J110" s="24" t="n">
        <f aca="false">SUM(J111:J120)</f>
        <v>0</v>
      </c>
      <c r="K110" s="24" t="n">
        <f aca="false">SUM(K111:K120)</f>
        <v>274</v>
      </c>
      <c r="L110" s="24" t="n">
        <f aca="false">SUM(L111:L120)</f>
        <v>22</v>
      </c>
      <c r="M110" s="24" t="n">
        <f aca="false">SUM(M111:M120)</f>
        <v>0</v>
      </c>
      <c r="N110" s="24" t="n">
        <f aca="false">SUM(N111:N120)</f>
        <v>0</v>
      </c>
      <c r="O110" s="24" t="n">
        <f aca="false">SUM(O111:O120)</f>
        <v>57</v>
      </c>
      <c r="P110" s="24" t="n">
        <f aca="false">SUM(P111:P120)</f>
        <v>0</v>
      </c>
      <c r="Q110" s="24" t="n">
        <f aca="false">SUM(Q111:Q120)</f>
        <v>454</v>
      </c>
      <c r="R110" s="25" t="n">
        <f aca="false">IF($Q$230&gt;0,Q110/$Q$230,0)</f>
        <v>0.0517025395740804</v>
      </c>
    </row>
    <row r="111" customFormat="false" ht="15" hidden="false" customHeight="false" outlineLevel="0" collapsed="false">
      <c r="A111" s="26" t="str">
        <f aca="false">'Task Breakdown'!A384</f>
        <v>DR-3.03.01</v>
      </c>
      <c r="B111" s="27" t="str">
        <f aca="false">'Task Breakdown'!G384</f>
        <v>Design streaming architecture and select tags</v>
      </c>
      <c r="C111" s="28"/>
      <c r="D111" s="28"/>
      <c r="E111" s="29" t="n">
        <f aca="false">'Task Breakdown'!I384</f>
        <v>0</v>
      </c>
      <c r="F111" s="29" t="n">
        <f aca="false">'Task Breakdown'!J384</f>
        <v>29</v>
      </c>
      <c r="G111" s="29" t="n">
        <f aca="false">'Task Breakdown'!K384</f>
        <v>0</v>
      </c>
      <c r="H111" s="29" t="n">
        <f aca="false">'Task Breakdown'!L384</f>
        <v>0</v>
      </c>
      <c r="I111" s="29" t="n">
        <f aca="false">'Task Breakdown'!M384</f>
        <v>0</v>
      </c>
      <c r="J111" s="29" t="n">
        <f aca="false">'Task Breakdown'!N384</f>
        <v>0</v>
      </c>
      <c r="K111" s="29" t="n">
        <f aca="false">'Task Breakdown'!O384</f>
        <v>29</v>
      </c>
      <c r="L111" s="29" t="n">
        <f aca="false">'Task Breakdown'!P384</f>
        <v>0</v>
      </c>
      <c r="M111" s="29" t="n">
        <f aca="false">'Task Breakdown'!Q384</f>
        <v>0</v>
      </c>
      <c r="N111" s="29" t="n">
        <f aca="false">'Task Breakdown'!R384</f>
        <v>0</v>
      </c>
      <c r="O111" s="29" t="n">
        <f aca="false">'Task Breakdown'!S384</f>
        <v>0</v>
      </c>
      <c r="P111" s="29" t="n">
        <f aca="false">'Task Breakdown'!T384</f>
        <v>0</v>
      </c>
      <c r="Q111" s="30" t="n">
        <f aca="false">SUM(E111:P111)</f>
        <v>58</v>
      </c>
      <c r="R111" s="31" t="n">
        <f aca="false">IF($Q$230&gt;0,Q111/$Q$230,0)</f>
        <v>0.00660517025395741</v>
      </c>
    </row>
    <row r="112" customFormat="false" ht="15" hidden="false" customHeight="false" outlineLevel="0" collapsed="false">
      <c r="A112" s="26" t="str">
        <f aca="false">'Task Breakdown'!A385</f>
        <v>DR-3.03.02</v>
      </c>
      <c r="B112" s="27" t="str">
        <f aca="false">'Task Breakdown'!G385</f>
        <v>Deploy Event Hubs with capture to ADLS</v>
      </c>
      <c r="C112" s="28"/>
      <c r="D112" s="28"/>
      <c r="E112" s="29" t="n">
        <f aca="false">'Task Breakdown'!I385</f>
        <v>0</v>
      </c>
      <c r="F112" s="29" t="n">
        <f aca="false">'Task Breakdown'!J385</f>
        <v>0</v>
      </c>
      <c r="G112" s="29" t="n">
        <f aca="false">'Task Breakdown'!K385</f>
        <v>36</v>
      </c>
      <c r="H112" s="29" t="n">
        <f aca="false">'Task Breakdown'!L385</f>
        <v>0</v>
      </c>
      <c r="I112" s="29" t="n">
        <f aca="false">'Task Breakdown'!M385</f>
        <v>0</v>
      </c>
      <c r="J112" s="29" t="n">
        <f aca="false">'Task Breakdown'!N385</f>
        <v>0</v>
      </c>
      <c r="K112" s="29" t="n">
        <f aca="false">'Task Breakdown'!O385</f>
        <v>0</v>
      </c>
      <c r="L112" s="29" t="n">
        <f aca="false">'Task Breakdown'!P385</f>
        <v>0</v>
      </c>
      <c r="M112" s="29" t="n">
        <f aca="false">'Task Breakdown'!Q385</f>
        <v>0</v>
      </c>
      <c r="N112" s="29" t="n">
        <f aca="false">'Task Breakdown'!R385</f>
        <v>0</v>
      </c>
      <c r="O112" s="29" t="n">
        <f aca="false">'Task Breakdown'!S385</f>
        <v>0</v>
      </c>
      <c r="P112" s="29" t="n">
        <f aca="false">'Task Breakdown'!T385</f>
        <v>0</v>
      </c>
      <c r="Q112" s="30" t="n">
        <f aca="false">SUM(E112:P112)</f>
        <v>36</v>
      </c>
      <c r="R112" s="31" t="n">
        <f aca="false">IF($Q$230&gt;0,Q112/$Q$230,0)</f>
        <v>0.00409976084728391</v>
      </c>
    </row>
    <row r="113" customFormat="false" ht="15" hidden="false" customHeight="false" outlineLevel="0" collapsed="false">
      <c r="A113" s="26" t="str">
        <f aca="false">'Task Breakdown'!A386</f>
        <v>DR-3.03.03</v>
      </c>
      <c r="B113" s="27" t="str">
        <f aca="false">'Task Breakdown'!G386</f>
        <v>Connect AVEVA PI historian to Event Hubs</v>
      </c>
      <c r="C113" s="28"/>
      <c r="D113" s="28"/>
      <c r="E113" s="29" t="n">
        <f aca="false">'Task Breakdown'!I386</f>
        <v>0</v>
      </c>
      <c r="F113" s="29" t="n">
        <f aca="false">'Task Breakdown'!J386</f>
        <v>0</v>
      </c>
      <c r="G113" s="29" t="n">
        <f aca="false">'Task Breakdown'!K386</f>
        <v>0</v>
      </c>
      <c r="H113" s="29" t="n">
        <f aca="false">'Task Breakdown'!L386</f>
        <v>0</v>
      </c>
      <c r="I113" s="29" t="n">
        <f aca="false">'Task Breakdown'!M386</f>
        <v>0</v>
      </c>
      <c r="J113" s="29" t="n">
        <f aca="false">'Task Breakdown'!N386</f>
        <v>0</v>
      </c>
      <c r="K113" s="29" t="n">
        <f aca="false">'Task Breakdown'!O386</f>
        <v>71</v>
      </c>
      <c r="L113" s="29" t="n">
        <f aca="false">'Task Breakdown'!P386</f>
        <v>0</v>
      </c>
      <c r="M113" s="29" t="n">
        <f aca="false">'Task Breakdown'!Q386</f>
        <v>0</v>
      </c>
      <c r="N113" s="29" t="n">
        <f aca="false">'Task Breakdown'!R386</f>
        <v>0</v>
      </c>
      <c r="O113" s="29" t="n">
        <f aca="false">'Task Breakdown'!S386</f>
        <v>0</v>
      </c>
      <c r="P113" s="29" t="n">
        <f aca="false">'Task Breakdown'!T386</f>
        <v>0</v>
      </c>
      <c r="Q113" s="30" t="n">
        <f aca="false">SUM(E113:P113)</f>
        <v>71</v>
      </c>
      <c r="R113" s="31" t="n">
        <f aca="false">IF($Q$230&gt;0,Q113/$Q$230,0)</f>
        <v>0.00808563944880993</v>
      </c>
    </row>
    <row r="114" customFormat="false" ht="23.85" hidden="false" customHeight="false" outlineLevel="0" collapsed="false">
      <c r="A114" s="26" t="str">
        <f aca="false">'Task Breakdown'!A387</f>
        <v>DR-3.03.04</v>
      </c>
      <c r="B114" s="27" t="str">
        <f aca="false">'Task Breakdown'!G387</f>
        <v>Build stream processing for aggregates (Stream Analytics / Fabric Real-Time)</v>
      </c>
      <c r="C114" s="28"/>
      <c r="D114" s="28"/>
      <c r="E114" s="29" t="n">
        <f aca="false">'Task Breakdown'!I387</f>
        <v>0</v>
      </c>
      <c r="F114" s="29" t="n">
        <f aca="false">'Task Breakdown'!J387</f>
        <v>0</v>
      </c>
      <c r="G114" s="29" t="n">
        <f aca="false">'Task Breakdown'!K387</f>
        <v>0</v>
      </c>
      <c r="H114" s="29" t="n">
        <f aca="false">'Task Breakdown'!L387</f>
        <v>0</v>
      </c>
      <c r="I114" s="29" t="n">
        <f aca="false">'Task Breakdown'!M387</f>
        <v>0</v>
      </c>
      <c r="J114" s="29" t="n">
        <f aca="false">'Task Breakdown'!N387</f>
        <v>0</v>
      </c>
      <c r="K114" s="29" t="n">
        <f aca="false">'Task Breakdown'!O387</f>
        <v>86</v>
      </c>
      <c r="L114" s="29" t="n">
        <f aca="false">'Task Breakdown'!P387</f>
        <v>0</v>
      </c>
      <c r="M114" s="29" t="n">
        <f aca="false">'Task Breakdown'!Q387</f>
        <v>0</v>
      </c>
      <c r="N114" s="29" t="n">
        <f aca="false">'Task Breakdown'!R387</f>
        <v>0</v>
      </c>
      <c r="O114" s="29" t="n">
        <f aca="false">'Task Breakdown'!S387</f>
        <v>0</v>
      </c>
      <c r="P114" s="29" t="n">
        <f aca="false">'Task Breakdown'!T387</f>
        <v>0</v>
      </c>
      <c r="Q114" s="30" t="n">
        <f aca="false">SUM(E114:P114)</f>
        <v>86</v>
      </c>
      <c r="R114" s="31" t="n">
        <f aca="false">IF($Q$230&gt;0,Q114/$Q$230,0)</f>
        <v>0.00979387313517823</v>
      </c>
    </row>
    <row r="115" customFormat="false" ht="15" hidden="false" customHeight="false" outlineLevel="0" collapsed="false">
      <c r="A115" s="26" t="str">
        <f aca="false">'Task Breakdown'!A388</f>
        <v>DR-3.03.05</v>
      </c>
      <c r="B115" s="27" t="str">
        <f aca="false">'Task Breakdown'!G388</f>
        <v>Set up anomaly alerting</v>
      </c>
      <c r="C115" s="28"/>
      <c r="D115" s="28"/>
      <c r="E115" s="29" t="n">
        <f aca="false">'Task Breakdown'!I388</f>
        <v>0</v>
      </c>
      <c r="F115" s="29" t="n">
        <f aca="false">'Task Breakdown'!J388</f>
        <v>0</v>
      </c>
      <c r="G115" s="29" t="n">
        <f aca="false">'Task Breakdown'!K388</f>
        <v>21</v>
      </c>
      <c r="H115" s="29" t="n">
        <f aca="false">'Task Breakdown'!L388</f>
        <v>0</v>
      </c>
      <c r="I115" s="29" t="n">
        <f aca="false">'Task Breakdown'!M388</f>
        <v>0</v>
      </c>
      <c r="J115" s="29" t="n">
        <f aca="false">'Task Breakdown'!N388</f>
        <v>0</v>
      </c>
      <c r="K115" s="29" t="n">
        <f aca="false">'Task Breakdown'!O388</f>
        <v>43</v>
      </c>
      <c r="L115" s="29" t="n">
        <f aca="false">'Task Breakdown'!P388</f>
        <v>0</v>
      </c>
      <c r="M115" s="29" t="n">
        <f aca="false">'Task Breakdown'!Q388</f>
        <v>0</v>
      </c>
      <c r="N115" s="29" t="n">
        <f aca="false">'Task Breakdown'!R388</f>
        <v>0</v>
      </c>
      <c r="O115" s="29" t="n">
        <f aca="false">'Task Breakdown'!S388</f>
        <v>0</v>
      </c>
      <c r="P115" s="29" t="n">
        <f aca="false">'Task Breakdown'!T388</f>
        <v>0</v>
      </c>
      <c r="Q115" s="30" t="n">
        <f aca="false">SUM(E115:P115)</f>
        <v>64</v>
      </c>
      <c r="R115" s="31" t="n">
        <f aca="false">IF($Q$230&gt;0,Q115/$Q$230,0)</f>
        <v>0.00728846372850473</v>
      </c>
    </row>
    <row r="116" customFormat="false" ht="15" hidden="false" customHeight="false" outlineLevel="0" collapsed="false">
      <c r="A116" s="26" t="str">
        <f aca="false">'Task Breakdown'!A389</f>
        <v>DR-3.03.06</v>
      </c>
      <c r="B116" s="27" t="str">
        <f aca="false">'Task Breakdown'!G389</f>
        <v>Throughput and lag testing</v>
      </c>
      <c r="C116" s="28"/>
      <c r="D116" s="28"/>
      <c r="E116" s="29" t="n">
        <f aca="false">'Task Breakdown'!I389</f>
        <v>0</v>
      </c>
      <c r="F116" s="29" t="n">
        <f aca="false">'Task Breakdown'!J389</f>
        <v>0</v>
      </c>
      <c r="G116" s="29" t="n">
        <f aca="false">'Task Breakdown'!K389</f>
        <v>0</v>
      </c>
      <c r="H116" s="29" t="n">
        <f aca="false">'Task Breakdown'!L389</f>
        <v>0</v>
      </c>
      <c r="I116" s="29" t="n">
        <f aca="false">'Task Breakdown'!M389</f>
        <v>0</v>
      </c>
      <c r="J116" s="29" t="n">
        <f aca="false">'Task Breakdown'!N389</f>
        <v>0</v>
      </c>
      <c r="K116" s="29" t="n">
        <f aca="false">'Task Breakdown'!O389</f>
        <v>0</v>
      </c>
      <c r="L116" s="29" t="n">
        <f aca="false">'Task Breakdown'!P389</f>
        <v>0</v>
      </c>
      <c r="M116" s="29" t="n">
        <f aca="false">'Task Breakdown'!Q389</f>
        <v>0</v>
      </c>
      <c r="N116" s="29" t="n">
        <f aca="false">'Task Breakdown'!R389</f>
        <v>0</v>
      </c>
      <c r="O116" s="29" t="n">
        <f aca="false">'Task Breakdown'!S389</f>
        <v>57</v>
      </c>
      <c r="P116" s="29" t="n">
        <f aca="false">'Task Breakdown'!T389</f>
        <v>0</v>
      </c>
      <c r="Q116" s="30" t="n">
        <f aca="false">SUM(E116:P116)</f>
        <v>57</v>
      </c>
      <c r="R116" s="31" t="n">
        <f aca="false">IF($Q$230&gt;0,Q116/$Q$230,0)</f>
        <v>0.00649128800819952</v>
      </c>
    </row>
    <row r="117" customFormat="false" ht="15" hidden="false" customHeight="false" outlineLevel="0" collapsed="false">
      <c r="A117" s="26" t="str">
        <f aca="false">'Task Breakdown'!A390</f>
        <v>DR-3.03.07</v>
      </c>
      <c r="B117" s="27" t="str">
        <f aca="false">'Task Breakdown'!G390</f>
        <v>Detailed design and design review</v>
      </c>
      <c r="C117" s="28"/>
      <c r="D117" s="28"/>
      <c r="E117" s="29" t="n">
        <f aca="false">'Task Breakdown'!I390</f>
        <v>0</v>
      </c>
      <c r="F117" s="29" t="n">
        <f aca="false">'Task Breakdown'!J390</f>
        <v>0</v>
      </c>
      <c r="G117" s="29" t="n">
        <f aca="false">'Task Breakdown'!K390</f>
        <v>0</v>
      </c>
      <c r="H117" s="29" t="n">
        <f aca="false">'Task Breakdown'!L390</f>
        <v>0</v>
      </c>
      <c r="I117" s="29" t="n">
        <f aca="false">'Task Breakdown'!M390</f>
        <v>0</v>
      </c>
      <c r="J117" s="29" t="n">
        <f aca="false">'Task Breakdown'!N390</f>
        <v>0</v>
      </c>
      <c r="K117" s="29" t="n">
        <f aca="false">'Task Breakdown'!O390</f>
        <v>0</v>
      </c>
      <c r="L117" s="29" t="n">
        <f aca="false">'Task Breakdown'!P390</f>
        <v>22</v>
      </c>
      <c r="M117" s="29" t="n">
        <f aca="false">'Task Breakdown'!Q390</f>
        <v>0</v>
      </c>
      <c r="N117" s="29" t="n">
        <f aca="false">'Task Breakdown'!R390</f>
        <v>0</v>
      </c>
      <c r="O117" s="29" t="n">
        <f aca="false">'Task Breakdown'!S390</f>
        <v>0</v>
      </c>
      <c r="P117" s="29" t="n">
        <f aca="false">'Task Breakdown'!T390</f>
        <v>0</v>
      </c>
      <c r="Q117" s="30" t="n">
        <f aca="false">SUM(E117:P117)</f>
        <v>22</v>
      </c>
      <c r="R117" s="31" t="n">
        <f aca="false">IF($Q$230&gt;0,Q117/$Q$230,0)</f>
        <v>0.0025054094066735</v>
      </c>
    </row>
    <row r="118" customFormat="false" ht="15" hidden="false" customHeight="false" outlineLevel="0" collapsed="false">
      <c r="A118" s="26" t="str">
        <f aca="false">'Task Breakdown'!A391</f>
        <v>DR-3.03.08</v>
      </c>
      <c r="B118" s="27" t="str">
        <f aca="false">'Task Breakdown'!G391</f>
        <v>Promote through dev / test / prod and release</v>
      </c>
      <c r="C118" s="28"/>
      <c r="D118" s="28"/>
      <c r="E118" s="29" t="n">
        <f aca="false">'Task Breakdown'!I391</f>
        <v>0</v>
      </c>
      <c r="F118" s="29" t="n">
        <f aca="false">'Task Breakdown'!J391</f>
        <v>0</v>
      </c>
      <c r="G118" s="29" t="n">
        <f aca="false">'Task Breakdown'!K391</f>
        <v>15</v>
      </c>
      <c r="H118" s="29" t="n">
        <f aca="false">'Task Breakdown'!L391</f>
        <v>0</v>
      </c>
      <c r="I118" s="29" t="n">
        <f aca="false">'Task Breakdown'!M391</f>
        <v>0</v>
      </c>
      <c r="J118" s="29" t="n">
        <f aca="false">'Task Breakdown'!N391</f>
        <v>0</v>
      </c>
      <c r="K118" s="29" t="n">
        <f aca="false">'Task Breakdown'!O391</f>
        <v>0</v>
      </c>
      <c r="L118" s="29" t="n">
        <f aca="false">'Task Breakdown'!P391</f>
        <v>0</v>
      </c>
      <c r="M118" s="29" t="n">
        <f aca="false">'Task Breakdown'!Q391</f>
        <v>0</v>
      </c>
      <c r="N118" s="29" t="n">
        <f aca="false">'Task Breakdown'!R391</f>
        <v>0</v>
      </c>
      <c r="O118" s="29" t="n">
        <f aca="false">'Task Breakdown'!S391</f>
        <v>0</v>
      </c>
      <c r="P118" s="29" t="n">
        <f aca="false">'Task Breakdown'!T391</f>
        <v>0</v>
      </c>
      <c r="Q118" s="30" t="n">
        <f aca="false">SUM(E118:P118)</f>
        <v>15</v>
      </c>
      <c r="R118" s="31" t="n">
        <f aca="false">IF($Q$230&gt;0,Q118/$Q$230,0)</f>
        <v>0.0017082336863683</v>
      </c>
    </row>
    <row r="119" customFormat="false" ht="15" hidden="false" customHeight="false" outlineLevel="0" collapsed="false">
      <c r="A119" s="26" t="str">
        <f aca="false">'Task Breakdown'!A392</f>
        <v>DR-3.03.09</v>
      </c>
      <c r="B119" s="27" t="str">
        <f aca="false">'Task Breakdown'!G392</f>
        <v>Documentation, runbook and knowledge transfer</v>
      </c>
      <c r="C119" s="28"/>
      <c r="D119" s="28"/>
      <c r="E119" s="29" t="n">
        <f aca="false">'Task Breakdown'!I392</f>
        <v>0</v>
      </c>
      <c r="F119" s="29" t="n">
        <f aca="false">'Task Breakdown'!J392</f>
        <v>0</v>
      </c>
      <c r="G119" s="29" t="n">
        <f aca="false">'Task Breakdown'!K392</f>
        <v>0</v>
      </c>
      <c r="H119" s="29" t="n">
        <f aca="false">'Task Breakdown'!L392</f>
        <v>0</v>
      </c>
      <c r="I119" s="29" t="n">
        <f aca="false">'Task Breakdown'!M392</f>
        <v>0</v>
      </c>
      <c r="J119" s="29" t="n">
        <f aca="false">'Task Breakdown'!N392</f>
        <v>0</v>
      </c>
      <c r="K119" s="29" t="n">
        <f aca="false">'Task Breakdown'!O392</f>
        <v>15</v>
      </c>
      <c r="L119" s="29" t="n">
        <f aca="false">'Task Breakdown'!P392</f>
        <v>0</v>
      </c>
      <c r="M119" s="29" t="n">
        <f aca="false">'Task Breakdown'!Q392</f>
        <v>0</v>
      </c>
      <c r="N119" s="29" t="n">
        <f aca="false">'Task Breakdown'!R392</f>
        <v>0</v>
      </c>
      <c r="O119" s="29" t="n">
        <f aca="false">'Task Breakdown'!S392</f>
        <v>0</v>
      </c>
      <c r="P119" s="29" t="n">
        <f aca="false">'Task Breakdown'!T392</f>
        <v>0</v>
      </c>
      <c r="Q119" s="30" t="n">
        <f aca="false">SUM(E119:P119)</f>
        <v>15</v>
      </c>
      <c r="R119" s="31" t="n">
        <f aca="false">IF($Q$230&gt;0,Q119/$Q$230,0)</f>
        <v>0.0017082336863683</v>
      </c>
    </row>
    <row r="120" customFormat="false" ht="15" hidden="false" customHeight="false" outlineLevel="0" collapsed="false">
      <c r="A120" s="26" t="str">
        <f aca="false">'Task Breakdown'!A393</f>
        <v>DR-3.03.10</v>
      </c>
      <c r="B120" s="27" t="str">
        <f aca="false">'Task Breakdown'!G393</f>
        <v>Defect fixing and rework after testing</v>
      </c>
      <c r="C120" s="28"/>
      <c r="D120" s="28"/>
      <c r="E120" s="29" t="n">
        <f aca="false">'Task Breakdown'!I393</f>
        <v>0</v>
      </c>
      <c r="F120" s="29" t="n">
        <f aca="false">'Task Breakdown'!J393</f>
        <v>0</v>
      </c>
      <c r="G120" s="29" t="n">
        <f aca="false">'Task Breakdown'!K393</f>
        <v>0</v>
      </c>
      <c r="H120" s="29" t="n">
        <f aca="false">'Task Breakdown'!L393</f>
        <v>0</v>
      </c>
      <c r="I120" s="29" t="n">
        <f aca="false">'Task Breakdown'!M393</f>
        <v>0</v>
      </c>
      <c r="J120" s="29" t="n">
        <f aca="false">'Task Breakdown'!N393</f>
        <v>0</v>
      </c>
      <c r="K120" s="29" t="n">
        <f aca="false">'Task Breakdown'!O393</f>
        <v>30</v>
      </c>
      <c r="L120" s="29" t="n">
        <f aca="false">'Task Breakdown'!P393</f>
        <v>0</v>
      </c>
      <c r="M120" s="29" t="n">
        <f aca="false">'Task Breakdown'!Q393</f>
        <v>0</v>
      </c>
      <c r="N120" s="29" t="n">
        <f aca="false">'Task Breakdown'!R393</f>
        <v>0</v>
      </c>
      <c r="O120" s="29" t="n">
        <f aca="false">'Task Breakdown'!S393</f>
        <v>0</v>
      </c>
      <c r="P120" s="29" t="n">
        <f aca="false">'Task Breakdown'!T393</f>
        <v>0</v>
      </c>
      <c r="Q120" s="30" t="n">
        <f aca="false">SUM(E120:P120)</f>
        <v>30</v>
      </c>
      <c r="R120" s="31" t="n">
        <f aca="false">IF($Q$230&gt;0,Q120/$Q$230,0)</f>
        <v>0.00341646737273659</v>
      </c>
    </row>
    <row r="121" customFormat="false" ht="15" hidden="false" customHeight="false" outlineLevel="0" collapsed="false">
      <c r="A121" s="23" t="s">
        <v>267</v>
      </c>
      <c r="B121" s="23" t="s">
        <v>268</v>
      </c>
      <c r="C121" s="23" t="s">
        <v>43</v>
      </c>
      <c r="D121" s="23" t="s">
        <v>269</v>
      </c>
      <c r="E121" s="24" t="n">
        <f aca="false">SUM(E122:E129)</f>
        <v>0</v>
      </c>
      <c r="F121" s="24" t="n">
        <f aca="false">SUM(F122:F129)</f>
        <v>0</v>
      </c>
      <c r="G121" s="24" t="n">
        <f aca="false">SUM(G122:G129)</f>
        <v>7</v>
      </c>
      <c r="H121" s="24" t="n">
        <f aca="false">SUM(H122:H129)</f>
        <v>0</v>
      </c>
      <c r="I121" s="24" t="n">
        <f aca="false">SUM(I122:I129)</f>
        <v>10</v>
      </c>
      <c r="J121" s="24" t="n">
        <f aca="false">SUM(J122:J129)</f>
        <v>122</v>
      </c>
      <c r="K121" s="24" t="n">
        <f aca="false">SUM(K122:K129)</f>
        <v>40</v>
      </c>
      <c r="L121" s="24" t="n">
        <f aca="false">SUM(L122:L129)</f>
        <v>0</v>
      </c>
      <c r="M121" s="24" t="n">
        <f aca="false">SUM(M122:M129)</f>
        <v>0</v>
      </c>
      <c r="N121" s="24" t="n">
        <f aca="false">SUM(N122:N129)</f>
        <v>20</v>
      </c>
      <c r="O121" s="24" t="n">
        <f aca="false">SUM(O122:O129)</f>
        <v>0</v>
      </c>
      <c r="P121" s="24" t="n">
        <f aca="false">SUM(P122:P129)</f>
        <v>0</v>
      </c>
      <c r="Q121" s="24" t="n">
        <f aca="false">SUM(Q122:Q129)</f>
        <v>199</v>
      </c>
      <c r="R121" s="25" t="n">
        <f aca="false">IF($Q$230&gt;0,Q121/$Q$230,0)</f>
        <v>0.0226625669058194</v>
      </c>
    </row>
    <row r="122" customFormat="false" ht="15" hidden="false" customHeight="false" outlineLevel="0" collapsed="false">
      <c r="A122" s="26" t="str">
        <f aca="false">'Task Breakdown'!A394</f>
        <v>DR-3.04.01</v>
      </c>
      <c r="B122" s="27" t="str">
        <f aca="false">'Task Breakdown'!G394</f>
        <v>Define knowledge domains (maintenance, quality, supply, specs)</v>
      </c>
      <c r="C122" s="28"/>
      <c r="D122" s="28"/>
      <c r="E122" s="29" t="n">
        <f aca="false">'Task Breakdown'!I394</f>
        <v>0</v>
      </c>
      <c r="F122" s="29" t="n">
        <f aca="false">'Task Breakdown'!J394</f>
        <v>0</v>
      </c>
      <c r="G122" s="29" t="n">
        <f aca="false">'Task Breakdown'!K394</f>
        <v>0</v>
      </c>
      <c r="H122" s="29" t="n">
        <f aca="false">'Task Breakdown'!L394</f>
        <v>0</v>
      </c>
      <c r="I122" s="29" t="n">
        <f aca="false">'Task Breakdown'!M394</f>
        <v>0</v>
      </c>
      <c r="J122" s="29" t="n">
        <f aca="false">'Task Breakdown'!N394</f>
        <v>0</v>
      </c>
      <c r="K122" s="29" t="n">
        <f aca="false">'Task Breakdown'!O394</f>
        <v>0</v>
      </c>
      <c r="L122" s="29" t="n">
        <f aca="false">'Task Breakdown'!P394</f>
        <v>0</v>
      </c>
      <c r="M122" s="29" t="n">
        <f aca="false">'Task Breakdown'!Q394</f>
        <v>0</v>
      </c>
      <c r="N122" s="29" t="n">
        <f aca="false">'Task Breakdown'!R394</f>
        <v>20</v>
      </c>
      <c r="O122" s="29" t="n">
        <f aca="false">'Task Breakdown'!S394</f>
        <v>0</v>
      </c>
      <c r="P122" s="29" t="n">
        <f aca="false">'Task Breakdown'!T394</f>
        <v>0</v>
      </c>
      <c r="Q122" s="30" t="n">
        <f aca="false">SUM(E122:P122)</f>
        <v>20</v>
      </c>
      <c r="R122" s="31" t="n">
        <f aca="false">IF($Q$230&gt;0,Q122/$Q$230,0)</f>
        <v>0.00227764491515773</v>
      </c>
    </row>
    <row r="123" customFormat="false" ht="15" hidden="false" customHeight="false" outlineLevel="0" collapsed="false">
      <c r="A123" s="26" t="str">
        <f aca="false">'Task Breakdown'!A395</f>
        <v>DR-3.04.02</v>
      </c>
      <c r="B123" s="27" t="str">
        <f aca="false">'Task Breakdown'!G395</f>
        <v>Build domain indexes and query routing</v>
      </c>
      <c r="C123" s="28"/>
      <c r="D123" s="28"/>
      <c r="E123" s="29" t="n">
        <f aca="false">'Task Breakdown'!I395</f>
        <v>0</v>
      </c>
      <c r="F123" s="29" t="n">
        <f aca="false">'Task Breakdown'!J395</f>
        <v>0</v>
      </c>
      <c r="G123" s="29" t="n">
        <f aca="false">'Task Breakdown'!K395</f>
        <v>0</v>
      </c>
      <c r="H123" s="29" t="n">
        <f aca="false">'Task Breakdown'!L395</f>
        <v>0</v>
      </c>
      <c r="I123" s="29" t="n">
        <f aca="false">'Task Breakdown'!M395</f>
        <v>0</v>
      </c>
      <c r="J123" s="29" t="n">
        <f aca="false">'Task Breakdown'!N395</f>
        <v>51</v>
      </c>
      <c r="K123" s="29" t="n">
        <f aca="false">'Task Breakdown'!O395</f>
        <v>20</v>
      </c>
      <c r="L123" s="29" t="n">
        <f aca="false">'Task Breakdown'!P395</f>
        <v>0</v>
      </c>
      <c r="M123" s="29" t="n">
        <f aca="false">'Task Breakdown'!Q395</f>
        <v>0</v>
      </c>
      <c r="N123" s="29" t="n">
        <f aca="false">'Task Breakdown'!R395</f>
        <v>0</v>
      </c>
      <c r="O123" s="29" t="n">
        <f aca="false">'Task Breakdown'!S395</f>
        <v>0</v>
      </c>
      <c r="P123" s="29" t="n">
        <f aca="false">'Task Breakdown'!T395</f>
        <v>0</v>
      </c>
      <c r="Q123" s="30" t="n">
        <f aca="false">SUM(E123:P123)</f>
        <v>71</v>
      </c>
      <c r="R123" s="31" t="n">
        <f aca="false">IF($Q$230&gt;0,Q123/$Q$230,0)</f>
        <v>0.00808563944880993</v>
      </c>
    </row>
    <row r="124" customFormat="false" ht="15" hidden="false" customHeight="false" outlineLevel="0" collapsed="false">
      <c r="A124" s="26" t="str">
        <f aca="false">'Task Breakdown'!A396</f>
        <v>DR-3.04.03</v>
      </c>
      <c r="B124" s="27" t="str">
        <f aca="false">'Task Breakdown'!G396</f>
        <v>Domain-specific chunking and metadata</v>
      </c>
      <c r="C124" s="28"/>
      <c r="D124" s="28"/>
      <c r="E124" s="29" t="n">
        <f aca="false">'Task Breakdown'!I396</f>
        <v>0</v>
      </c>
      <c r="F124" s="29" t="n">
        <f aca="false">'Task Breakdown'!J396</f>
        <v>0</v>
      </c>
      <c r="G124" s="29" t="n">
        <f aca="false">'Task Breakdown'!K396</f>
        <v>0</v>
      </c>
      <c r="H124" s="29" t="n">
        <f aca="false">'Task Breakdown'!L396</f>
        <v>0</v>
      </c>
      <c r="I124" s="29" t="n">
        <f aca="false">'Task Breakdown'!M396</f>
        <v>0</v>
      </c>
      <c r="J124" s="29" t="n">
        <f aca="false">'Task Breakdown'!N396</f>
        <v>31</v>
      </c>
      <c r="K124" s="29" t="n">
        <f aca="false">'Task Breakdown'!O396</f>
        <v>20</v>
      </c>
      <c r="L124" s="29" t="n">
        <f aca="false">'Task Breakdown'!P396</f>
        <v>0</v>
      </c>
      <c r="M124" s="29" t="n">
        <f aca="false">'Task Breakdown'!Q396</f>
        <v>0</v>
      </c>
      <c r="N124" s="29" t="n">
        <f aca="false">'Task Breakdown'!R396</f>
        <v>0</v>
      </c>
      <c r="O124" s="29" t="n">
        <f aca="false">'Task Breakdown'!S396</f>
        <v>0</v>
      </c>
      <c r="P124" s="29" t="n">
        <f aca="false">'Task Breakdown'!T396</f>
        <v>0</v>
      </c>
      <c r="Q124" s="30" t="n">
        <f aca="false">SUM(E124:P124)</f>
        <v>51</v>
      </c>
      <c r="R124" s="31" t="n">
        <f aca="false">IF($Q$230&gt;0,Q124/$Q$230,0)</f>
        <v>0.0058079945336522</v>
      </c>
    </row>
    <row r="125" customFormat="false" ht="15" hidden="false" customHeight="false" outlineLevel="0" collapsed="false">
      <c r="A125" s="26" t="str">
        <f aca="false">'Task Breakdown'!A397</f>
        <v>DR-3.04.04</v>
      </c>
      <c r="B125" s="27" t="str">
        <f aca="false">'Task Breakdown'!G397</f>
        <v>Retrieval tuning per domain</v>
      </c>
      <c r="C125" s="28"/>
      <c r="D125" s="28"/>
      <c r="E125" s="29" t="n">
        <f aca="false">'Task Breakdown'!I397</f>
        <v>0</v>
      </c>
      <c r="F125" s="29" t="n">
        <f aca="false">'Task Breakdown'!J397</f>
        <v>0</v>
      </c>
      <c r="G125" s="29" t="n">
        <f aca="false">'Task Breakdown'!K397</f>
        <v>0</v>
      </c>
      <c r="H125" s="29" t="n">
        <f aca="false">'Task Breakdown'!L397</f>
        <v>0</v>
      </c>
      <c r="I125" s="29" t="n">
        <f aca="false">'Task Breakdown'!M397</f>
        <v>0</v>
      </c>
      <c r="J125" s="29" t="n">
        <f aca="false">'Task Breakdown'!N397</f>
        <v>20</v>
      </c>
      <c r="K125" s="29" t="n">
        <f aca="false">'Task Breakdown'!O397</f>
        <v>0</v>
      </c>
      <c r="L125" s="29" t="n">
        <f aca="false">'Task Breakdown'!P397</f>
        <v>0</v>
      </c>
      <c r="M125" s="29" t="n">
        <f aca="false">'Task Breakdown'!Q397</f>
        <v>0</v>
      </c>
      <c r="N125" s="29" t="n">
        <f aca="false">'Task Breakdown'!R397</f>
        <v>0</v>
      </c>
      <c r="O125" s="29" t="n">
        <f aca="false">'Task Breakdown'!S397</f>
        <v>0</v>
      </c>
      <c r="P125" s="29" t="n">
        <f aca="false">'Task Breakdown'!T397</f>
        <v>0</v>
      </c>
      <c r="Q125" s="30" t="n">
        <f aca="false">SUM(E125:P125)</f>
        <v>20</v>
      </c>
      <c r="R125" s="31" t="n">
        <f aca="false">IF($Q$230&gt;0,Q125/$Q$230,0)</f>
        <v>0.00227764491515773</v>
      </c>
    </row>
    <row r="126" customFormat="false" ht="15" hidden="false" customHeight="false" outlineLevel="0" collapsed="false">
      <c r="A126" s="26" t="str">
        <f aca="false">'Task Breakdown'!A398</f>
        <v>DR-3.04.05</v>
      </c>
      <c r="B126" s="27" t="str">
        <f aca="false">'Task Breakdown'!G398</f>
        <v>Detailed design and design review</v>
      </c>
      <c r="C126" s="28"/>
      <c r="D126" s="28"/>
      <c r="E126" s="29" t="n">
        <f aca="false">'Task Breakdown'!I398</f>
        <v>0</v>
      </c>
      <c r="F126" s="29" t="n">
        <f aca="false">'Task Breakdown'!J398</f>
        <v>0</v>
      </c>
      <c r="G126" s="29" t="n">
        <f aca="false">'Task Breakdown'!K398</f>
        <v>0</v>
      </c>
      <c r="H126" s="29" t="n">
        <f aca="false">'Task Breakdown'!L398</f>
        <v>0</v>
      </c>
      <c r="I126" s="29" t="n">
        <f aca="false">'Task Breakdown'!M398</f>
        <v>10</v>
      </c>
      <c r="J126" s="29" t="n">
        <f aca="false">'Task Breakdown'!N398</f>
        <v>0</v>
      </c>
      <c r="K126" s="29" t="n">
        <f aca="false">'Task Breakdown'!O398</f>
        <v>0</v>
      </c>
      <c r="L126" s="29" t="n">
        <f aca="false">'Task Breakdown'!P398</f>
        <v>0</v>
      </c>
      <c r="M126" s="29" t="n">
        <f aca="false">'Task Breakdown'!Q398</f>
        <v>0</v>
      </c>
      <c r="N126" s="29" t="n">
        <f aca="false">'Task Breakdown'!R398</f>
        <v>0</v>
      </c>
      <c r="O126" s="29" t="n">
        <f aca="false">'Task Breakdown'!S398</f>
        <v>0</v>
      </c>
      <c r="P126" s="29" t="n">
        <f aca="false">'Task Breakdown'!T398</f>
        <v>0</v>
      </c>
      <c r="Q126" s="30" t="n">
        <f aca="false">SUM(E126:P126)</f>
        <v>10</v>
      </c>
      <c r="R126" s="31" t="n">
        <f aca="false">IF($Q$230&gt;0,Q126/$Q$230,0)</f>
        <v>0.00113882245757886</v>
      </c>
    </row>
    <row r="127" customFormat="false" ht="15" hidden="false" customHeight="false" outlineLevel="0" collapsed="false">
      <c r="A127" s="26" t="str">
        <f aca="false">'Task Breakdown'!A399</f>
        <v>DR-3.04.06</v>
      </c>
      <c r="B127" s="27" t="str">
        <f aca="false">'Task Breakdown'!G399</f>
        <v>Promote through dev / test / prod and release</v>
      </c>
      <c r="C127" s="28"/>
      <c r="D127" s="28"/>
      <c r="E127" s="29" t="n">
        <f aca="false">'Task Breakdown'!I399</f>
        <v>0</v>
      </c>
      <c r="F127" s="29" t="n">
        <f aca="false">'Task Breakdown'!J399</f>
        <v>0</v>
      </c>
      <c r="G127" s="29" t="n">
        <f aca="false">'Task Breakdown'!K399</f>
        <v>7</v>
      </c>
      <c r="H127" s="29" t="n">
        <f aca="false">'Task Breakdown'!L399</f>
        <v>0</v>
      </c>
      <c r="I127" s="29" t="n">
        <f aca="false">'Task Breakdown'!M399</f>
        <v>0</v>
      </c>
      <c r="J127" s="29" t="n">
        <f aca="false">'Task Breakdown'!N399</f>
        <v>0</v>
      </c>
      <c r="K127" s="29" t="n">
        <f aca="false">'Task Breakdown'!O399</f>
        <v>0</v>
      </c>
      <c r="L127" s="29" t="n">
        <f aca="false">'Task Breakdown'!P399</f>
        <v>0</v>
      </c>
      <c r="M127" s="29" t="n">
        <f aca="false">'Task Breakdown'!Q399</f>
        <v>0</v>
      </c>
      <c r="N127" s="29" t="n">
        <f aca="false">'Task Breakdown'!R399</f>
        <v>0</v>
      </c>
      <c r="O127" s="29" t="n">
        <f aca="false">'Task Breakdown'!S399</f>
        <v>0</v>
      </c>
      <c r="P127" s="29" t="n">
        <f aca="false">'Task Breakdown'!T399</f>
        <v>0</v>
      </c>
      <c r="Q127" s="30" t="n">
        <f aca="false">SUM(E127:P127)</f>
        <v>7</v>
      </c>
      <c r="R127" s="31" t="n">
        <f aca="false">IF($Q$230&gt;0,Q127/$Q$230,0)</f>
        <v>0.000797175720305204</v>
      </c>
    </row>
    <row r="128" customFormat="false" ht="15" hidden="false" customHeight="false" outlineLevel="0" collapsed="false">
      <c r="A128" s="26" t="str">
        <f aca="false">'Task Breakdown'!A400</f>
        <v>DR-3.04.07</v>
      </c>
      <c r="B128" s="27" t="str">
        <f aca="false">'Task Breakdown'!G400</f>
        <v>Documentation, runbook and knowledge transfer</v>
      </c>
      <c r="C128" s="28"/>
      <c r="D128" s="28"/>
      <c r="E128" s="29" t="n">
        <f aca="false">'Task Breakdown'!I400</f>
        <v>0</v>
      </c>
      <c r="F128" s="29" t="n">
        <f aca="false">'Task Breakdown'!J400</f>
        <v>0</v>
      </c>
      <c r="G128" s="29" t="n">
        <f aca="false">'Task Breakdown'!K400</f>
        <v>0</v>
      </c>
      <c r="H128" s="29" t="n">
        <f aca="false">'Task Breakdown'!L400</f>
        <v>0</v>
      </c>
      <c r="I128" s="29" t="n">
        <f aca="false">'Task Breakdown'!M400</f>
        <v>0</v>
      </c>
      <c r="J128" s="29" t="n">
        <f aca="false">'Task Breakdown'!N400</f>
        <v>7</v>
      </c>
      <c r="K128" s="29" t="n">
        <f aca="false">'Task Breakdown'!O400</f>
        <v>0</v>
      </c>
      <c r="L128" s="29" t="n">
        <f aca="false">'Task Breakdown'!P400</f>
        <v>0</v>
      </c>
      <c r="M128" s="29" t="n">
        <f aca="false">'Task Breakdown'!Q400</f>
        <v>0</v>
      </c>
      <c r="N128" s="29" t="n">
        <f aca="false">'Task Breakdown'!R400</f>
        <v>0</v>
      </c>
      <c r="O128" s="29" t="n">
        <f aca="false">'Task Breakdown'!S400</f>
        <v>0</v>
      </c>
      <c r="P128" s="29" t="n">
        <f aca="false">'Task Breakdown'!T400</f>
        <v>0</v>
      </c>
      <c r="Q128" s="30" t="n">
        <f aca="false">SUM(E128:P128)</f>
        <v>7</v>
      </c>
      <c r="R128" s="31" t="n">
        <f aca="false">IF($Q$230&gt;0,Q128/$Q$230,0)</f>
        <v>0.000797175720305204</v>
      </c>
    </row>
    <row r="129" customFormat="false" ht="15" hidden="false" customHeight="false" outlineLevel="0" collapsed="false">
      <c r="A129" s="26" t="str">
        <f aca="false">'Task Breakdown'!A401</f>
        <v>DR-3.04.08</v>
      </c>
      <c r="B129" s="27" t="str">
        <f aca="false">'Task Breakdown'!G401</f>
        <v>Defect fixing and rework after testing</v>
      </c>
      <c r="C129" s="28"/>
      <c r="D129" s="28"/>
      <c r="E129" s="29" t="n">
        <f aca="false">'Task Breakdown'!I401</f>
        <v>0</v>
      </c>
      <c r="F129" s="29" t="n">
        <f aca="false">'Task Breakdown'!J401</f>
        <v>0</v>
      </c>
      <c r="G129" s="29" t="n">
        <f aca="false">'Task Breakdown'!K401</f>
        <v>0</v>
      </c>
      <c r="H129" s="29" t="n">
        <f aca="false">'Task Breakdown'!L401</f>
        <v>0</v>
      </c>
      <c r="I129" s="29" t="n">
        <f aca="false">'Task Breakdown'!M401</f>
        <v>0</v>
      </c>
      <c r="J129" s="29" t="n">
        <f aca="false">'Task Breakdown'!N401</f>
        <v>13</v>
      </c>
      <c r="K129" s="29" t="n">
        <f aca="false">'Task Breakdown'!O401</f>
        <v>0</v>
      </c>
      <c r="L129" s="29" t="n">
        <f aca="false">'Task Breakdown'!P401</f>
        <v>0</v>
      </c>
      <c r="M129" s="29" t="n">
        <f aca="false">'Task Breakdown'!Q401</f>
        <v>0</v>
      </c>
      <c r="N129" s="29" t="n">
        <f aca="false">'Task Breakdown'!R401</f>
        <v>0</v>
      </c>
      <c r="O129" s="29" t="n">
        <f aca="false">'Task Breakdown'!S401</f>
        <v>0</v>
      </c>
      <c r="P129" s="29" t="n">
        <f aca="false">'Task Breakdown'!T401</f>
        <v>0</v>
      </c>
      <c r="Q129" s="30" t="n">
        <f aca="false">SUM(E129:P129)</f>
        <v>13</v>
      </c>
      <c r="R129" s="31" t="n">
        <f aca="false">IF($Q$230&gt;0,Q129/$Q$230,0)</f>
        <v>0.00148046919485252</v>
      </c>
    </row>
    <row r="130" customFormat="false" ht="15" hidden="false" customHeight="false" outlineLevel="0" collapsed="false">
      <c r="A130" s="23" t="s">
        <v>270</v>
      </c>
      <c r="B130" s="23" t="s">
        <v>271</v>
      </c>
      <c r="C130" s="23" t="s">
        <v>42</v>
      </c>
      <c r="D130" s="23" t="s">
        <v>272</v>
      </c>
      <c r="E130" s="24" t="n">
        <f aca="false">SUM(E131:E137)</f>
        <v>0</v>
      </c>
      <c r="F130" s="24" t="n">
        <f aca="false">SUM(F131:F137)</f>
        <v>13</v>
      </c>
      <c r="G130" s="24" t="n">
        <f aca="false">SUM(G131:G137)</f>
        <v>0</v>
      </c>
      <c r="H130" s="24" t="n">
        <f aca="false">SUM(H131:H137)</f>
        <v>107</v>
      </c>
      <c r="I130" s="24" t="n">
        <f aca="false">SUM(I131:I137)</f>
        <v>0</v>
      </c>
      <c r="J130" s="24" t="n">
        <f aca="false">SUM(J131:J137)</f>
        <v>73</v>
      </c>
      <c r="K130" s="24" t="n">
        <f aca="false">SUM(K131:K137)</f>
        <v>0</v>
      </c>
      <c r="L130" s="24" t="n">
        <f aca="false">SUM(L131:L137)</f>
        <v>0</v>
      </c>
      <c r="M130" s="24" t="n">
        <f aca="false">SUM(M131:M137)</f>
        <v>0</v>
      </c>
      <c r="N130" s="24" t="n">
        <f aca="false">SUM(N131:N137)</f>
        <v>0</v>
      </c>
      <c r="O130" s="24" t="n">
        <f aca="false">SUM(O131:O137)</f>
        <v>49</v>
      </c>
      <c r="P130" s="24" t="n">
        <f aca="false">SUM(P131:P137)</f>
        <v>0</v>
      </c>
      <c r="Q130" s="24" t="n">
        <f aca="false">SUM(Q131:Q137)</f>
        <v>242</v>
      </c>
      <c r="R130" s="25" t="n">
        <f aca="false">IF($Q$230&gt;0,Q130/$Q$230,0)</f>
        <v>0.0275595034734085</v>
      </c>
    </row>
    <row r="131" customFormat="false" ht="15" hidden="false" customHeight="false" outlineLevel="0" collapsed="false">
      <c r="A131" s="26" t="str">
        <f aca="false">'Task Breakdown'!A402</f>
        <v>DR-3.05.01</v>
      </c>
      <c r="B131" s="27" t="str">
        <f aca="false">'Task Breakdown'!G402</f>
        <v>Map document ACLs from SharePoint / SAP to index fields</v>
      </c>
      <c r="C131" s="28"/>
      <c r="D131" s="28"/>
      <c r="E131" s="29" t="n">
        <f aca="false">'Task Breakdown'!I402</f>
        <v>0</v>
      </c>
      <c r="F131" s="29" t="n">
        <f aca="false">'Task Breakdown'!J402</f>
        <v>0</v>
      </c>
      <c r="G131" s="29" t="n">
        <f aca="false">'Task Breakdown'!K402</f>
        <v>0</v>
      </c>
      <c r="H131" s="29" t="n">
        <f aca="false">'Task Breakdown'!L402</f>
        <v>37</v>
      </c>
      <c r="I131" s="29" t="n">
        <f aca="false">'Task Breakdown'!M402</f>
        <v>0</v>
      </c>
      <c r="J131" s="29" t="n">
        <f aca="false">'Task Breakdown'!N402</f>
        <v>12</v>
      </c>
      <c r="K131" s="29" t="n">
        <f aca="false">'Task Breakdown'!O402</f>
        <v>0</v>
      </c>
      <c r="L131" s="29" t="n">
        <f aca="false">'Task Breakdown'!P402</f>
        <v>0</v>
      </c>
      <c r="M131" s="29" t="n">
        <f aca="false">'Task Breakdown'!Q402</f>
        <v>0</v>
      </c>
      <c r="N131" s="29" t="n">
        <f aca="false">'Task Breakdown'!R402</f>
        <v>0</v>
      </c>
      <c r="O131" s="29" t="n">
        <f aca="false">'Task Breakdown'!S402</f>
        <v>0</v>
      </c>
      <c r="P131" s="29" t="n">
        <f aca="false">'Task Breakdown'!T402</f>
        <v>0</v>
      </c>
      <c r="Q131" s="30" t="n">
        <f aca="false">SUM(E131:P131)</f>
        <v>49</v>
      </c>
      <c r="R131" s="31" t="n">
        <f aca="false">IF($Q$230&gt;0,Q131/$Q$230,0)</f>
        <v>0.00558023004213643</v>
      </c>
    </row>
    <row r="132" customFormat="false" ht="15" hidden="false" customHeight="false" outlineLevel="0" collapsed="false">
      <c r="A132" s="26" t="str">
        <f aca="false">'Task Breakdown'!A403</f>
        <v>DR-3.05.02</v>
      </c>
      <c r="B132" s="27" t="str">
        <f aca="false">'Task Breakdown'!G403</f>
        <v>Implement security-trimming filters in retrieval</v>
      </c>
      <c r="C132" s="28"/>
      <c r="D132" s="28"/>
      <c r="E132" s="29" t="n">
        <f aca="false">'Task Breakdown'!I403</f>
        <v>0</v>
      </c>
      <c r="F132" s="29" t="n">
        <f aca="false">'Task Breakdown'!J403</f>
        <v>0</v>
      </c>
      <c r="G132" s="29" t="n">
        <f aca="false">'Task Breakdown'!K403</f>
        <v>0</v>
      </c>
      <c r="H132" s="29" t="n">
        <f aca="false">'Task Breakdown'!L403</f>
        <v>0</v>
      </c>
      <c r="I132" s="29" t="n">
        <f aca="false">'Task Breakdown'!M403</f>
        <v>0</v>
      </c>
      <c r="J132" s="29" t="n">
        <f aca="false">'Task Breakdown'!N403</f>
        <v>49</v>
      </c>
      <c r="K132" s="29" t="n">
        <f aca="false">'Task Breakdown'!O403</f>
        <v>0</v>
      </c>
      <c r="L132" s="29" t="n">
        <f aca="false">'Task Breakdown'!P403</f>
        <v>0</v>
      </c>
      <c r="M132" s="29" t="n">
        <f aca="false">'Task Breakdown'!Q403</f>
        <v>0</v>
      </c>
      <c r="N132" s="29" t="n">
        <f aca="false">'Task Breakdown'!R403</f>
        <v>0</v>
      </c>
      <c r="O132" s="29" t="n">
        <f aca="false">'Task Breakdown'!S403</f>
        <v>0</v>
      </c>
      <c r="P132" s="29" t="n">
        <f aca="false">'Task Breakdown'!T403</f>
        <v>0</v>
      </c>
      <c r="Q132" s="30" t="n">
        <f aca="false">SUM(E132:P132)</f>
        <v>49</v>
      </c>
      <c r="R132" s="31" t="n">
        <f aca="false">IF($Q$230&gt;0,Q132/$Q$230,0)</f>
        <v>0.00558023004213643</v>
      </c>
    </row>
    <row r="133" customFormat="false" ht="15" hidden="false" customHeight="false" outlineLevel="0" collapsed="false">
      <c r="A133" s="26" t="str">
        <f aca="false">'Task Breakdown'!A404</f>
        <v>DR-3.05.03</v>
      </c>
      <c r="B133" s="27" t="str">
        <f aca="false">'Task Breakdown'!G404</f>
        <v>Sync ACL changes to the index</v>
      </c>
      <c r="C133" s="28"/>
      <c r="D133" s="28"/>
      <c r="E133" s="29" t="n">
        <f aca="false">'Task Breakdown'!I404</f>
        <v>0</v>
      </c>
      <c r="F133" s="29" t="n">
        <f aca="false">'Task Breakdown'!J404</f>
        <v>0</v>
      </c>
      <c r="G133" s="29" t="n">
        <f aca="false">'Task Breakdown'!K404</f>
        <v>0</v>
      </c>
      <c r="H133" s="29" t="n">
        <f aca="false">'Task Breakdown'!L404</f>
        <v>24</v>
      </c>
      <c r="I133" s="29" t="n">
        <f aca="false">'Task Breakdown'!M404</f>
        <v>0</v>
      </c>
      <c r="J133" s="29" t="n">
        <f aca="false">'Task Breakdown'!N404</f>
        <v>12</v>
      </c>
      <c r="K133" s="29" t="n">
        <f aca="false">'Task Breakdown'!O404</f>
        <v>0</v>
      </c>
      <c r="L133" s="29" t="n">
        <f aca="false">'Task Breakdown'!P404</f>
        <v>0</v>
      </c>
      <c r="M133" s="29" t="n">
        <f aca="false">'Task Breakdown'!Q404</f>
        <v>0</v>
      </c>
      <c r="N133" s="29" t="n">
        <f aca="false">'Task Breakdown'!R404</f>
        <v>0</v>
      </c>
      <c r="O133" s="29" t="n">
        <f aca="false">'Task Breakdown'!S404</f>
        <v>0</v>
      </c>
      <c r="P133" s="29" t="n">
        <f aca="false">'Task Breakdown'!T404</f>
        <v>0</v>
      </c>
      <c r="Q133" s="30" t="n">
        <f aca="false">SUM(E133:P133)</f>
        <v>36</v>
      </c>
      <c r="R133" s="31" t="n">
        <f aca="false">IF($Q$230&gt;0,Q133/$Q$230,0)</f>
        <v>0.00409976084728391</v>
      </c>
    </row>
    <row r="134" customFormat="false" ht="15" hidden="false" customHeight="false" outlineLevel="0" collapsed="false">
      <c r="A134" s="26" t="str">
        <f aca="false">'Task Breakdown'!A405</f>
        <v>DR-3.05.04</v>
      </c>
      <c r="B134" s="27" t="str">
        <f aca="false">'Task Breakdown'!G405</f>
        <v>Security review</v>
      </c>
      <c r="C134" s="28"/>
      <c r="D134" s="28"/>
      <c r="E134" s="29" t="n">
        <f aca="false">'Task Breakdown'!I405</f>
        <v>0</v>
      </c>
      <c r="F134" s="29" t="n">
        <f aca="false">'Task Breakdown'!J405</f>
        <v>0</v>
      </c>
      <c r="G134" s="29" t="n">
        <f aca="false">'Task Breakdown'!K405</f>
        <v>0</v>
      </c>
      <c r="H134" s="29" t="n">
        <f aca="false">'Task Breakdown'!L405</f>
        <v>37</v>
      </c>
      <c r="I134" s="29" t="n">
        <f aca="false">'Task Breakdown'!M405</f>
        <v>0</v>
      </c>
      <c r="J134" s="29" t="n">
        <f aca="false">'Task Breakdown'!N405</f>
        <v>0</v>
      </c>
      <c r="K134" s="29" t="n">
        <f aca="false">'Task Breakdown'!O405</f>
        <v>0</v>
      </c>
      <c r="L134" s="29" t="n">
        <f aca="false">'Task Breakdown'!P405</f>
        <v>0</v>
      </c>
      <c r="M134" s="29" t="n">
        <f aca="false">'Task Breakdown'!Q405</f>
        <v>0</v>
      </c>
      <c r="N134" s="29" t="n">
        <f aca="false">'Task Breakdown'!R405</f>
        <v>0</v>
      </c>
      <c r="O134" s="29" t="n">
        <f aca="false">'Task Breakdown'!S405</f>
        <v>0</v>
      </c>
      <c r="P134" s="29" t="n">
        <f aca="false">'Task Breakdown'!T405</f>
        <v>0</v>
      </c>
      <c r="Q134" s="30" t="n">
        <f aca="false">SUM(E134:P134)</f>
        <v>37</v>
      </c>
      <c r="R134" s="31" t="n">
        <f aca="false">IF($Q$230&gt;0,Q134/$Q$230,0)</f>
        <v>0.0042136430930418</v>
      </c>
    </row>
    <row r="135" customFormat="false" ht="15" hidden="false" customHeight="false" outlineLevel="0" collapsed="false">
      <c r="A135" s="26" t="str">
        <f aca="false">'Task Breakdown'!A406</f>
        <v>DR-3.05.05</v>
      </c>
      <c r="B135" s="27" t="str">
        <f aca="false">'Task Breakdown'!G406</f>
        <v>Negative access testing</v>
      </c>
      <c r="C135" s="28"/>
      <c r="D135" s="28"/>
      <c r="E135" s="29" t="n">
        <f aca="false">'Task Breakdown'!I406</f>
        <v>0</v>
      </c>
      <c r="F135" s="29" t="n">
        <f aca="false">'Task Breakdown'!J406</f>
        <v>0</v>
      </c>
      <c r="G135" s="29" t="n">
        <f aca="false">'Task Breakdown'!K406</f>
        <v>0</v>
      </c>
      <c r="H135" s="29" t="n">
        <f aca="false">'Task Breakdown'!L406</f>
        <v>0</v>
      </c>
      <c r="I135" s="29" t="n">
        <f aca="false">'Task Breakdown'!M406</f>
        <v>0</v>
      </c>
      <c r="J135" s="29" t="n">
        <f aca="false">'Task Breakdown'!N406</f>
        <v>0</v>
      </c>
      <c r="K135" s="29" t="n">
        <f aca="false">'Task Breakdown'!O406</f>
        <v>0</v>
      </c>
      <c r="L135" s="29" t="n">
        <f aca="false">'Task Breakdown'!P406</f>
        <v>0</v>
      </c>
      <c r="M135" s="29" t="n">
        <f aca="false">'Task Breakdown'!Q406</f>
        <v>0</v>
      </c>
      <c r="N135" s="29" t="n">
        <f aca="false">'Task Breakdown'!R406</f>
        <v>0</v>
      </c>
      <c r="O135" s="29" t="n">
        <f aca="false">'Task Breakdown'!S406</f>
        <v>49</v>
      </c>
      <c r="P135" s="29" t="n">
        <f aca="false">'Task Breakdown'!T406</f>
        <v>0</v>
      </c>
      <c r="Q135" s="30" t="n">
        <f aca="false">SUM(E135:P135)</f>
        <v>49</v>
      </c>
      <c r="R135" s="31" t="n">
        <f aca="false">IF($Q$230&gt;0,Q135/$Q$230,0)</f>
        <v>0.00558023004213643</v>
      </c>
    </row>
    <row r="136" customFormat="false" ht="15" hidden="false" customHeight="false" outlineLevel="0" collapsed="false">
      <c r="A136" s="26" t="str">
        <f aca="false">'Task Breakdown'!A407</f>
        <v>DR-3.05.06</v>
      </c>
      <c r="B136" s="27" t="str">
        <f aca="false">'Task Breakdown'!G407</f>
        <v>Detailed design and design review</v>
      </c>
      <c r="C136" s="28"/>
      <c r="D136" s="28"/>
      <c r="E136" s="29" t="n">
        <f aca="false">'Task Breakdown'!I407</f>
        <v>0</v>
      </c>
      <c r="F136" s="29" t="n">
        <f aca="false">'Task Breakdown'!J407</f>
        <v>13</v>
      </c>
      <c r="G136" s="29" t="n">
        <f aca="false">'Task Breakdown'!K407</f>
        <v>0</v>
      </c>
      <c r="H136" s="29" t="n">
        <f aca="false">'Task Breakdown'!L407</f>
        <v>0</v>
      </c>
      <c r="I136" s="29" t="n">
        <f aca="false">'Task Breakdown'!M407</f>
        <v>0</v>
      </c>
      <c r="J136" s="29" t="n">
        <f aca="false">'Task Breakdown'!N407</f>
        <v>0</v>
      </c>
      <c r="K136" s="29" t="n">
        <f aca="false">'Task Breakdown'!O407</f>
        <v>0</v>
      </c>
      <c r="L136" s="29" t="n">
        <f aca="false">'Task Breakdown'!P407</f>
        <v>0</v>
      </c>
      <c r="M136" s="29" t="n">
        <f aca="false">'Task Breakdown'!Q407</f>
        <v>0</v>
      </c>
      <c r="N136" s="29" t="n">
        <f aca="false">'Task Breakdown'!R407</f>
        <v>0</v>
      </c>
      <c r="O136" s="29" t="n">
        <f aca="false">'Task Breakdown'!S407</f>
        <v>0</v>
      </c>
      <c r="P136" s="29" t="n">
        <f aca="false">'Task Breakdown'!T407</f>
        <v>0</v>
      </c>
      <c r="Q136" s="30" t="n">
        <f aca="false">SUM(E136:P136)</f>
        <v>13</v>
      </c>
      <c r="R136" s="31" t="n">
        <f aca="false">IF($Q$230&gt;0,Q136/$Q$230,0)</f>
        <v>0.00148046919485252</v>
      </c>
    </row>
    <row r="137" customFormat="false" ht="15" hidden="false" customHeight="false" outlineLevel="0" collapsed="false">
      <c r="A137" s="26" t="str">
        <f aca="false">'Task Breakdown'!A408</f>
        <v>DR-3.05.07</v>
      </c>
      <c r="B137" s="27" t="str">
        <f aca="false">'Task Breakdown'!G408</f>
        <v>Documentation, runbook and knowledge transfer</v>
      </c>
      <c r="C137" s="28"/>
      <c r="D137" s="28"/>
      <c r="E137" s="29" t="n">
        <f aca="false">'Task Breakdown'!I408</f>
        <v>0</v>
      </c>
      <c r="F137" s="29" t="n">
        <f aca="false">'Task Breakdown'!J408</f>
        <v>0</v>
      </c>
      <c r="G137" s="29" t="n">
        <f aca="false">'Task Breakdown'!K408</f>
        <v>0</v>
      </c>
      <c r="H137" s="29" t="n">
        <f aca="false">'Task Breakdown'!L408</f>
        <v>9</v>
      </c>
      <c r="I137" s="29" t="n">
        <f aca="false">'Task Breakdown'!M408</f>
        <v>0</v>
      </c>
      <c r="J137" s="29" t="n">
        <f aca="false">'Task Breakdown'!N408</f>
        <v>0</v>
      </c>
      <c r="K137" s="29" t="n">
        <f aca="false">'Task Breakdown'!O408</f>
        <v>0</v>
      </c>
      <c r="L137" s="29" t="n">
        <f aca="false">'Task Breakdown'!P408</f>
        <v>0</v>
      </c>
      <c r="M137" s="29" t="n">
        <f aca="false">'Task Breakdown'!Q408</f>
        <v>0</v>
      </c>
      <c r="N137" s="29" t="n">
        <f aca="false">'Task Breakdown'!R408</f>
        <v>0</v>
      </c>
      <c r="O137" s="29" t="n">
        <f aca="false">'Task Breakdown'!S408</f>
        <v>0</v>
      </c>
      <c r="P137" s="29" t="n">
        <f aca="false">'Task Breakdown'!T408</f>
        <v>0</v>
      </c>
      <c r="Q137" s="30" t="n">
        <f aca="false">SUM(E137:P137)</f>
        <v>9</v>
      </c>
      <c r="R137" s="31" t="n">
        <f aca="false">IF($Q$230&gt;0,Q137/$Q$230,0)</f>
        <v>0.00102494021182098</v>
      </c>
    </row>
    <row r="138" customFormat="false" ht="15" hidden="false" customHeight="false" outlineLevel="0" collapsed="false">
      <c r="A138" s="23" t="s">
        <v>273</v>
      </c>
      <c r="B138" s="23" t="s">
        <v>274</v>
      </c>
      <c r="C138" s="23" t="s">
        <v>45</v>
      </c>
      <c r="D138" s="23" t="s">
        <v>275</v>
      </c>
      <c r="E138" s="24" t="n">
        <f aca="false">SUM(E139:E145)</f>
        <v>0</v>
      </c>
      <c r="F138" s="24" t="n">
        <f aca="false">SUM(F139:F145)</f>
        <v>0</v>
      </c>
      <c r="G138" s="24" t="n">
        <f aca="false">SUM(G139:G145)</f>
        <v>0</v>
      </c>
      <c r="H138" s="24" t="n">
        <f aca="false">SUM(H139:H145)</f>
        <v>0</v>
      </c>
      <c r="I138" s="24" t="n">
        <f aca="false">SUM(I139:I145)</f>
        <v>0</v>
      </c>
      <c r="J138" s="24" t="n">
        <f aca="false">SUM(J139:J145)</f>
        <v>48</v>
      </c>
      <c r="K138" s="24" t="n">
        <f aca="false">SUM(K139:K145)</f>
        <v>0</v>
      </c>
      <c r="L138" s="24" t="n">
        <f aca="false">SUM(L139:L145)</f>
        <v>15</v>
      </c>
      <c r="M138" s="24" t="n">
        <f aca="false">SUM(M139:M145)</f>
        <v>0</v>
      </c>
      <c r="N138" s="24" t="n">
        <f aca="false">SUM(N139:N145)</f>
        <v>132</v>
      </c>
      <c r="O138" s="24" t="n">
        <f aca="false">SUM(O139:O145)</f>
        <v>73</v>
      </c>
      <c r="P138" s="24" t="n">
        <f aca="false">SUM(P139:P145)</f>
        <v>0</v>
      </c>
      <c r="Q138" s="24" t="n">
        <f aca="false">SUM(Q139:Q145)</f>
        <v>268</v>
      </c>
      <c r="R138" s="25" t="n">
        <f aca="false">IF($Q$230&gt;0,Q138/$Q$230,0)</f>
        <v>0.0305204418631135</v>
      </c>
    </row>
    <row r="139" customFormat="false" ht="15" hidden="false" customHeight="false" outlineLevel="0" collapsed="false">
      <c r="A139" s="26" t="str">
        <f aca="false">'Task Breakdown'!A409</f>
        <v>DR-3.06.01</v>
      </c>
      <c r="B139" s="27" t="str">
        <f aca="false">'Task Breakdown'!G409</f>
        <v>Collect real questions from plant users</v>
      </c>
      <c r="C139" s="28"/>
      <c r="D139" s="28"/>
      <c r="E139" s="29" t="n">
        <f aca="false">'Task Breakdown'!I409</f>
        <v>0</v>
      </c>
      <c r="F139" s="29" t="n">
        <f aca="false">'Task Breakdown'!J409</f>
        <v>0</v>
      </c>
      <c r="G139" s="29" t="n">
        <f aca="false">'Task Breakdown'!K409</f>
        <v>0</v>
      </c>
      <c r="H139" s="29" t="n">
        <f aca="false">'Task Breakdown'!L409</f>
        <v>0</v>
      </c>
      <c r="I139" s="29" t="n">
        <f aca="false">'Task Breakdown'!M409</f>
        <v>0</v>
      </c>
      <c r="J139" s="29" t="n">
        <f aca="false">'Task Breakdown'!N409</f>
        <v>0</v>
      </c>
      <c r="K139" s="29" t="n">
        <f aca="false">'Task Breakdown'!O409</f>
        <v>0</v>
      </c>
      <c r="L139" s="29" t="n">
        <f aca="false">'Task Breakdown'!P409</f>
        <v>0</v>
      </c>
      <c r="M139" s="29" t="n">
        <f aca="false">'Task Breakdown'!Q409</f>
        <v>0</v>
      </c>
      <c r="N139" s="29" t="n">
        <f aca="false">'Task Breakdown'!R409</f>
        <v>49</v>
      </c>
      <c r="O139" s="29" t="n">
        <f aca="false">'Task Breakdown'!S409</f>
        <v>0</v>
      </c>
      <c r="P139" s="29" t="n">
        <f aca="false">'Task Breakdown'!T409</f>
        <v>0</v>
      </c>
      <c r="Q139" s="30" t="n">
        <f aca="false">SUM(E139:P139)</f>
        <v>49</v>
      </c>
      <c r="R139" s="31" t="n">
        <f aca="false">IF($Q$230&gt;0,Q139/$Q$230,0)</f>
        <v>0.00558023004213643</v>
      </c>
    </row>
    <row r="140" customFormat="false" ht="15" hidden="false" customHeight="false" outlineLevel="0" collapsed="false">
      <c r="A140" s="26" t="str">
        <f aca="false">'Task Breakdown'!A410</f>
        <v>DR-3.06.02</v>
      </c>
      <c r="B140" s="27" t="str">
        <f aca="false">'Task Breakdown'!G410</f>
        <v>Write expected answers and sources with SMEs</v>
      </c>
      <c r="C140" s="28"/>
      <c r="D140" s="28"/>
      <c r="E140" s="29" t="n">
        <f aca="false">'Task Breakdown'!I410</f>
        <v>0</v>
      </c>
      <c r="F140" s="29" t="n">
        <f aca="false">'Task Breakdown'!J410</f>
        <v>0</v>
      </c>
      <c r="G140" s="29" t="n">
        <f aca="false">'Task Breakdown'!K410</f>
        <v>0</v>
      </c>
      <c r="H140" s="29" t="n">
        <f aca="false">'Task Breakdown'!L410</f>
        <v>0</v>
      </c>
      <c r="I140" s="29" t="n">
        <f aca="false">'Task Breakdown'!M410</f>
        <v>0</v>
      </c>
      <c r="J140" s="29" t="n">
        <f aca="false">'Task Breakdown'!N410</f>
        <v>0</v>
      </c>
      <c r="K140" s="29" t="n">
        <f aca="false">'Task Breakdown'!O410</f>
        <v>0</v>
      </c>
      <c r="L140" s="29" t="n">
        <f aca="false">'Task Breakdown'!P410</f>
        <v>0</v>
      </c>
      <c r="M140" s="29" t="n">
        <f aca="false">'Task Breakdown'!Q410</f>
        <v>0</v>
      </c>
      <c r="N140" s="29" t="n">
        <f aca="false">'Task Breakdown'!R410</f>
        <v>73</v>
      </c>
      <c r="O140" s="29" t="n">
        <f aca="false">'Task Breakdown'!S410</f>
        <v>0</v>
      </c>
      <c r="P140" s="29" t="n">
        <f aca="false">'Task Breakdown'!T410</f>
        <v>0</v>
      </c>
      <c r="Q140" s="30" t="n">
        <f aca="false">SUM(E140:P140)</f>
        <v>73</v>
      </c>
      <c r="R140" s="31" t="n">
        <f aca="false">IF($Q$230&gt;0,Q140/$Q$230,0)</f>
        <v>0.0083134039403257</v>
      </c>
    </row>
    <row r="141" customFormat="false" ht="15" hidden="false" customHeight="false" outlineLevel="0" collapsed="false">
      <c r="A141" s="26" t="str">
        <f aca="false">'Task Breakdown'!A411</f>
        <v>DR-3.06.03</v>
      </c>
      <c r="B141" s="27" t="str">
        <f aca="false">'Task Breakdown'!G411</f>
        <v>Store test sets in a versioned repository</v>
      </c>
      <c r="C141" s="28"/>
      <c r="D141" s="28"/>
      <c r="E141" s="29" t="n">
        <f aca="false">'Task Breakdown'!I411</f>
        <v>0</v>
      </c>
      <c r="F141" s="29" t="n">
        <f aca="false">'Task Breakdown'!J411</f>
        <v>0</v>
      </c>
      <c r="G141" s="29" t="n">
        <f aca="false">'Task Breakdown'!K411</f>
        <v>0</v>
      </c>
      <c r="H141" s="29" t="n">
        <f aca="false">'Task Breakdown'!L411</f>
        <v>0</v>
      </c>
      <c r="I141" s="29" t="n">
        <f aca="false">'Task Breakdown'!M411</f>
        <v>0</v>
      </c>
      <c r="J141" s="29" t="n">
        <f aca="false">'Task Breakdown'!N411</f>
        <v>24</v>
      </c>
      <c r="K141" s="29" t="n">
        <f aca="false">'Task Breakdown'!O411</f>
        <v>0</v>
      </c>
      <c r="L141" s="29" t="n">
        <f aca="false">'Task Breakdown'!P411</f>
        <v>0</v>
      </c>
      <c r="M141" s="29" t="n">
        <f aca="false">'Task Breakdown'!Q411</f>
        <v>0</v>
      </c>
      <c r="N141" s="29" t="n">
        <f aca="false">'Task Breakdown'!R411</f>
        <v>0</v>
      </c>
      <c r="O141" s="29" t="n">
        <f aca="false">'Task Breakdown'!S411</f>
        <v>0</v>
      </c>
      <c r="P141" s="29" t="n">
        <f aca="false">'Task Breakdown'!T411</f>
        <v>0</v>
      </c>
      <c r="Q141" s="30" t="n">
        <f aca="false">SUM(E141:P141)</f>
        <v>24</v>
      </c>
      <c r="R141" s="31" t="n">
        <f aca="false">IF($Q$230&gt;0,Q141/$Q$230,0)</f>
        <v>0.00273317389818927</v>
      </c>
    </row>
    <row r="142" customFormat="false" ht="15" hidden="false" customHeight="false" outlineLevel="0" collapsed="false">
      <c r="A142" s="26" t="str">
        <f aca="false">'Task Breakdown'!A412</f>
        <v>DR-3.06.04</v>
      </c>
      <c r="B142" s="27" t="str">
        <f aca="false">'Task Breakdown'!G412</f>
        <v>Wire test sets into the evaluation pipeline</v>
      </c>
      <c r="C142" s="28"/>
      <c r="D142" s="28"/>
      <c r="E142" s="29" t="n">
        <f aca="false">'Task Breakdown'!I412</f>
        <v>0</v>
      </c>
      <c r="F142" s="29" t="n">
        <f aca="false">'Task Breakdown'!J412</f>
        <v>0</v>
      </c>
      <c r="G142" s="29" t="n">
        <f aca="false">'Task Breakdown'!K412</f>
        <v>0</v>
      </c>
      <c r="H142" s="29" t="n">
        <f aca="false">'Task Breakdown'!L412</f>
        <v>0</v>
      </c>
      <c r="I142" s="29" t="n">
        <f aca="false">'Task Breakdown'!M412</f>
        <v>0</v>
      </c>
      <c r="J142" s="29" t="n">
        <f aca="false">'Task Breakdown'!N412</f>
        <v>24</v>
      </c>
      <c r="K142" s="29" t="n">
        <f aca="false">'Task Breakdown'!O412</f>
        <v>0</v>
      </c>
      <c r="L142" s="29" t="n">
        <f aca="false">'Task Breakdown'!P412</f>
        <v>0</v>
      </c>
      <c r="M142" s="29" t="n">
        <f aca="false">'Task Breakdown'!Q412</f>
        <v>0</v>
      </c>
      <c r="N142" s="29" t="n">
        <f aca="false">'Task Breakdown'!R412</f>
        <v>0</v>
      </c>
      <c r="O142" s="29" t="n">
        <f aca="false">'Task Breakdown'!S412</f>
        <v>0</v>
      </c>
      <c r="P142" s="29" t="n">
        <f aca="false">'Task Breakdown'!T412</f>
        <v>0</v>
      </c>
      <c r="Q142" s="30" t="n">
        <f aca="false">SUM(E142:P142)</f>
        <v>24</v>
      </c>
      <c r="R142" s="31" t="n">
        <f aca="false">IF($Q$230&gt;0,Q142/$Q$230,0)</f>
        <v>0.00273317389818927</v>
      </c>
    </row>
    <row r="143" customFormat="false" ht="15" hidden="false" customHeight="false" outlineLevel="0" collapsed="false">
      <c r="A143" s="26" t="str">
        <f aca="false">'Task Breakdown'!A413</f>
        <v>DR-3.06.05</v>
      </c>
      <c r="B143" s="27" t="str">
        <f aca="false">'Task Breakdown'!G413</f>
        <v>Review coverage</v>
      </c>
      <c r="C143" s="28"/>
      <c r="D143" s="28"/>
      <c r="E143" s="29" t="n">
        <f aca="false">'Task Breakdown'!I413</f>
        <v>0</v>
      </c>
      <c r="F143" s="29" t="n">
        <f aca="false">'Task Breakdown'!J413</f>
        <v>0</v>
      </c>
      <c r="G143" s="29" t="n">
        <f aca="false">'Task Breakdown'!K413</f>
        <v>0</v>
      </c>
      <c r="H143" s="29" t="n">
        <f aca="false">'Task Breakdown'!L413</f>
        <v>0</v>
      </c>
      <c r="I143" s="29" t="n">
        <f aca="false">'Task Breakdown'!M413</f>
        <v>0</v>
      </c>
      <c r="J143" s="29" t="n">
        <f aca="false">'Task Breakdown'!N413</f>
        <v>0</v>
      </c>
      <c r="K143" s="29" t="n">
        <f aca="false">'Task Breakdown'!O413</f>
        <v>0</v>
      </c>
      <c r="L143" s="29" t="n">
        <f aca="false">'Task Breakdown'!P413</f>
        <v>0</v>
      </c>
      <c r="M143" s="29" t="n">
        <f aca="false">'Task Breakdown'!Q413</f>
        <v>0</v>
      </c>
      <c r="N143" s="29" t="n">
        <f aca="false">'Task Breakdown'!R413</f>
        <v>0</v>
      </c>
      <c r="O143" s="29" t="n">
        <f aca="false">'Task Breakdown'!S413</f>
        <v>73</v>
      </c>
      <c r="P143" s="29" t="n">
        <f aca="false">'Task Breakdown'!T413</f>
        <v>0</v>
      </c>
      <c r="Q143" s="30" t="n">
        <f aca="false">SUM(E143:P143)</f>
        <v>73</v>
      </c>
      <c r="R143" s="31" t="n">
        <f aca="false">IF($Q$230&gt;0,Q143/$Q$230,0)</f>
        <v>0.0083134039403257</v>
      </c>
    </row>
    <row r="144" customFormat="false" ht="15" hidden="false" customHeight="false" outlineLevel="0" collapsed="false">
      <c r="A144" s="26" t="str">
        <f aca="false">'Task Breakdown'!A414</f>
        <v>DR-3.06.06</v>
      </c>
      <c r="B144" s="27" t="str">
        <f aca="false">'Task Breakdown'!G414</f>
        <v>Detailed design and design review</v>
      </c>
      <c r="C144" s="28"/>
      <c r="D144" s="28"/>
      <c r="E144" s="29" t="n">
        <f aca="false">'Task Breakdown'!I414</f>
        <v>0</v>
      </c>
      <c r="F144" s="29" t="n">
        <f aca="false">'Task Breakdown'!J414</f>
        <v>0</v>
      </c>
      <c r="G144" s="29" t="n">
        <f aca="false">'Task Breakdown'!K414</f>
        <v>0</v>
      </c>
      <c r="H144" s="29" t="n">
        <f aca="false">'Task Breakdown'!L414</f>
        <v>0</v>
      </c>
      <c r="I144" s="29" t="n">
        <f aca="false">'Task Breakdown'!M414</f>
        <v>0</v>
      </c>
      <c r="J144" s="29" t="n">
        <f aca="false">'Task Breakdown'!N414</f>
        <v>0</v>
      </c>
      <c r="K144" s="29" t="n">
        <f aca="false">'Task Breakdown'!O414</f>
        <v>0</v>
      </c>
      <c r="L144" s="29" t="n">
        <f aca="false">'Task Breakdown'!P414</f>
        <v>15</v>
      </c>
      <c r="M144" s="29" t="n">
        <f aca="false">'Task Breakdown'!Q414</f>
        <v>0</v>
      </c>
      <c r="N144" s="29" t="n">
        <f aca="false">'Task Breakdown'!R414</f>
        <v>0</v>
      </c>
      <c r="O144" s="29" t="n">
        <f aca="false">'Task Breakdown'!S414</f>
        <v>0</v>
      </c>
      <c r="P144" s="29" t="n">
        <f aca="false">'Task Breakdown'!T414</f>
        <v>0</v>
      </c>
      <c r="Q144" s="30" t="n">
        <f aca="false">SUM(E144:P144)</f>
        <v>15</v>
      </c>
      <c r="R144" s="31" t="n">
        <f aca="false">IF($Q$230&gt;0,Q144/$Q$230,0)</f>
        <v>0.0017082336863683</v>
      </c>
    </row>
    <row r="145" customFormat="false" ht="15" hidden="false" customHeight="false" outlineLevel="0" collapsed="false">
      <c r="A145" s="26" t="str">
        <f aca="false">'Task Breakdown'!A415</f>
        <v>DR-3.06.07</v>
      </c>
      <c r="B145" s="27" t="str">
        <f aca="false">'Task Breakdown'!G415</f>
        <v>Documentation, runbook and knowledge transfer</v>
      </c>
      <c r="C145" s="28"/>
      <c r="D145" s="28"/>
      <c r="E145" s="29" t="n">
        <f aca="false">'Task Breakdown'!I415</f>
        <v>0</v>
      </c>
      <c r="F145" s="29" t="n">
        <f aca="false">'Task Breakdown'!J415</f>
        <v>0</v>
      </c>
      <c r="G145" s="29" t="n">
        <f aca="false">'Task Breakdown'!K415</f>
        <v>0</v>
      </c>
      <c r="H145" s="29" t="n">
        <f aca="false">'Task Breakdown'!L415</f>
        <v>0</v>
      </c>
      <c r="I145" s="29" t="n">
        <f aca="false">'Task Breakdown'!M415</f>
        <v>0</v>
      </c>
      <c r="J145" s="29" t="n">
        <f aca="false">'Task Breakdown'!N415</f>
        <v>0</v>
      </c>
      <c r="K145" s="29" t="n">
        <f aca="false">'Task Breakdown'!O415</f>
        <v>0</v>
      </c>
      <c r="L145" s="29" t="n">
        <f aca="false">'Task Breakdown'!P415</f>
        <v>0</v>
      </c>
      <c r="M145" s="29" t="n">
        <f aca="false">'Task Breakdown'!Q415</f>
        <v>0</v>
      </c>
      <c r="N145" s="29" t="n">
        <f aca="false">'Task Breakdown'!R415</f>
        <v>10</v>
      </c>
      <c r="O145" s="29" t="n">
        <f aca="false">'Task Breakdown'!S415</f>
        <v>0</v>
      </c>
      <c r="P145" s="29" t="n">
        <f aca="false">'Task Breakdown'!T415</f>
        <v>0</v>
      </c>
      <c r="Q145" s="30" t="n">
        <f aca="false">SUM(E145:P145)</f>
        <v>10</v>
      </c>
      <c r="R145" s="31" t="n">
        <f aca="false">IF($Q$230&gt;0,Q145/$Q$230,0)</f>
        <v>0.00113882245757886</v>
      </c>
    </row>
    <row r="146" customFormat="false" ht="15" hidden="false" customHeight="false" outlineLevel="0" collapsed="false">
      <c r="A146" s="9"/>
      <c r="B146" s="10" t="s">
        <v>139</v>
      </c>
      <c r="C146" s="9"/>
      <c r="D146" s="9"/>
      <c r="E146" s="32" t="n">
        <f aca="false">E88+E100+E110+E121+E130+E138</f>
        <v>0</v>
      </c>
      <c r="F146" s="32" t="n">
        <f aca="false">F88+F100+F110+F121+F130+F138</f>
        <v>42</v>
      </c>
      <c r="G146" s="32" t="n">
        <f aca="false">G88+G100+G110+G121+G130+G138</f>
        <v>105</v>
      </c>
      <c r="H146" s="32" t="n">
        <f aca="false">H88+H100+H110+H121+H130+H138</f>
        <v>107</v>
      </c>
      <c r="I146" s="32" t="n">
        <f aca="false">I88+I100+I110+I121+I130+I138</f>
        <v>123</v>
      </c>
      <c r="J146" s="32" t="n">
        <f aca="false">J88+J100+J110+J121+J130+J138</f>
        <v>638</v>
      </c>
      <c r="K146" s="32" t="n">
        <f aca="false">K88+K100+K110+K121+K130+K138</f>
        <v>473</v>
      </c>
      <c r="L146" s="32" t="n">
        <f aca="false">L88+L100+L110+L121+L130+L138</f>
        <v>37</v>
      </c>
      <c r="M146" s="32" t="n">
        <f aca="false">M88+M100+M110+M121+M130+M138</f>
        <v>0</v>
      </c>
      <c r="N146" s="32" t="n">
        <f aca="false">N88+N100+N110+N121+N130+N138</f>
        <v>172</v>
      </c>
      <c r="O146" s="32" t="n">
        <f aca="false">O88+O100+O110+O121+O130+O138</f>
        <v>248</v>
      </c>
      <c r="P146" s="32" t="n">
        <f aca="false">P88+P100+P110+P121+P130+P138</f>
        <v>0</v>
      </c>
      <c r="Q146" s="32" t="n">
        <f aca="false">Q88+Q100+Q110+Q121+Q130+Q138</f>
        <v>1945</v>
      </c>
      <c r="R146" s="33" t="n">
        <f aca="false">IF($Q$230&gt;0,Q146/$Q$230,0)</f>
        <v>0.221500967999089</v>
      </c>
    </row>
    <row r="148" customFormat="false" ht="15" hidden="false" customHeight="false" outlineLevel="0" collapsed="false">
      <c r="A148" s="21" t="s">
        <v>276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</row>
    <row r="149" customFormat="false" ht="15" hidden="false" customHeight="false" outlineLevel="0" collapsed="false">
      <c r="A149" s="23" t="s">
        <v>277</v>
      </c>
      <c r="B149" s="23" t="s">
        <v>278</v>
      </c>
      <c r="C149" s="23" t="s">
        <v>45</v>
      </c>
      <c r="D149" s="23" t="s">
        <v>279</v>
      </c>
      <c r="E149" s="24" t="n">
        <f aca="false">SUM(E150:E161)</f>
        <v>0</v>
      </c>
      <c r="F149" s="24" t="n">
        <f aca="false">SUM(F150:F161)</f>
        <v>0</v>
      </c>
      <c r="G149" s="24" t="n">
        <f aca="false">SUM(G150:G161)</f>
        <v>28</v>
      </c>
      <c r="H149" s="24" t="n">
        <f aca="false">SUM(H150:H161)</f>
        <v>0</v>
      </c>
      <c r="I149" s="24" t="n">
        <f aca="false">SUM(I150:I161)</f>
        <v>43</v>
      </c>
      <c r="J149" s="24" t="n">
        <f aca="false">SUM(J150:J161)</f>
        <v>378</v>
      </c>
      <c r="K149" s="24" t="n">
        <f aca="false">SUM(K150:K161)</f>
        <v>146</v>
      </c>
      <c r="L149" s="24" t="n">
        <f aca="false">SUM(L150:L161)</f>
        <v>0</v>
      </c>
      <c r="M149" s="24" t="n">
        <f aca="false">SUM(M150:M161)</f>
        <v>73</v>
      </c>
      <c r="N149" s="24" t="n">
        <f aca="false">SUM(N150:N161)</f>
        <v>98</v>
      </c>
      <c r="O149" s="24" t="n">
        <f aca="false">SUM(O150:O161)</f>
        <v>98</v>
      </c>
      <c r="P149" s="24" t="n">
        <f aca="false">SUM(P150:P161)</f>
        <v>0</v>
      </c>
      <c r="Q149" s="24" t="n">
        <f aca="false">SUM(Q150:Q161)</f>
        <v>864</v>
      </c>
      <c r="R149" s="25" t="n">
        <f aca="false">IF($Q$230&gt;0,Q149/$Q$230,0)</f>
        <v>0.0983942603348138</v>
      </c>
    </row>
    <row r="150" customFormat="false" ht="15" hidden="false" customHeight="false" outlineLevel="0" collapsed="false">
      <c r="A150" s="26" t="str">
        <f aca="false">'Task Breakdown'!A533</f>
        <v>UC-3.01.01</v>
      </c>
      <c r="B150" s="27" t="str">
        <f aca="false">'Task Breakdown'!G533</f>
        <v>Gather requirements with maintenance teams</v>
      </c>
      <c r="C150" s="28"/>
      <c r="D150" s="28"/>
      <c r="E150" s="29" t="n">
        <f aca="false">'Task Breakdown'!I533</f>
        <v>0</v>
      </c>
      <c r="F150" s="29" t="n">
        <f aca="false">'Task Breakdown'!J533</f>
        <v>0</v>
      </c>
      <c r="G150" s="29" t="n">
        <f aca="false">'Task Breakdown'!K533</f>
        <v>0</v>
      </c>
      <c r="H150" s="29" t="n">
        <f aca="false">'Task Breakdown'!L533</f>
        <v>0</v>
      </c>
      <c r="I150" s="29" t="n">
        <f aca="false">'Task Breakdown'!M533</f>
        <v>0</v>
      </c>
      <c r="J150" s="29" t="n">
        <f aca="false">'Task Breakdown'!N533</f>
        <v>0</v>
      </c>
      <c r="K150" s="29" t="n">
        <f aca="false">'Task Breakdown'!O533</f>
        <v>0</v>
      </c>
      <c r="L150" s="29" t="n">
        <f aca="false">'Task Breakdown'!P533</f>
        <v>0</v>
      </c>
      <c r="M150" s="29" t="n">
        <f aca="false">'Task Breakdown'!Q533</f>
        <v>0</v>
      </c>
      <c r="N150" s="29" t="n">
        <f aca="false">'Task Breakdown'!R533</f>
        <v>49</v>
      </c>
      <c r="O150" s="29" t="n">
        <f aca="false">'Task Breakdown'!S533</f>
        <v>0</v>
      </c>
      <c r="P150" s="29" t="n">
        <f aca="false">'Task Breakdown'!T533</f>
        <v>0</v>
      </c>
      <c r="Q150" s="30" t="n">
        <f aca="false">SUM(E150:P150)</f>
        <v>49</v>
      </c>
      <c r="R150" s="31" t="n">
        <f aca="false">IF($Q$230&gt;0,Q150/$Q$230,0)</f>
        <v>0.00558023004213643</v>
      </c>
    </row>
    <row r="151" customFormat="false" ht="15" hidden="false" customHeight="false" outlineLevel="0" collapsed="false">
      <c r="A151" s="26" t="str">
        <f aca="false">'Task Breakdown'!A534</f>
        <v>UC-3.01.02</v>
      </c>
      <c r="B151" s="27" t="str">
        <f aca="false">'Task Breakdown'!G534</f>
        <v>Build AVEVA PI tool: tag lookup, trends, anomalies</v>
      </c>
      <c r="C151" s="28"/>
      <c r="D151" s="28"/>
      <c r="E151" s="29" t="n">
        <f aca="false">'Task Breakdown'!I534</f>
        <v>0</v>
      </c>
      <c r="F151" s="29" t="n">
        <f aca="false">'Task Breakdown'!J534</f>
        <v>0</v>
      </c>
      <c r="G151" s="29" t="n">
        <f aca="false">'Task Breakdown'!K534</f>
        <v>0</v>
      </c>
      <c r="H151" s="29" t="n">
        <f aca="false">'Task Breakdown'!L534</f>
        <v>0</v>
      </c>
      <c r="I151" s="29" t="n">
        <f aca="false">'Task Breakdown'!M534</f>
        <v>0</v>
      </c>
      <c r="J151" s="29" t="n">
        <f aca="false">'Task Breakdown'!N534</f>
        <v>73</v>
      </c>
      <c r="K151" s="29" t="n">
        <f aca="false">'Task Breakdown'!O534</f>
        <v>49</v>
      </c>
      <c r="L151" s="29" t="n">
        <f aca="false">'Task Breakdown'!P534</f>
        <v>0</v>
      </c>
      <c r="M151" s="29" t="n">
        <f aca="false">'Task Breakdown'!Q534</f>
        <v>0</v>
      </c>
      <c r="N151" s="29" t="n">
        <f aca="false">'Task Breakdown'!R534</f>
        <v>0</v>
      </c>
      <c r="O151" s="29" t="n">
        <f aca="false">'Task Breakdown'!S534</f>
        <v>0</v>
      </c>
      <c r="P151" s="29" t="n">
        <f aca="false">'Task Breakdown'!T534</f>
        <v>0</v>
      </c>
      <c r="Q151" s="30" t="n">
        <f aca="false">SUM(E151:P151)</f>
        <v>122</v>
      </c>
      <c r="R151" s="31" t="n">
        <f aca="false">IF($Q$230&gt;0,Q151/$Q$230,0)</f>
        <v>0.0138936339824621</v>
      </c>
    </row>
    <row r="152" customFormat="false" ht="15" hidden="false" customHeight="false" outlineLevel="0" collapsed="false">
      <c r="A152" s="26" t="str">
        <f aca="false">'Task Breakdown'!A535</f>
        <v>UC-3.01.03</v>
      </c>
      <c r="B152" s="27" t="str">
        <f aca="false">'Task Breakdown'!G535</f>
        <v>Build SAP PM tool: work orders, history, notifications</v>
      </c>
      <c r="C152" s="28"/>
      <c r="D152" s="28"/>
      <c r="E152" s="29" t="n">
        <f aca="false">'Task Breakdown'!I535</f>
        <v>0</v>
      </c>
      <c r="F152" s="29" t="n">
        <f aca="false">'Task Breakdown'!J535</f>
        <v>0</v>
      </c>
      <c r="G152" s="29" t="n">
        <f aca="false">'Task Breakdown'!K535</f>
        <v>0</v>
      </c>
      <c r="H152" s="29" t="n">
        <f aca="false">'Task Breakdown'!L535</f>
        <v>0</v>
      </c>
      <c r="I152" s="29" t="n">
        <f aca="false">'Task Breakdown'!M535</f>
        <v>0</v>
      </c>
      <c r="J152" s="29" t="n">
        <f aca="false">'Task Breakdown'!N535</f>
        <v>61</v>
      </c>
      <c r="K152" s="29" t="n">
        <f aca="false">'Task Breakdown'!O535</f>
        <v>49</v>
      </c>
      <c r="L152" s="29" t="n">
        <f aca="false">'Task Breakdown'!P535</f>
        <v>0</v>
      </c>
      <c r="M152" s="29" t="n">
        <f aca="false">'Task Breakdown'!Q535</f>
        <v>0</v>
      </c>
      <c r="N152" s="29" t="n">
        <f aca="false">'Task Breakdown'!R535</f>
        <v>0</v>
      </c>
      <c r="O152" s="29" t="n">
        <f aca="false">'Task Breakdown'!S535</f>
        <v>0</v>
      </c>
      <c r="P152" s="29" t="n">
        <f aca="false">'Task Breakdown'!T535</f>
        <v>0</v>
      </c>
      <c r="Q152" s="30" t="n">
        <f aca="false">SUM(E152:P152)</f>
        <v>110</v>
      </c>
      <c r="R152" s="31" t="n">
        <f aca="false">IF($Q$230&gt;0,Q152/$Q$230,0)</f>
        <v>0.0125270470333675</v>
      </c>
    </row>
    <row r="153" customFormat="false" ht="15" hidden="false" customHeight="false" outlineLevel="0" collapsed="false">
      <c r="A153" s="26" t="str">
        <f aca="false">'Task Breakdown'!A536</f>
        <v>UC-3.01.04</v>
      </c>
      <c r="B153" s="27" t="str">
        <f aca="false">'Task Breakdown'!G536</f>
        <v>RAG over equipment manuals and failure history</v>
      </c>
      <c r="C153" s="28"/>
      <c r="D153" s="28"/>
      <c r="E153" s="29" t="n">
        <f aca="false">'Task Breakdown'!I536</f>
        <v>0</v>
      </c>
      <c r="F153" s="29" t="n">
        <f aca="false">'Task Breakdown'!J536</f>
        <v>0</v>
      </c>
      <c r="G153" s="29" t="n">
        <f aca="false">'Task Breakdown'!K536</f>
        <v>0</v>
      </c>
      <c r="H153" s="29" t="n">
        <f aca="false">'Task Breakdown'!L536</f>
        <v>0</v>
      </c>
      <c r="I153" s="29" t="n">
        <f aca="false">'Task Breakdown'!M536</f>
        <v>0</v>
      </c>
      <c r="J153" s="29" t="n">
        <f aca="false">'Task Breakdown'!N536</f>
        <v>49</v>
      </c>
      <c r="K153" s="29" t="n">
        <f aca="false">'Task Breakdown'!O536</f>
        <v>24</v>
      </c>
      <c r="L153" s="29" t="n">
        <f aca="false">'Task Breakdown'!P536</f>
        <v>0</v>
      </c>
      <c r="M153" s="29" t="n">
        <f aca="false">'Task Breakdown'!Q536</f>
        <v>0</v>
      </c>
      <c r="N153" s="29" t="n">
        <f aca="false">'Task Breakdown'!R536</f>
        <v>0</v>
      </c>
      <c r="O153" s="29" t="n">
        <f aca="false">'Task Breakdown'!S536</f>
        <v>0</v>
      </c>
      <c r="P153" s="29" t="n">
        <f aca="false">'Task Breakdown'!T536</f>
        <v>0</v>
      </c>
      <c r="Q153" s="30" t="n">
        <f aca="false">SUM(E153:P153)</f>
        <v>73</v>
      </c>
      <c r="R153" s="31" t="n">
        <f aca="false">IF($Q$230&gt;0,Q153/$Q$230,0)</f>
        <v>0.0083134039403257</v>
      </c>
    </row>
    <row r="154" customFormat="false" ht="15" hidden="false" customHeight="false" outlineLevel="0" collapsed="false">
      <c r="A154" s="26" t="str">
        <f aca="false">'Task Breakdown'!A537</f>
        <v>UC-3.01.05</v>
      </c>
      <c r="B154" s="27" t="str">
        <f aca="false">'Task Breakdown'!G537</f>
        <v>Root-cause and recommended-action logic</v>
      </c>
      <c r="C154" s="28"/>
      <c r="D154" s="28"/>
      <c r="E154" s="29" t="n">
        <f aca="false">'Task Breakdown'!I537</f>
        <v>0</v>
      </c>
      <c r="F154" s="29" t="n">
        <f aca="false">'Task Breakdown'!J537</f>
        <v>0</v>
      </c>
      <c r="G154" s="29" t="n">
        <f aca="false">'Task Breakdown'!K537</f>
        <v>0</v>
      </c>
      <c r="H154" s="29" t="n">
        <f aca="false">'Task Breakdown'!L537</f>
        <v>0</v>
      </c>
      <c r="I154" s="29" t="n">
        <f aca="false">'Task Breakdown'!M537</f>
        <v>0</v>
      </c>
      <c r="J154" s="29" t="n">
        <f aca="false">'Task Breakdown'!N537</f>
        <v>73</v>
      </c>
      <c r="K154" s="29" t="n">
        <f aca="false">'Task Breakdown'!O537</f>
        <v>0</v>
      </c>
      <c r="L154" s="29" t="n">
        <f aca="false">'Task Breakdown'!P537</f>
        <v>0</v>
      </c>
      <c r="M154" s="29" t="n">
        <f aca="false">'Task Breakdown'!Q537</f>
        <v>0</v>
      </c>
      <c r="N154" s="29" t="n">
        <f aca="false">'Task Breakdown'!R537</f>
        <v>0</v>
      </c>
      <c r="O154" s="29" t="n">
        <f aca="false">'Task Breakdown'!S537</f>
        <v>0</v>
      </c>
      <c r="P154" s="29" t="n">
        <f aca="false">'Task Breakdown'!T537</f>
        <v>0</v>
      </c>
      <c r="Q154" s="30" t="n">
        <f aca="false">SUM(E154:P154)</f>
        <v>73</v>
      </c>
      <c r="R154" s="31" t="n">
        <f aca="false">IF($Q$230&gt;0,Q154/$Q$230,0)</f>
        <v>0.0083134039403257</v>
      </c>
    </row>
    <row r="155" customFormat="false" ht="15" hidden="false" customHeight="false" outlineLevel="0" collapsed="false">
      <c r="A155" s="26" t="str">
        <f aca="false">'Task Breakdown'!A538</f>
        <v>UC-3.01.06</v>
      </c>
      <c r="B155" s="27" t="str">
        <f aca="false">'Task Breakdown'!G538</f>
        <v>Draft work orders with approval step</v>
      </c>
      <c r="C155" s="28"/>
      <c r="D155" s="28"/>
      <c r="E155" s="29" t="n">
        <f aca="false">'Task Breakdown'!I538</f>
        <v>0</v>
      </c>
      <c r="F155" s="29" t="n">
        <f aca="false">'Task Breakdown'!J538</f>
        <v>0</v>
      </c>
      <c r="G155" s="29" t="n">
        <f aca="false">'Task Breakdown'!K538</f>
        <v>0</v>
      </c>
      <c r="H155" s="29" t="n">
        <f aca="false">'Task Breakdown'!L538</f>
        <v>0</v>
      </c>
      <c r="I155" s="29" t="n">
        <f aca="false">'Task Breakdown'!M538</f>
        <v>0</v>
      </c>
      <c r="J155" s="29" t="n">
        <f aca="false">'Task Breakdown'!N538</f>
        <v>37</v>
      </c>
      <c r="K155" s="29" t="n">
        <f aca="false">'Task Breakdown'!O538</f>
        <v>0</v>
      </c>
      <c r="L155" s="29" t="n">
        <f aca="false">'Task Breakdown'!P538</f>
        <v>0</v>
      </c>
      <c r="M155" s="29" t="n">
        <f aca="false">'Task Breakdown'!Q538</f>
        <v>49</v>
      </c>
      <c r="N155" s="29" t="n">
        <f aca="false">'Task Breakdown'!R538</f>
        <v>0</v>
      </c>
      <c r="O155" s="29" t="n">
        <f aca="false">'Task Breakdown'!S538</f>
        <v>0</v>
      </c>
      <c r="P155" s="29" t="n">
        <f aca="false">'Task Breakdown'!T538</f>
        <v>0</v>
      </c>
      <c r="Q155" s="30" t="n">
        <f aca="false">SUM(E155:P155)</f>
        <v>86</v>
      </c>
      <c r="R155" s="31" t="n">
        <f aca="false">IF($Q$230&gt;0,Q155/$Q$230,0)</f>
        <v>0.00979387313517823</v>
      </c>
    </row>
    <row r="156" customFormat="false" ht="15" hidden="false" customHeight="false" outlineLevel="0" collapsed="false">
      <c r="A156" s="26" t="str">
        <f aca="false">'Task Breakdown'!A539</f>
        <v>UC-3.01.07</v>
      </c>
      <c r="B156" s="27" t="str">
        <f aca="false">'Task Breakdown'!G539</f>
        <v>Surface agent in Teams / Plant Ops app</v>
      </c>
      <c r="C156" s="28"/>
      <c r="D156" s="28"/>
      <c r="E156" s="29" t="n">
        <f aca="false">'Task Breakdown'!I539</f>
        <v>0</v>
      </c>
      <c r="F156" s="29" t="n">
        <f aca="false">'Task Breakdown'!J539</f>
        <v>0</v>
      </c>
      <c r="G156" s="29" t="n">
        <f aca="false">'Task Breakdown'!K539</f>
        <v>0</v>
      </c>
      <c r="H156" s="29" t="n">
        <f aca="false">'Task Breakdown'!L539</f>
        <v>0</v>
      </c>
      <c r="I156" s="29" t="n">
        <f aca="false">'Task Breakdown'!M539</f>
        <v>0</v>
      </c>
      <c r="J156" s="29" t="n">
        <f aca="false">'Task Breakdown'!N539</f>
        <v>0</v>
      </c>
      <c r="K156" s="29" t="n">
        <f aca="false">'Task Breakdown'!O539</f>
        <v>0</v>
      </c>
      <c r="L156" s="29" t="n">
        <f aca="false">'Task Breakdown'!P539</f>
        <v>0</v>
      </c>
      <c r="M156" s="29" t="n">
        <f aca="false">'Task Breakdown'!Q539</f>
        <v>24</v>
      </c>
      <c r="N156" s="29" t="n">
        <f aca="false">'Task Breakdown'!R539</f>
        <v>0</v>
      </c>
      <c r="O156" s="29" t="n">
        <f aca="false">'Task Breakdown'!S539</f>
        <v>0</v>
      </c>
      <c r="P156" s="29" t="n">
        <f aca="false">'Task Breakdown'!T539</f>
        <v>0</v>
      </c>
      <c r="Q156" s="30" t="n">
        <f aca="false">SUM(E156:P156)</f>
        <v>24</v>
      </c>
      <c r="R156" s="31" t="n">
        <f aca="false">IF($Q$230&gt;0,Q156/$Q$230,0)</f>
        <v>0.00273317389818927</v>
      </c>
    </row>
    <row r="157" customFormat="false" ht="15" hidden="false" customHeight="false" outlineLevel="0" collapsed="false">
      <c r="A157" s="26" t="str">
        <f aca="false">'Task Breakdown'!A540</f>
        <v>UC-3.01.08</v>
      </c>
      <c r="B157" s="27" t="str">
        <f aca="false">'Task Breakdown'!G540</f>
        <v>SME and functional testing</v>
      </c>
      <c r="C157" s="28"/>
      <c r="D157" s="28"/>
      <c r="E157" s="29" t="n">
        <f aca="false">'Task Breakdown'!I540</f>
        <v>0</v>
      </c>
      <c r="F157" s="29" t="n">
        <f aca="false">'Task Breakdown'!J540</f>
        <v>0</v>
      </c>
      <c r="G157" s="29" t="n">
        <f aca="false">'Task Breakdown'!K540</f>
        <v>0</v>
      </c>
      <c r="H157" s="29" t="n">
        <f aca="false">'Task Breakdown'!L540</f>
        <v>0</v>
      </c>
      <c r="I157" s="29" t="n">
        <f aca="false">'Task Breakdown'!M540</f>
        <v>0</v>
      </c>
      <c r="J157" s="29" t="n">
        <f aca="false">'Task Breakdown'!N540</f>
        <v>0</v>
      </c>
      <c r="K157" s="29" t="n">
        <f aca="false">'Task Breakdown'!O540</f>
        <v>24</v>
      </c>
      <c r="L157" s="29" t="n">
        <f aca="false">'Task Breakdown'!P540</f>
        <v>0</v>
      </c>
      <c r="M157" s="29" t="n">
        <f aca="false">'Task Breakdown'!Q540</f>
        <v>0</v>
      </c>
      <c r="N157" s="29" t="n">
        <f aca="false">'Task Breakdown'!R540</f>
        <v>49</v>
      </c>
      <c r="O157" s="29" t="n">
        <f aca="false">'Task Breakdown'!S540</f>
        <v>98</v>
      </c>
      <c r="P157" s="29" t="n">
        <f aca="false">'Task Breakdown'!T540</f>
        <v>0</v>
      </c>
      <c r="Q157" s="30" t="n">
        <f aca="false">SUM(E157:P157)</f>
        <v>171</v>
      </c>
      <c r="R157" s="31" t="n">
        <f aca="false">IF($Q$230&gt;0,Q157/$Q$230,0)</f>
        <v>0.0194738640245986</v>
      </c>
    </row>
    <row r="158" customFormat="false" ht="15" hidden="false" customHeight="false" outlineLevel="0" collapsed="false">
      <c r="A158" s="26" t="str">
        <f aca="false">'Task Breakdown'!A541</f>
        <v>UC-3.01.09</v>
      </c>
      <c r="B158" s="27" t="str">
        <f aca="false">'Task Breakdown'!G541</f>
        <v>Detailed design and design review</v>
      </c>
      <c r="C158" s="28"/>
      <c r="D158" s="28"/>
      <c r="E158" s="29" t="n">
        <f aca="false">'Task Breakdown'!I541</f>
        <v>0</v>
      </c>
      <c r="F158" s="29" t="n">
        <f aca="false">'Task Breakdown'!J541</f>
        <v>0</v>
      </c>
      <c r="G158" s="29" t="n">
        <f aca="false">'Task Breakdown'!K541</f>
        <v>0</v>
      </c>
      <c r="H158" s="29" t="n">
        <f aca="false">'Task Breakdown'!L541</f>
        <v>0</v>
      </c>
      <c r="I158" s="29" t="n">
        <f aca="false">'Task Breakdown'!M541</f>
        <v>43</v>
      </c>
      <c r="J158" s="29" t="n">
        <f aca="false">'Task Breakdown'!N541</f>
        <v>0</v>
      </c>
      <c r="K158" s="29" t="n">
        <f aca="false">'Task Breakdown'!O541</f>
        <v>0</v>
      </c>
      <c r="L158" s="29" t="n">
        <f aca="false">'Task Breakdown'!P541</f>
        <v>0</v>
      </c>
      <c r="M158" s="29" t="n">
        <f aca="false">'Task Breakdown'!Q541</f>
        <v>0</v>
      </c>
      <c r="N158" s="29" t="n">
        <f aca="false">'Task Breakdown'!R541</f>
        <v>0</v>
      </c>
      <c r="O158" s="29" t="n">
        <f aca="false">'Task Breakdown'!S541</f>
        <v>0</v>
      </c>
      <c r="P158" s="29" t="n">
        <f aca="false">'Task Breakdown'!T541</f>
        <v>0</v>
      </c>
      <c r="Q158" s="30" t="n">
        <f aca="false">SUM(E158:P158)</f>
        <v>43</v>
      </c>
      <c r="R158" s="31" t="n">
        <f aca="false">IF($Q$230&gt;0,Q158/$Q$230,0)</f>
        <v>0.00489693656758911</v>
      </c>
    </row>
    <row r="159" customFormat="false" ht="15" hidden="false" customHeight="false" outlineLevel="0" collapsed="false">
      <c r="A159" s="26" t="str">
        <f aca="false">'Task Breakdown'!A542</f>
        <v>UC-3.01.10</v>
      </c>
      <c r="B159" s="27" t="str">
        <f aca="false">'Task Breakdown'!G542</f>
        <v>Promote through dev / test / prod and release</v>
      </c>
      <c r="C159" s="28"/>
      <c r="D159" s="28"/>
      <c r="E159" s="29" t="n">
        <f aca="false">'Task Breakdown'!I542</f>
        <v>0</v>
      </c>
      <c r="F159" s="29" t="n">
        <f aca="false">'Task Breakdown'!J542</f>
        <v>0</v>
      </c>
      <c r="G159" s="29" t="n">
        <f aca="false">'Task Breakdown'!K542</f>
        <v>28</v>
      </c>
      <c r="H159" s="29" t="n">
        <f aca="false">'Task Breakdown'!L542</f>
        <v>0</v>
      </c>
      <c r="I159" s="29" t="n">
        <f aca="false">'Task Breakdown'!M542</f>
        <v>0</v>
      </c>
      <c r="J159" s="29" t="n">
        <f aca="false">'Task Breakdown'!N542</f>
        <v>0</v>
      </c>
      <c r="K159" s="29" t="n">
        <f aca="false">'Task Breakdown'!O542</f>
        <v>0</v>
      </c>
      <c r="L159" s="29" t="n">
        <f aca="false">'Task Breakdown'!P542</f>
        <v>0</v>
      </c>
      <c r="M159" s="29" t="n">
        <f aca="false">'Task Breakdown'!Q542</f>
        <v>0</v>
      </c>
      <c r="N159" s="29" t="n">
        <f aca="false">'Task Breakdown'!R542</f>
        <v>0</v>
      </c>
      <c r="O159" s="29" t="n">
        <f aca="false">'Task Breakdown'!S542</f>
        <v>0</v>
      </c>
      <c r="P159" s="29" t="n">
        <f aca="false">'Task Breakdown'!T542</f>
        <v>0</v>
      </c>
      <c r="Q159" s="30" t="n">
        <f aca="false">SUM(E159:P159)</f>
        <v>28</v>
      </c>
      <c r="R159" s="31" t="n">
        <f aca="false">IF($Q$230&gt;0,Q159/$Q$230,0)</f>
        <v>0.00318870288122082</v>
      </c>
    </row>
    <row r="160" customFormat="false" ht="15" hidden="false" customHeight="false" outlineLevel="0" collapsed="false">
      <c r="A160" s="26" t="str">
        <f aca="false">'Task Breakdown'!A543</f>
        <v>UC-3.01.11</v>
      </c>
      <c r="B160" s="27" t="str">
        <f aca="false">'Task Breakdown'!G543</f>
        <v>Documentation, runbook and knowledge transfer</v>
      </c>
      <c r="C160" s="28"/>
      <c r="D160" s="28"/>
      <c r="E160" s="29" t="n">
        <f aca="false">'Task Breakdown'!I543</f>
        <v>0</v>
      </c>
      <c r="F160" s="29" t="n">
        <f aca="false">'Task Breakdown'!J543</f>
        <v>0</v>
      </c>
      <c r="G160" s="29" t="n">
        <f aca="false">'Task Breakdown'!K543</f>
        <v>0</v>
      </c>
      <c r="H160" s="29" t="n">
        <f aca="false">'Task Breakdown'!L543</f>
        <v>0</v>
      </c>
      <c r="I160" s="29" t="n">
        <f aca="false">'Task Breakdown'!M543</f>
        <v>0</v>
      </c>
      <c r="J160" s="29" t="n">
        <f aca="false">'Task Breakdown'!N543</f>
        <v>28</v>
      </c>
      <c r="K160" s="29" t="n">
        <f aca="false">'Task Breakdown'!O543</f>
        <v>0</v>
      </c>
      <c r="L160" s="29" t="n">
        <f aca="false">'Task Breakdown'!P543</f>
        <v>0</v>
      </c>
      <c r="M160" s="29" t="n">
        <f aca="false">'Task Breakdown'!Q543</f>
        <v>0</v>
      </c>
      <c r="N160" s="29" t="n">
        <f aca="false">'Task Breakdown'!R543</f>
        <v>0</v>
      </c>
      <c r="O160" s="29" t="n">
        <f aca="false">'Task Breakdown'!S543</f>
        <v>0</v>
      </c>
      <c r="P160" s="29" t="n">
        <f aca="false">'Task Breakdown'!T543</f>
        <v>0</v>
      </c>
      <c r="Q160" s="30" t="n">
        <f aca="false">SUM(E160:P160)</f>
        <v>28</v>
      </c>
      <c r="R160" s="31" t="n">
        <f aca="false">IF($Q$230&gt;0,Q160/$Q$230,0)</f>
        <v>0.00318870288122082</v>
      </c>
    </row>
    <row r="161" customFormat="false" ht="15" hidden="false" customHeight="false" outlineLevel="0" collapsed="false">
      <c r="A161" s="26" t="str">
        <f aca="false">'Task Breakdown'!A544</f>
        <v>UC-3.01.12</v>
      </c>
      <c r="B161" s="27" t="str">
        <f aca="false">'Task Breakdown'!G544</f>
        <v>Defect fixing and rework after testing</v>
      </c>
      <c r="C161" s="28"/>
      <c r="D161" s="28"/>
      <c r="E161" s="29" t="n">
        <f aca="false">'Task Breakdown'!I544</f>
        <v>0</v>
      </c>
      <c r="F161" s="29" t="n">
        <f aca="false">'Task Breakdown'!J544</f>
        <v>0</v>
      </c>
      <c r="G161" s="29" t="n">
        <f aca="false">'Task Breakdown'!K544</f>
        <v>0</v>
      </c>
      <c r="H161" s="29" t="n">
        <f aca="false">'Task Breakdown'!L544</f>
        <v>0</v>
      </c>
      <c r="I161" s="29" t="n">
        <f aca="false">'Task Breakdown'!M544</f>
        <v>0</v>
      </c>
      <c r="J161" s="29" t="n">
        <f aca="false">'Task Breakdown'!N544</f>
        <v>57</v>
      </c>
      <c r="K161" s="29" t="n">
        <f aca="false">'Task Breakdown'!O544</f>
        <v>0</v>
      </c>
      <c r="L161" s="29" t="n">
        <f aca="false">'Task Breakdown'!P544</f>
        <v>0</v>
      </c>
      <c r="M161" s="29" t="n">
        <f aca="false">'Task Breakdown'!Q544</f>
        <v>0</v>
      </c>
      <c r="N161" s="29" t="n">
        <f aca="false">'Task Breakdown'!R544</f>
        <v>0</v>
      </c>
      <c r="O161" s="29" t="n">
        <f aca="false">'Task Breakdown'!S544</f>
        <v>0</v>
      </c>
      <c r="P161" s="29" t="n">
        <f aca="false">'Task Breakdown'!T544</f>
        <v>0</v>
      </c>
      <c r="Q161" s="30" t="n">
        <f aca="false">SUM(E161:P161)</f>
        <v>57</v>
      </c>
      <c r="R161" s="31" t="n">
        <f aca="false">IF($Q$230&gt;0,Q161/$Q$230,0)</f>
        <v>0.00649128800819952</v>
      </c>
    </row>
    <row r="162" customFormat="false" ht="15" hidden="false" customHeight="false" outlineLevel="0" collapsed="false">
      <c r="A162" s="23" t="s">
        <v>280</v>
      </c>
      <c r="B162" s="23" t="s">
        <v>281</v>
      </c>
      <c r="C162" s="23" t="s">
        <v>45</v>
      </c>
      <c r="D162" s="23" t="s">
        <v>282</v>
      </c>
      <c r="E162" s="24" t="n">
        <f aca="false">SUM(E163:E173)</f>
        <v>0</v>
      </c>
      <c r="F162" s="24" t="n">
        <f aca="false">SUM(F163:F173)</f>
        <v>0</v>
      </c>
      <c r="G162" s="24" t="n">
        <f aca="false">SUM(G163:G173)</f>
        <v>24</v>
      </c>
      <c r="H162" s="24" t="n">
        <f aca="false">SUM(H163:H173)</f>
        <v>0</v>
      </c>
      <c r="I162" s="24" t="n">
        <f aca="false">SUM(I163:I173)</f>
        <v>37</v>
      </c>
      <c r="J162" s="24" t="n">
        <f aca="false">SUM(J163:J173)</f>
        <v>318</v>
      </c>
      <c r="K162" s="24" t="n">
        <f aca="false">SUM(K163:K173)</f>
        <v>121</v>
      </c>
      <c r="L162" s="24" t="n">
        <f aca="false">SUM(L163:L173)</f>
        <v>0</v>
      </c>
      <c r="M162" s="24" t="n">
        <f aca="false">SUM(M163:M173)</f>
        <v>49</v>
      </c>
      <c r="N162" s="24" t="n">
        <f aca="false">SUM(N163:N173)</f>
        <v>98</v>
      </c>
      <c r="O162" s="24" t="n">
        <f aca="false">SUM(O163:O173)</f>
        <v>98</v>
      </c>
      <c r="P162" s="24" t="n">
        <f aca="false">SUM(P163:P173)</f>
        <v>0</v>
      </c>
      <c r="Q162" s="24" t="n">
        <f aca="false">SUM(Q163:Q173)</f>
        <v>745</v>
      </c>
      <c r="R162" s="25" t="n">
        <f aca="false">IF($Q$230&gt;0,Q162/$Q$230,0)</f>
        <v>0.0848422730896253</v>
      </c>
    </row>
    <row r="163" customFormat="false" ht="15" hidden="false" customHeight="false" outlineLevel="0" collapsed="false">
      <c r="A163" s="26" t="str">
        <f aca="false">'Task Breakdown'!A545</f>
        <v>UC-3.02.01</v>
      </c>
      <c r="B163" s="27" t="str">
        <f aca="false">'Task Breakdown'!G545</f>
        <v>Gather requirements with quality teams</v>
      </c>
      <c r="C163" s="28"/>
      <c r="D163" s="28"/>
      <c r="E163" s="29" t="n">
        <f aca="false">'Task Breakdown'!I545</f>
        <v>0</v>
      </c>
      <c r="F163" s="29" t="n">
        <f aca="false">'Task Breakdown'!J545</f>
        <v>0</v>
      </c>
      <c r="G163" s="29" t="n">
        <f aca="false">'Task Breakdown'!K545</f>
        <v>0</v>
      </c>
      <c r="H163" s="29" t="n">
        <f aca="false">'Task Breakdown'!L545</f>
        <v>0</v>
      </c>
      <c r="I163" s="29" t="n">
        <f aca="false">'Task Breakdown'!M545</f>
        <v>0</v>
      </c>
      <c r="J163" s="29" t="n">
        <f aca="false">'Task Breakdown'!N545</f>
        <v>0</v>
      </c>
      <c r="K163" s="29" t="n">
        <f aca="false">'Task Breakdown'!O545</f>
        <v>0</v>
      </c>
      <c r="L163" s="29" t="n">
        <f aca="false">'Task Breakdown'!P545</f>
        <v>0</v>
      </c>
      <c r="M163" s="29" t="n">
        <f aca="false">'Task Breakdown'!Q545</f>
        <v>0</v>
      </c>
      <c r="N163" s="29" t="n">
        <f aca="false">'Task Breakdown'!R545</f>
        <v>49</v>
      </c>
      <c r="O163" s="29" t="n">
        <f aca="false">'Task Breakdown'!S545</f>
        <v>0</v>
      </c>
      <c r="P163" s="29" t="n">
        <f aca="false">'Task Breakdown'!T545</f>
        <v>0</v>
      </c>
      <c r="Q163" s="30" t="n">
        <f aca="false">SUM(E163:P163)</f>
        <v>49</v>
      </c>
      <c r="R163" s="31" t="n">
        <f aca="false">IF($Q$230&gt;0,Q163/$Q$230,0)</f>
        <v>0.00558023004213643</v>
      </c>
    </row>
    <row r="164" customFormat="false" ht="15" hidden="false" customHeight="false" outlineLevel="0" collapsed="false">
      <c r="A164" s="26" t="str">
        <f aca="false">'Task Breakdown'!A546</f>
        <v>UC-3.02.02</v>
      </c>
      <c r="B164" s="27" t="str">
        <f aca="false">'Task Breakdown'!G546</f>
        <v>Connect SPC, inspection and defect data</v>
      </c>
      <c r="C164" s="28"/>
      <c r="D164" s="28"/>
      <c r="E164" s="29" t="n">
        <f aca="false">'Task Breakdown'!I546</f>
        <v>0</v>
      </c>
      <c r="F164" s="29" t="n">
        <f aca="false">'Task Breakdown'!J546</f>
        <v>0</v>
      </c>
      <c r="G164" s="29" t="n">
        <f aca="false">'Task Breakdown'!K546</f>
        <v>0</v>
      </c>
      <c r="H164" s="29" t="n">
        <f aca="false">'Task Breakdown'!L546</f>
        <v>0</v>
      </c>
      <c r="I164" s="29" t="n">
        <f aca="false">'Task Breakdown'!M546</f>
        <v>0</v>
      </c>
      <c r="J164" s="29" t="n">
        <f aca="false">'Task Breakdown'!N546</f>
        <v>0</v>
      </c>
      <c r="K164" s="29" t="n">
        <f aca="false">'Task Breakdown'!O546</f>
        <v>73</v>
      </c>
      <c r="L164" s="29" t="n">
        <f aca="false">'Task Breakdown'!P546</f>
        <v>0</v>
      </c>
      <c r="M164" s="29" t="n">
        <f aca="false">'Task Breakdown'!Q546</f>
        <v>0</v>
      </c>
      <c r="N164" s="29" t="n">
        <f aca="false">'Task Breakdown'!R546</f>
        <v>0</v>
      </c>
      <c r="O164" s="29" t="n">
        <f aca="false">'Task Breakdown'!S546</f>
        <v>0</v>
      </c>
      <c r="P164" s="29" t="n">
        <f aca="false">'Task Breakdown'!T546</f>
        <v>0</v>
      </c>
      <c r="Q164" s="30" t="n">
        <f aca="false">SUM(E164:P164)</f>
        <v>73</v>
      </c>
      <c r="R164" s="31" t="n">
        <f aca="false">IF($Q$230&gt;0,Q164/$Q$230,0)</f>
        <v>0.0083134039403257</v>
      </c>
    </row>
    <row r="165" customFormat="false" ht="15" hidden="false" customHeight="false" outlineLevel="0" collapsed="false">
      <c r="A165" s="26" t="str">
        <f aca="false">'Task Breakdown'!A547</f>
        <v>UC-3.02.03</v>
      </c>
      <c r="B165" s="27" t="str">
        <f aca="false">'Task Breakdown'!G547</f>
        <v>Defect triage and pattern detection</v>
      </c>
      <c r="C165" s="28"/>
      <c r="D165" s="28"/>
      <c r="E165" s="29" t="n">
        <f aca="false">'Task Breakdown'!I547</f>
        <v>0</v>
      </c>
      <c r="F165" s="29" t="n">
        <f aca="false">'Task Breakdown'!J547</f>
        <v>0</v>
      </c>
      <c r="G165" s="29" t="n">
        <f aca="false">'Task Breakdown'!K547</f>
        <v>0</v>
      </c>
      <c r="H165" s="29" t="n">
        <f aca="false">'Task Breakdown'!L547</f>
        <v>0</v>
      </c>
      <c r="I165" s="29" t="n">
        <f aca="false">'Task Breakdown'!M547</f>
        <v>0</v>
      </c>
      <c r="J165" s="29" t="n">
        <f aca="false">'Task Breakdown'!N547</f>
        <v>98</v>
      </c>
      <c r="K165" s="29" t="n">
        <f aca="false">'Task Breakdown'!O547</f>
        <v>0</v>
      </c>
      <c r="L165" s="29" t="n">
        <f aca="false">'Task Breakdown'!P547</f>
        <v>0</v>
      </c>
      <c r="M165" s="29" t="n">
        <f aca="false">'Task Breakdown'!Q547</f>
        <v>0</v>
      </c>
      <c r="N165" s="29" t="n">
        <f aca="false">'Task Breakdown'!R547</f>
        <v>0</v>
      </c>
      <c r="O165" s="29" t="n">
        <f aca="false">'Task Breakdown'!S547</f>
        <v>0</v>
      </c>
      <c r="P165" s="29" t="n">
        <f aca="false">'Task Breakdown'!T547</f>
        <v>0</v>
      </c>
      <c r="Q165" s="30" t="n">
        <f aca="false">SUM(E165:P165)</f>
        <v>98</v>
      </c>
      <c r="R165" s="31" t="n">
        <f aca="false">IF($Q$230&gt;0,Q165/$Q$230,0)</f>
        <v>0.0111604600842729</v>
      </c>
    </row>
    <row r="166" customFormat="false" ht="15" hidden="false" customHeight="false" outlineLevel="0" collapsed="false">
      <c r="A166" s="26" t="str">
        <f aca="false">'Task Breakdown'!A548</f>
        <v>UC-3.02.04</v>
      </c>
      <c r="B166" s="27" t="str">
        <f aca="false">'Task Breakdown'!G548</f>
        <v>RAG over quality procedures and NCRs</v>
      </c>
      <c r="C166" s="28"/>
      <c r="D166" s="28"/>
      <c r="E166" s="29" t="n">
        <f aca="false">'Task Breakdown'!I548</f>
        <v>0</v>
      </c>
      <c r="F166" s="29" t="n">
        <f aca="false">'Task Breakdown'!J548</f>
        <v>0</v>
      </c>
      <c r="G166" s="29" t="n">
        <f aca="false">'Task Breakdown'!K548</f>
        <v>0</v>
      </c>
      <c r="H166" s="29" t="n">
        <f aca="false">'Task Breakdown'!L548</f>
        <v>0</v>
      </c>
      <c r="I166" s="29" t="n">
        <f aca="false">'Task Breakdown'!M548</f>
        <v>0</v>
      </c>
      <c r="J166" s="29" t="n">
        <f aca="false">'Task Breakdown'!N548</f>
        <v>49</v>
      </c>
      <c r="K166" s="29" t="n">
        <f aca="false">'Task Breakdown'!O548</f>
        <v>24</v>
      </c>
      <c r="L166" s="29" t="n">
        <f aca="false">'Task Breakdown'!P548</f>
        <v>0</v>
      </c>
      <c r="M166" s="29" t="n">
        <f aca="false">'Task Breakdown'!Q548</f>
        <v>0</v>
      </c>
      <c r="N166" s="29" t="n">
        <f aca="false">'Task Breakdown'!R548</f>
        <v>0</v>
      </c>
      <c r="O166" s="29" t="n">
        <f aca="false">'Task Breakdown'!S548</f>
        <v>0</v>
      </c>
      <c r="P166" s="29" t="n">
        <f aca="false">'Task Breakdown'!T548</f>
        <v>0</v>
      </c>
      <c r="Q166" s="30" t="n">
        <f aca="false">SUM(E166:P166)</f>
        <v>73</v>
      </c>
      <c r="R166" s="31" t="n">
        <f aca="false">IF($Q$230&gt;0,Q166/$Q$230,0)</f>
        <v>0.0083134039403257</v>
      </c>
    </row>
    <row r="167" customFormat="false" ht="15" hidden="false" customHeight="false" outlineLevel="0" collapsed="false">
      <c r="A167" s="26" t="str">
        <f aca="false">'Task Breakdown'!A549</f>
        <v>UC-3.02.05</v>
      </c>
      <c r="B167" s="27" t="str">
        <f aca="false">'Task Breakdown'!G549</f>
        <v>Draft NCR / CAPA with approval step</v>
      </c>
      <c r="C167" s="28"/>
      <c r="D167" s="28"/>
      <c r="E167" s="29" t="n">
        <f aca="false">'Task Breakdown'!I549</f>
        <v>0</v>
      </c>
      <c r="F167" s="29" t="n">
        <f aca="false">'Task Breakdown'!J549</f>
        <v>0</v>
      </c>
      <c r="G167" s="29" t="n">
        <f aca="false">'Task Breakdown'!K549</f>
        <v>0</v>
      </c>
      <c r="H167" s="29" t="n">
        <f aca="false">'Task Breakdown'!L549</f>
        <v>0</v>
      </c>
      <c r="I167" s="29" t="n">
        <f aca="false">'Task Breakdown'!M549</f>
        <v>0</v>
      </c>
      <c r="J167" s="29" t="n">
        <f aca="false">'Task Breakdown'!N549</f>
        <v>49</v>
      </c>
      <c r="K167" s="29" t="n">
        <f aca="false">'Task Breakdown'!O549</f>
        <v>0</v>
      </c>
      <c r="L167" s="29" t="n">
        <f aca="false">'Task Breakdown'!P549</f>
        <v>0</v>
      </c>
      <c r="M167" s="29" t="n">
        <f aca="false">'Task Breakdown'!Q549</f>
        <v>37</v>
      </c>
      <c r="N167" s="29" t="n">
        <f aca="false">'Task Breakdown'!R549</f>
        <v>0</v>
      </c>
      <c r="O167" s="29" t="n">
        <f aca="false">'Task Breakdown'!S549</f>
        <v>0</v>
      </c>
      <c r="P167" s="29" t="n">
        <f aca="false">'Task Breakdown'!T549</f>
        <v>0</v>
      </c>
      <c r="Q167" s="30" t="n">
        <f aca="false">SUM(E167:P167)</f>
        <v>86</v>
      </c>
      <c r="R167" s="31" t="n">
        <f aca="false">IF($Q$230&gt;0,Q167/$Q$230,0)</f>
        <v>0.00979387313517823</v>
      </c>
    </row>
    <row r="168" customFormat="false" ht="15" hidden="false" customHeight="false" outlineLevel="0" collapsed="false">
      <c r="A168" s="26" t="str">
        <f aca="false">'Task Breakdown'!A550</f>
        <v>UC-3.02.06</v>
      </c>
      <c r="B168" s="27" t="str">
        <f aca="false">'Task Breakdown'!G550</f>
        <v>Surface agent in user channels</v>
      </c>
      <c r="C168" s="28"/>
      <c r="D168" s="28"/>
      <c r="E168" s="29" t="n">
        <f aca="false">'Task Breakdown'!I550</f>
        <v>0</v>
      </c>
      <c r="F168" s="29" t="n">
        <f aca="false">'Task Breakdown'!J550</f>
        <v>0</v>
      </c>
      <c r="G168" s="29" t="n">
        <f aca="false">'Task Breakdown'!K550</f>
        <v>0</v>
      </c>
      <c r="H168" s="29" t="n">
        <f aca="false">'Task Breakdown'!L550</f>
        <v>0</v>
      </c>
      <c r="I168" s="29" t="n">
        <f aca="false">'Task Breakdown'!M550</f>
        <v>0</v>
      </c>
      <c r="J168" s="29" t="n">
        <f aca="false">'Task Breakdown'!N550</f>
        <v>0</v>
      </c>
      <c r="K168" s="29" t="n">
        <f aca="false">'Task Breakdown'!O550</f>
        <v>0</v>
      </c>
      <c r="L168" s="29" t="n">
        <f aca="false">'Task Breakdown'!P550</f>
        <v>0</v>
      </c>
      <c r="M168" s="29" t="n">
        <f aca="false">'Task Breakdown'!Q550</f>
        <v>12</v>
      </c>
      <c r="N168" s="29" t="n">
        <f aca="false">'Task Breakdown'!R550</f>
        <v>0</v>
      </c>
      <c r="O168" s="29" t="n">
        <f aca="false">'Task Breakdown'!S550</f>
        <v>0</v>
      </c>
      <c r="P168" s="29" t="n">
        <f aca="false">'Task Breakdown'!T550</f>
        <v>0</v>
      </c>
      <c r="Q168" s="30" t="n">
        <f aca="false">SUM(E168:P168)</f>
        <v>12</v>
      </c>
      <c r="R168" s="31" t="n">
        <f aca="false">IF($Q$230&gt;0,Q168/$Q$230,0)</f>
        <v>0.00136658694909464</v>
      </c>
    </row>
    <row r="169" customFormat="false" ht="15" hidden="false" customHeight="false" outlineLevel="0" collapsed="false">
      <c r="A169" s="26" t="str">
        <f aca="false">'Task Breakdown'!A551</f>
        <v>UC-3.02.07</v>
      </c>
      <c r="B169" s="27" t="str">
        <f aca="false">'Task Breakdown'!G551</f>
        <v>Testing with quality engineers</v>
      </c>
      <c r="C169" s="28"/>
      <c r="D169" s="28"/>
      <c r="E169" s="29" t="n">
        <f aca="false">'Task Breakdown'!I551</f>
        <v>0</v>
      </c>
      <c r="F169" s="29" t="n">
        <f aca="false">'Task Breakdown'!J551</f>
        <v>0</v>
      </c>
      <c r="G169" s="29" t="n">
        <f aca="false">'Task Breakdown'!K551</f>
        <v>0</v>
      </c>
      <c r="H169" s="29" t="n">
        <f aca="false">'Task Breakdown'!L551</f>
        <v>0</v>
      </c>
      <c r="I169" s="29" t="n">
        <f aca="false">'Task Breakdown'!M551</f>
        <v>0</v>
      </c>
      <c r="J169" s="29" t="n">
        <f aca="false">'Task Breakdown'!N551</f>
        <v>49</v>
      </c>
      <c r="K169" s="29" t="n">
        <f aca="false">'Task Breakdown'!O551</f>
        <v>24</v>
      </c>
      <c r="L169" s="29" t="n">
        <f aca="false">'Task Breakdown'!P551</f>
        <v>0</v>
      </c>
      <c r="M169" s="29" t="n">
        <f aca="false">'Task Breakdown'!Q551</f>
        <v>0</v>
      </c>
      <c r="N169" s="29" t="n">
        <f aca="false">'Task Breakdown'!R551</f>
        <v>49</v>
      </c>
      <c r="O169" s="29" t="n">
        <f aca="false">'Task Breakdown'!S551</f>
        <v>98</v>
      </c>
      <c r="P169" s="29" t="n">
        <f aca="false">'Task Breakdown'!T551</f>
        <v>0</v>
      </c>
      <c r="Q169" s="30" t="n">
        <f aca="false">SUM(E169:P169)</f>
        <v>220</v>
      </c>
      <c r="R169" s="31" t="n">
        <f aca="false">IF($Q$230&gt;0,Q169/$Q$230,0)</f>
        <v>0.025054094066735</v>
      </c>
    </row>
    <row r="170" customFormat="false" ht="15" hidden="false" customHeight="false" outlineLevel="0" collapsed="false">
      <c r="A170" s="26" t="str">
        <f aca="false">'Task Breakdown'!A552</f>
        <v>UC-3.02.08</v>
      </c>
      <c r="B170" s="27" t="str">
        <f aca="false">'Task Breakdown'!G552</f>
        <v>Detailed design and design review</v>
      </c>
      <c r="C170" s="28"/>
      <c r="D170" s="28"/>
      <c r="E170" s="29" t="n">
        <f aca="false">'Task Breakdown'!I552</f>
        <v>0</v>
      </c>
      <c r="F170" s="29" t="n">
        <f aca="false">'Task Breakdown'!J552</f>
        <v>0</v>
      </c>
      <c r="G170" s="29" t="n">
        <f aca="false">'Task Breakdown'!K552</f>
        <v>0</v>
      </c>
      <c r="H170" s="29" t="n">
        <f aca="false">'Task Breakdown'!L552</f>
        <v>0</v>
      </c>
      <c r="I170" s="29" t="n">
        <f aca="false">'Task Breakdown'!M552</f>
        <v>37</v>
      </c>
      <c r="J170" s="29" t="n">
        <f aca="false">'Task Breakdown'!N552</f>
        <v>0</v>
      </c>
      <c r="K170" s="29" t="n">
        <f aca="false">'Task Breakdown'!O552</f>
        <v>0</v>
      </c>
      <c r="L170" s="29" t="n">
        <f aca="false">'Task Breakdown'!P552</f>
        <v>0</v>
      </c>
      <c r="M170" s="29" t="n">
        <f aca="false">'Task Breakdown'!Q552</f>
        <v>0</v>
      </c>
      <c r="N170" s="29" t="n">
        <f aca="false">'Task Breakdown'!R552</f>
        <v>0</v>
      </c>
      <c r="O170" s="29" t="n">
        <f aca="false">'Task Breakdown'!S552</f>
        <v>0</v>
      </c>
      <c r="P170" s="29" t="n">
        <f aca="false">'Task Breakdown'!T552</f>
        <v>0</v>
      </c>
      <c r="Q170" s="30" t="n">
        <f aca="false">SUM(E170:P170)</f>
        <v>37</v>
      </c>
      <c r="R170" s="31" t="n">
        <f aca="false">IF($Q$230&gt;0,Q170/$Q$230,0)</f>
        <v>0.0042136430930418</v>
      </c>
    </row>
    <row r="171" customFormat="false" ht="15" hidden="false" customHeight="false" outlineLevel="0" collapsed="false">
      <c r="A171" s="26" t="str">
        <f aca="false">'Task Breakdown'!A553</f>
        <v>UC-3.02.09</v>
      </c>
      <c r="B171" s="27" t="str">
        <f aca="false">'Task Breakdown'!G553</f>
        <v>Promote through dev / test / prod and release</v>
      </c>
      <c r="C171" s="28"/>
      <c r="D171" s="28"/>
      <c r="E171" s="29" t="n">
        <f aca="false">'Task Breakdown'!I553</f>
        <v>0</v>
      </c>
      <c r="F171" s="29" t="n">
        <f aca="false">'Task Breakdown'!J553</f>
        <v>0</v>
      </c>
      <c r="G171" s="29" t="n">
        <f aca="false">'Task Breakdown'!K553</f>
        <v>24</v>
      </c>
      <c r="H171" s="29" t="n">
        <f aca="false">'Task Breakdown'!L553</f>
        <v>0</v>
      </c>
      <c r="I171" s="29" t="n">
        <f aca="false">'Task Breakdown'!M553</f>
        <v>0</v>
      </c>
      <c r="J171" s="29" t="n">
        <f aca="false">'Task Breakdown'!N553</f>
        <v>0</v>
      </c>
      <c r="K171" s="29" t="n">
        <f aca="false">'Task Breakdown'!O553</f>
        <v>0</v>
      </c>
      <c r="L171" s="29" t="n">
        <f aca="false">'Task Breakdown'!P553</f>
        <v>0</v>
      </c>
      <c r="M171" s="29" t="n">
        <f aca="false">'Task Breakdown'!Q553</f>
        <v>0</v>
      </c>
      <c r="N171" s="29" t="n">
        <f aca="false">'Task Breakdown'!R553</f>
        <v>0</v>
      </c>
      <c r="O171" s="29" t="n">
        <f aca="false">'Task Breakdown'!S553</f>
        <v>0</v>
      </c>
      <c r="P171" s="29" t="n">
        <f aca="false">'Task Breakdown'!T553</f>
        <v>0</v>
      </c>
      <c r="Q171" s="30" t="n">
        <f aca="false">SUM(E171:P171)</f>
        <v>24</v>
      </c>
      <c r="R171" s="31" t="n">
        <f aca="false">IF($Q$230&gt;0,Q171/$Q$230,0)</f>
        <v>0.00273317389818927</v>
      </c>
    </row>
    <row r="172" customFormat="false" ht="15" hidden="false" customHeight="false" outlineLevel="0" collapsed="false">
      <c r="A172" s="26" t="str">
        <f aca="false">'Task Breakdown'!A554</f>
        <v>UC-3.02.10</v>
      </c>
      <c r="B172" s="27" t="str">
        <f aca="false">'Task Breakdown'!G554</f>
        <v>Documentation, runbook and knowledge transfer</v>
      </c>
      <c r="C172" s="28"/>
      <c r="D172" s="28"/>
      <c r="E172" s="29" t="n">
        <f aca="false">'Task Breakdown'!I554</f>
        <v>0</v>
      </c>
      <c r="F172" s="29" t="n">
        <f aca="false">'Task Breakdown'!J554</f>
        <v>0</v>
      </c>
      <c r="G172" s="29" t="n">
        <f aca="false">'Task Breakdown'!K554</f>
        <v>0</v>
      </c>
      <c r="H172" s="29" t="n">
        <f aca="false">'Task Breakdown'!L554</f>
        <v>0</v>
      </c>
      <c r="I172" s="29" t="n">
        <f aca="false">'Task Breakdown'!M554</f>
        <v>0</v>
      </c>
      <c r="J172" s="29" t="n">
        <f aca="false">'Task Breakdown'!N554</f>
        <v>24</v>
      </c>
      <c r="K172" s="29" t="n">
        <f aca="false">'Task Breakdown'!O554</f>
        <v>0</v>
      </c>
      <c r="L172" s="29" t="n">
        <f aca="false">'Task Breakdown'!P554</f>
        <v>0</v>
      </c>
      <c r="M172" s="29" t="n">
        <f aca="false">'Task Breakdown'!Q554</f>
        <v>0</v>
      </c>
      <c r="N172" s="29" t="n">
        <f aca="false">'Task Breakdown'!R554</f>
        <v>0</v>
      </c>
      <c r="O172" s="29" t="n">
        <f aca="false">'Task Breakdown'!S554</f>
        <v>0</v>
      </c>
      <c r="P172" s="29" t="n">
        <f aca="false">'Task Breakdown'!T554</f>
        <v>0</v>
      </c>
      <c r="Q172" s="30" t="n">
        <f aca="false">SUM(E172:P172)</f>
        <v>24</v>
      </c>
      <c r="R172" s="31" t="n">
        <f aca="false">IF($Q$230&gt;0,Q172/$Q$230,0)</f>
        <v>0.00273317389818927</v>
      </c>
    </row>
    <row r="173" customFormat="false" ht="15" hidden="false" customHeight="false" outlineLevel="0" collapsed="false">
      <c r="A173" s="26" t="str">
        <f aca="false">'Task Breakdown'!A555</f>
        <v>UC-3.02.11</v>
      </c>
      <c r="B173" s="27" t="str">
        <f aca="false">'Task Breakdown'!G555</f>
        <v>Defect fixing and rework after testing</v>
      </c>
      <c r="C173" s="28"/>
      <c r="D173" s="28"/>
      <c r="E173" s="29" t="n">
        <f aca="false">'Task Breakdown'!I555</f>
        <v>0</v>
      </c>
      <c r="F173" s="29" t="n">
        <f aca="false">'Task Breakdown'!J555</f>
        <v>0</v>
      </c>
      <c r="G173" s="29" t="n">
        <f aca="false">'Task Breakdown'!K555</f>
        <v>0</v>
      </c>
      <c r="H173" s="29" t="n">
        <f aca="false">'Task Breakdown'!L555</f>
        <v>0</v>
      </c>
      <c r="I173" s="29" t="n">
        <f aca="false">'Task Breakdown'!M555</f>
        <v>0</v>
      </c>
      <c r="J173" s="29" t="n">
        <f aca="false">'Task Breakdown'!N555</f>
        <v>49</v>
      </c>
      <c r="K173" s="29" t="n">
        <f aca="false">'Task Breakdown'!O555</f>
        <v>0</v>
      </c>
      <c r="L173" s="29" t="n">
        <f aca="false">'Task Breakdown'!P555</f>
        <v>0</v>
      </c>
      <c r="M173" s="29" t="n">
        <f aca="false">'Task Breakdown'!Q555</f>
        <v>0</v>
      </c>
      <c r="N173" s="29" t="n">
        <f aca="false">'Task Breakdown'!R555</f>
        <v>0</v>
      </c>
      <c r="O173" s="29" t="n">
        <f aca="false">'Task Breakdown'!S555</f>
        <v>0</v>
      </c>
      <c r="P173" s="29" t="n">
        <f aca="false">'Task Breakdown'!T555</f>
        <v>0</v>
      </c>
      <c r="Q173" s="30" t="n">
        <f aca="false">SUM(E173:P173)</f>
        <v>49</v>
      </c>
      <c r="R173" s="31" t="n">
        <f aca="false">IF($Q$230&gt;0,Q173/$Q$230,0)</f>
        <v>0.00558023004213643</v>
      </c>
    </row>
    <row r="174" customFormat="false" ht="15" hidden="false" customHeight="false" outlineLevel="0" collapsed="false">
      <c r="A174" s="23" t="s">
        <v>283</v>
      </c>
      <c r="B174" s="23" t="s">
        <v>284</v>
      </c>
      <c r="C174" s="23" t="s">
        <v>45</v>
      </c>
      <c r="D174" s="23" t="s">
        <v>285</v>
      </c>
      <c r="E174" s="24" t="n">
        <f aca="false">SUM(E175:E184)</f>
        <v>0</v>
      </c>
      <c r="F174" s="24" t="n">
        <f aca="false">SUM(F175:F184)</f>
        <v>0</v>
      </c>
      <c r="G174" s="24" t="n">
        <f aca="false">SUM(G175:G184)</f>
        <v>24</v>
      </c>
      <c r="H174" s="24" t="n">
        <f aca="false">SUM(H175:H184)</f>
        <v>0</v>
      </c>
      <c r="I174" s="24" t="n">
        <f aca="false">SUM(I175:I184)</f>
        <v>37</v>
      </c>
      <c r="J174" s="24" t="n">
        <f aca="false">SUM(J175:J184)</f>
        <v>317</v>
      </c>
      <c r="K174" s="24" t="n">
        <f aca="false">SUM(K175:K184)</f>
        <v>121</v>
      </c>
      <c r="L174" s="24" t="n">
        <f aca="false">SUM(L175:L184)</f>
        <v>0</v>
      </c>
      <c r="M174" s="24" t="n">
        <f aca="false">SUM(M175:M184)</f>
        <v>48</v>
      </c>
      <c r="N174" s="24" t="n">
        <f aca="false">SUM(N175:N184)</f>
        <v>98</v>
      </c>
      <c r="O174" s="24" t="n">
        <f aca="false">SUM(O175:O184)</f>
        <v>98</v>
      </c>
      <c r="P174" s="24" t="n">
        <f aca="false">SUM(P175:P184)</f>
        <v>0</v>
      </c>
      <c r="Q174" s="24" t="n">
        <f aca="false">SUM(Q175:Q184)</f>
        <v>743</v>
      </c>
      <c r="R174" s="25" t="n">
        <f aca="false">IF($Q$230&gt;0,Q174/$Q$230,0)</f>
        <v>0.0846145085981096</v>
      </c>
    </row>
    <row r="175" customFormat="false" ht="15" hidden="false" customHeight="false" outlineLevel="0" collapsed="false">
      <c r="A175" s="26" t="str">
        <f aca="false">'Task Breakdown'!A556</f>
        <v>UC-3.03.01</v>
      </c>
      <c r="B175" s="27" t="str">
        <f aca="false">'Task Breakdown'!G556</f>
        <v>Gather requirements with supply chain</v>
      </c>
      <c r="C175" s="28"/>
      <c r="D175" s="28"/>
      <c r="E175" s="29" t="n">
        <f aca="false">'Task Breakdown'!I556</f>
        <v>0</v>
      </c>
      <c r="F175" s="29" t="n">
        <f aca="false">'Task Breakdown'!J556</f>
        <v>0</v>
      </c>
      <c r="G175" s="29" t="n">
        <f aca="false">'Task Breakdown'!K556</f>
        <v>0</v>
      </c>
      <c r="H175" s="29" t="n">
        <f aca="false">'Task Breakdown'!L556</f>
        <v>0</v>
      </c>
      <c r="I175" s="29" t="n">
        <f aca="false">'Task Breakdown'!M556</f>
        <v>0</v>
      </c>
      <c r="J175" s="29" t="n">
        <f aca="false">'Task Breakdown'!N556</f>
        <v>0</v>
      </c>
      <c r="K175" s="29" t="n">
        <f aca="false">'Task Breakdown'!O556</f>
        <v>0</v>
      </c>
      <c r="L175" s="29" t="n">
        <f aca="false">'Task Breakdown'!P556</f>
        <v>0</v>
      </c>
      <c r="M175" s="29" t="n">
        <f aca="false">'Task Breakdown'!Q556</f>
        <v>0</v>
      </c>
      <c r="N175" s="29" t="n">
        <f aca="false">'Task Breakdown'!R556</f>
        <v>49</v>
      </c>
      <c r="O175" s="29" t="n">
        <f aca="false">'Task Breakdown'!S556</f>
        <v>0</v>
      </c>
      <c r="P175" s="29" t="n">
        <f aca="false">'Task Breakdown'!T556</f>
        <v>0</v>
      </c>
      <c r="Q175" s="30" t="n">
        <f aca="false">SUM(E175:P175)</f>
        <v>49</v>
      </c>
      <c r="R175" s="31" t="n">
        <f aca="false">IF($Q$230&gt;0,Q175/$Q$230,0)</f>
        <v>0.00558023004213643</v>
      </c>
    </row>
    <row r="176" customFormat="false" ht="15" hidden="false" customHeight="false" outlineLevel="0" collapsed="false">
      <c r="A176" s="26" t="str">
        <f aca="false">'Task Breakdown'!A557</f>
        <v>UC-3.03.02</v>
      </c>
      <c r="B176" s="27" t="str">
        <f aca="false">'Task Breakdown'!G557</f>
        <v>Build SAP MM / Coupa tools: inventory, POs, supplier data</v>
      </c>
      <c r="C176" s="28"/>
      <c r="D176" s="28"/>
      <c r="E176" s="29" t="n">
        <f aca="false">'Task Breakdown'!I557</f>
        <v>0</v>
      </c>
      <c r="F176" s="29" t="n">
        <f aca="false">'Task Breakdown'!J557</f>
        <v>0</v>
      </c>
      <c r="G176" s="29" t="n">
        <f aca="false">'Task Breakdown'!K557</f>
        <v>0</v>
      </c>
      <c r="H176" s="29" t="n">
        <f aca="false">'Task Breakdown'!L557</f>
        <v>0</v>
      </c>
      <c r="I176" s="29" t="n">
        <f aca="false">'Task Breakdown'!M557</f>
        <v>0</v>
      </c>
      <c r="J176" s="29" t="n">
        <f aca="false">'Task Breakdown'!N557</f>
        <v>73</v>
      </c>
      <c r="K176" s="29" t="n">
        <f aca="false">'Task Breakdown'!O557</f>
        <v>73</v>
      </c>
      <c r="L176" s="29" t="n">
        <f aca="false">'Task Breakdown'!P557</f>
        <v>0</v>
      </c>
      <c r="M176" s="29" t="n">
        <f aca="false">'Task Breakdown'!Q557</f>
        <v>0</v>
      </c>
      <c r="N176" s="29" t="n">
        <f aca="false">'Task Breakdown'!R557</f>
        <v>0</v>
      </c>
      <c r="O176" s="29" t="n">
        <f aca="false">'Task Breakdown'!S557</f>
        <v>0</v>
      </c>
      <c r="P176" s="29" t="n">
        <f aca="false">'Task Breakdown'!T557</f>
        <v>0</v>
      </c>
      <c r="Q176" s="30" t="n">
        <f aca="false">SUM(E176:P176)</f>
        <v>146</v>
      </c>
      <c r="R176" s="31" t="n">
        <f aca="false">IF($Q$230&gt;0,Q176/$Q$230,0)</f>
        <v>0.0166268078806514</v>
      </c>
    </row>
    <row r="177" customFormat="false" ht="15" hidden="false" customHeight="false" outlineLevel="0" collapsed="false">
      <c r="A177" s="26" t="str">
        <f aca="false">'Task Breakdown'!A558</f>
        <v>UC-3.03.03</v>
      </c>
      <c r="B177" s="27" t="str">
        <f aca="false">'Task Breakdown'!G558</f>
        <v>Supply risk signals and scoring</v>
      </c>
      <c r="C177" s="28"/>
      <c r="D177" s="28"/>
      <c r="E177" s="29" t="n">
        <f aca="false">'Task Breakdown'!I558</f>
        <v>0</v>
      </c>
      <c r="F177" s="29" t="n">
        <f aca="false">'Task Breakdown'!J558</f>
        <v>0</v>
      </c>
      <c r="G177" s="29" t="n">
        <f aca="false">'Task Breakdown'!K558</f>
        <v>0</v>
      </c>
      <c r="H177" s="29" t="n">
        <f aca="false">'Task Breakdown'!L558</f>
        <v>0</v>
      </c>
      <c r="I177" s="29" t="n">
        <f aca="false">'Task Breakdown'!M558</f>
        <v>0</v>
      </c>
      <c r="J177" s="29" t="n">
        <f aca="false">'Task Breakdown'!N558</f>
        <v>73</v>
      </c>
      <c r="K177" s="29" t="n">
        <f aca="false">'Task Breakdown'!O558</f>
        <v>24</v>
      </c>
      <c r="L177" s="29" t="n">
        <f aca="false">'Task Breakdown'!P558</f>
        <v>0</v>
      </c>
      <c r="M177" s="29" t="n">
        <f aca="false">'Task Breakdown'!Q558</f>
        <v>0</v>
      </c>
      <c r="N177" s="29" t="n">
        <f aca="false">'Task Breakdown'!R558</f>
        <v>0</v>
      </c>
      <c r="O177" s="29" t="n">
        <f aca="false">'Task Breakdown'!S558</f>
        <v>0</v>
      </c>
      <c r="P177" s="29" t="n">
        <f aca="false">'Task Breakdown'!T558</f>
        <v>0</v>
      </c>
      <c r="Q177" s="30" t="n">
        <f aca="false">SUM(E177:P177)</f>
        <v>97</v>
      </c>
      <c r="R177" s="31" t="n">
        <f aca="false">IF($Q$230&gt;0,Q177/$Q$230,0)</f>
        <v>0.011046577838515</v>
      </c>
    </row>
    <row r="178" customFormat="false" ht="15" hidden="false" customHeight="false" outlineLevel="0" collapsed="false">
      <c r="A178" s="26" t="str">
        <f aca="false">'Task Breakdown'!A559</f>
        <v>UC-3.03.04</v>
      </c>
      <c r="B178" s="27" t="str">
        <f aca="false">'Task Breakdown'!G559</f>
        <v>Alerts and recommended actions</v>
      </c>
      <c r="C178" s="28"/>
      <c r="D178" s="28"/>
      <c r="E178" s="29" t="n">
        <f aca="false">'Task Breakdown'!I559</f>
        <v>0</v>
      </c>
      <c r="F178" s="29" t="n">
        <f aca="false">'Task Breakdown'!J559</f>
        <v>0</v>
      </c>
      <c r="G178" s="29" t="n">
        <f aca="false">'Task Breakdown'!K559</f>
        <v>0</v>
      </c>
      <c r="H178" s="29" t="n">
        <f aca="false">'Task Breakdown'!L559</f>
        <v>0</v>
      </c>
      <c r="I178" s="29" t="n">
        <f aca="false">'Task Breakdown'!M559</f>
        <v>0</v>
      </c>
      <c r="J178" s="29" t="n">
        <f aca="false">'Task Breakdown'!N559</f>
        <v>49</v>
      </c>
      <c r="K178" s="29" t="n">
        <f aca="false">'Task Breakdown'!O559</f>
        <v>0</v>
      </c>
      <c r="L178" s="29" t="n">
        <f aca="false">'Task Breakdown'!P559</f>
        <v>0</v>
      </c>
      <c r="M178" s="29" t="n">
        <f aca="false">'Task Breakdown'!Q559</f>
        <v>24</v>
      </c>
      <c r="N178" s="29" t="n">
        <f aca="false">'Task Breakdown'!R559</f>
        <v>0</v>
      </c>
      <c r="O178" s="29" t="n">
        <f aca="false">'Task Breakdown'!S559</f>
        <v>0</v>
      </c>
      <c r="P178" s="29" t="n">
        <f aca="false">'Task Breakdown'!T559</f>
        <v>0</v>
      </c>
      <c r="Q178" s="30" t="n">
        <f aca="false">SUM(E178:P178)</f>
        <v>73</v>
      </c>
      <c r="R178" s="31" t="n">
        <f aca="false">IF($Q$230&gt;0,Q178/$Q$230,0)</f>
        <v>0.0083134039403257</v>
      </c>
    </row>
    <row r="179" customFormat="false" ht="15" hidden="false" customHeight="false" outlineLevel="0" collapsed="false">
      <c r="A179" s="26" t="str">
        <f aca="false">'Task Breakdown'!A560</f>
        <v>UC-3.03.05</v>
      </c>
      <c r="B179" s="27" t="str">
        <f aca="false">'Task Breakdown'!G560</f>
        <v>Surface agent in user channels</v>
      </c>
      <c r="C179" s="28"/>
      <c r="D179" s="28"/>
      <c r="E179" s="29" t="n">
        <f aca="false">'Task Breakdown'!I560</f>
        <v>0</v>
      </c>
      <c r="F179" s="29" t="n">
        <f aca="false">'Task Breakdown'!J560</f>
        <v>0</v>
      </c>
      <c r="G179" s="29" t="n">
        <f aca="false">'Task Breakdown'!K560</f>
        <v>0</v>
      </c>
      <c r="H179" s="29" t="n">
        <f aca="false">'Task Breakdown'!L560</f>
        <v>0</v>
      </c>
      <c r="I179" s="29" t="n">
        <f aca="false">'Task Breakdown'!M560</f>
        <v>0</v>
      </c>
      <c r="J179" s="29" t="n">
        <f aca="false">'Task Breakdown'!N560</f>
        <v>0</v>
      </c>
      <c r="K179" s="29" t="n">
        <f aca="false">'Task Breakdown'!O560</f>
        <v>0</v>
      </c>
      <c r="L179" s="29" t="n">
        <f aca="false">'Task Breakdown'!P560</f>
        <v>0</v>
      </c>
      <c r="M179" s="29" t="n">
        <f aca="false">'Task Breakdown'!Q560</f>
        <v>24</v>
      </c>
      <c r="N179" s="29" t="n">
        <f aca="false">'Task Breakdown'!R560</f>
        <v>0</v>
      </c>
      <c r="O179" s="29" t="n">
        <f aca="false">'Task Breakdown'!S560</f>
        <v>0</v>
      </c>
      <c r="P179" s="29" t="n">
        <f aca="false">'Task Breakdown'!T560</f>
        <v>0</v>
      </c>
      <c r="Q179" s="30" t="n">
        <f aca="false">SUM(E179:P179)</f>
        <v>24</v>
      </c>
      <c r="R179" s="31" t="n">
        <f aca="false">IF($Q$230&gt;0,Q179/$Q$230,0)</f>
        <v>0.00273317389818927</v>
      </c>
    </row>
    <row r="180" customFormat="false" ht="15" hidden="false" customHeight="false" outlineLevel="0" collapsed="false">
      <c r="A180" s="26" t="str">
        <f aca="false">'Task Breakdown'!A561</f>
        <v>UC-3.03.06</v>
      </c>
      <c r="B180" s="27" t="str">
        <f aca="false">'Task Breakdown'!G561</f>
        <v>Testing with planners</v>
      </c>
      <c r="C180" s="28"/>
      <c r="D180" s="28"/>
      <c r="E180" s="29" t="n">
        <f aca="false">'Task Breakdown'!I561</f>
        <v>0</v>
      </c>
      <c r="F180" s="29" t="n">
        <f aca="false">'Task Breakdown'!J561</f>
        <v>0</v>
      </c>
      <c r="G180" s="29" t="n">
        <f aca="false">'Task Breakdown'!K561</f>
        <v>0</v>
      </c>
      <c r="H180" s="29" t="n">
        <f aca="false">'Task Breakdown'!L561</f>
        <v>0</v>
      </c>
      <c r="I180" s="29" t="n">
        <f aca="false">'Task Breakdown'!M561</f>
        <v>0</v>
      </c>
      <c r="J180" s="29" t="n">
        <f aca="false">'Task Breakdown'!N561</f>
        <v>49</v>
      </c>
      <c r="K180" s="29" t="n">
        <f aca="false">'Task Breakdown'!O561</f>
        <v>24</v>
      </c>
      <c r="L180" s="29" t="n">
        <f aca="false">'Task Breakdown'!P561</f>
        <v>0</v>
      </c>
      <c r="M180" s="29" t="n">
        <f aca="false">'Task Breakdown'!Q561</f>
        <v>0</v>
      </c>
      <c r="N180" s="29" t="n">
        <f aca="false">'Task Breakdown'!R561</f>
        <v>49</v>
      </c>
      <c r="O180" s="29" t="n">
        <f aca="false">'Task Breakdown'!S561</f>
        <v>98</v>
      </c>
      <c r="P180" s="29" t="n">
        <f aca="false">'Task Breakdown'!T561</f>
        <v>0</v>
      </c>
      <c r="Q180" s="30" t="n">
        <f aca="false">SUM(E180:P180)</f>
        <v>220</v>
      </c>
      <c r="R180" s="31" t="n">
        <f aca="false">IF($Q$230&gt;0,Q180/$Q$230,0)</f>
        <v>0.025054094066735</v>
      </c>
    </row>
    <row r="181" customFormat="false" ht="15" hidden="false" customHeight="false" outlineLevel="0" collapsed="false">
      <c r="A181" s="26" t="str">
        <f aca="false">'Task Breakdown'!A562</f>
        <v>UC-3.03.07</v>
      </c>
      <c r="B181" s="27" t="str">
        <f aca="false">'Task Breakdown'!G562</f>
        <v>Detailed design and design review</v>
      </c>
      <c r="C181" s="28"/>
      <c r="D181" s="28"/>
      <c r="E181" s="29" t="n">
        <f aca="false">'Task Breakdown'!I562</f>
        <v>0</v>
      </c>
      <c r="F181" s="29" t="n">
        <f aca="false">'Task Breakdown'!J562</f>
        <v>0</v>
      </c>
      <c r="G181" s="29" t="n">
        <f aca="false">'Task Breakdown'!K562</f>
        <v>0</v>
      </c>
      <c r="H181" s="29" t="n">
        <f aca="false">'Task Breakdown'!L562</f>
        <v>0</v>
      </c>
      <c r="I181" s="29" t="n">
        <f aca="false">'Task Breakdown'!M562</f>
        <v>37</v>
      </c>
      <c r="J181" s="29" t="n">
        <f aca="false">'Task Breakdown'!N562</f>
        <v>0</v>
      </c>
      <c r="K181" s="29" t="n">
        <f aca="false">'Task Breakdown'!O562</f>
        <v>0</v>
      </c>
      <c r="L181" s="29" t="n">
        <f aca="false">'Task Breakdown'!P562</f>
        <v>0</v>
      </c>
      <c r="M181" s="29" t="n">
        <f aca="false">'Task Breakdown'!Q562</f>
        <v>0</v>
      </c>
      <c r="N181" s="29" t="n">
        <f aca="false">'Task Breakdown'!R562</f>
        <v>0</v>
      </c>
      <c r="O181" s="29" t="n">
        <f aca="false">'Task Breakdown'!S562</f>
        <v>0</v>
      </c>
      <c r="P181" s="29" t="n">
        <f aca="false">'Task Breakdown'!T562</f>
        <v>0</v>
      </c>
      <c r="Q181" s="30" t="n">
        <f aca="false">SUM(E181:P181)</f>
        <v>37</v>
      </c>
      <c r="R181" s="31" t="n">
        <f aca="false">IF($Q$230&gt;0,Q181/$Q$230,0)</f>
        <v>0.0042136430930418</v>
      </c>
    </row>
    <row r="182" customFormat="false" ht="15" hidden="false" customHeight="false" outlineLevel="0" collapsed="false">
      <c r="A182" s="26" t="str">
        <f aca="false">'Task Breakdown'!A563</f>
        <v>UC-3.03.08</v>
      </c>
      <c r="B182" s="27" t="str">
        <f aca="false">'Task Breakdown'!G563</f>
        <v>Promote through dev / test / prod and release</v>
      </c>
      <c r="C182" s="28"/>
      <c r="D182" s="28"/>
      <c r="E182" s="29" t="n">
        <f aca="false">'Task Breakdown'!I563</f>
        <v>0</v>
      </c>
      <c r="F182" s="29" t="n">
        <f aca="false">'Task Breakdown'!J563</f>
        <v>0</v>
      </c>
      <c r="G182" s="29" t="n">
        <f aca="false">'Task Breakdown'!K563</f>
        <v>24</v>
      </c>
      <c r="H182" s="29" t="n">
        <f aca="false">'Task Breakdown'!L563</f>
        <v>0</v>
      </c>
      <c r="I182" s="29" t="n">
        <f aca="false">'Task Breakdown'!M563</f>
        <v>0</v>
      </c>
      <c r="J182" s="29" t="n">
        <f aca="false">'Task Breakdown'!N563</f>
        <v>0</v>
      </c>
      <c r="K182" s="29" t="n">
        <f aca="false">'Task Breakdown'!O563</f>
        <v>0</v>
      </c>
      <c r="L182" s="29" t="n">
        <f aca="false">'Task Breakdown'!P563</f>
        <v>0</v>
      </c>
      <c r="M182" s="29" t="n">
        <f aca="false">'Task Breakdown'!Q563</f>
        <v>0</v>
      </c>
      <c r="N182" s="29" t="n">
        <f aca="false">'Task Breakdown'!R563</f>
        <v>0</v>
      </c>
      <c r="O182" s="29" t="n">
        <f aca="false">'Task Breakdown'!S563</f>
        <v>0</v>
      </c>
      <c r="P182" s="29" t="n">
        <f aca="false">'Task Breakdown'!T563</f>
        <v>0</v>
      </c>
      <c r="Q182" s="30" t="n">
        <f aca="false">SUM(E182:P182)</f>
        <v>24</v>
      </c>
      <c r="R182" s="31" t="n">
        <f aca="false">IF($Q$230&gt;0,Q182/$Q$230,0)</f>
        <v>0.00273317389818927</v>
      </c>
    </row>
    <row r="183" customFormat="false" ht="15" hidden="false" customHeight="false" outlineLevel="0" collapsed="false">
      <c r="A183" s="26" t="str">
        <f aca="false">'Task Breakdown'!A564</f>
        <v>UC-3.03.09</v>
      </c>
      <c r="B183" s="27" t="str">
        <f aca="false">'Task Breakdown'!G564</f>
        <v>Documentation, runbook and knowledge transfer</v>
      </c>
      <c r="C183" s="28"/>
      <c r="D183" s="28"/>
      <c r="E183" s="29" t="n">
        <f aca="false">'Task Breakdown'!I564</f>
        <v>0</v>
      </c>
      <c r="F183" s="29" t="n">
        <f aca="false">'Task Breakdown'!J564</f>
        <v>0</v>
      </c>
      <c r="G183" s="29" t="n">
        <f aca="false">'Task Breakdown'!K564</f>
        <v>0</v>
      </c>
      <c r="H183" s="29" t="n">
        <f aca="false">'Task Breakdown'!L564</f>
        <v>0</v>
      </c>
      <c r="I183" s="29" t="n">
        <f aca="false">'Task Breakdown'!M564</f>
        <v>0</v>
      </c>
      <c r="J183" s="29" t="n">
        <f aca="false">'Task Breakdown'!N564</f>
        <v>24</v>
      </c>
      <c r="K183" s="29" t="n">
        <f aca="false">'Task Breakdown'!O564</f>
        <v>0</v>
      </c>
      <c r="L183" s="29" t="n">
        <f aca="false">'Task Breakdown'!P564</f>
        <v>0</v>
      </c>
      <c r="M183" s="29" t="n">
        <f aca="false">'Task Breakdown'!Q564</f>
        <v>0</v>
      </c>
      <c r="N183" s="29" t="n">
        <f aca="false">'Task Breakdown'!R564</f>
        <v>0</v>
      </c>
      <c r="O183" s="29" t="n">
        <f aca="false">'Task Breakdown'!S564</f>
        <v>0</v>
      </c>
      <c r="P183" s="29" t="n">
        <f aca="false">'Task Breakdown'!T564</f>
        <v>0</v>
      </c>
      <c r="Q183" s="30" t="n">
        <f aca="false">SUM(E183:P183)</f>
        <v>24</v>
      </c>
      <c r="R183" s="31" t="n">
        <f aca="false">IF($Q$230&gt;0,Q183/$Q$230,0)</f>
        <v>0.00273317389818927</v>
      </c>
    </row>
    <row r="184" customFormat="false" ht="15" hidden="false" customHeight="false" outlineLevel="0" collapsed="false">
      <c r="A184" s="26" t="str">
        <f aca="false">'Task Breakdown'!A565</f>
        <v>UC-3.03.10</v>
      </c>
      <c r="B184" s="27" t="str">
        <f aca="false">'Task Breakdown'!G565</f>
        <v>Defect fixing and rework after testing</v>
      </c>
      <c r="C184" s="28"/>
      <c r="D184" s="28"/>
      <c r="E184" s="29" t="n">
        <f aca="false">'Task Breakdown'!I565</f>
        <v>0</v>
      </c>
      <c r="F184" s="29" t="n">
        <f aca="false">'Task Breakdown'!J565</f>
        <v>0</v>
      </c>
      <c r="G184" s="29" t="n">
        <f aca="false">'Task Breakdown'!K565</f>
        <v>0</v>
      </c>
      <c r="H184" s="29" t="n">
        <f aca="false">'Task Breakdown'!L565</f>
        <v>0</v>
      </c>
      <c r="I184" s="29" t="n">
        <f aca="false">'Task Breakdown'!M565</f>
        <v>0</v>
      </c>
      <c r="J184" s="29" t="n">
        <f aca="false">'Task Breakdown'!N565</f>
        <v>49</v>
      </c>
      <c r="K184" s="29" t="n">
        <f aca="false">'Task Breakdown'!O565</f>
        <v>0</v>
      </c>
      <c r="L184" s="29" t="n">
        <f aca="false">'Task Breakdown'!P565</f>
        <v>0</v>
      </c>
      <c r="M184" s="29" t="n">
        <f aca="false">'Task Breakdown'!Q565</f>
        <v>0</v>
      </c>
      <c r="N184" s="29" t="n">
        <f aca="false">'Task Breakdown'!R565</f>
        <v>0</v>
      </c>
      <c r="O184" s="29" t="n">
        <f aca="false">'Task Breakdown'!S565</f>
        <v>0</v>
      </c>
      <c r="P184" s="29" t="n">
        <f aca="false">'Task Breakdown'!T565</f>
        <v>0</v>
      </c>
      <c r="Q184" s="30" t="n">
        <f aca="false">SUM(E184:P184)</f>
        <v>49</v>
      </c>
      <c r="R184" s="31" t="n">
        <f aca="false">IF($Q$230&gt;0,Q184/$Q$230,0)</f>
        <v>0.00558023004213643</v>
      </c>
    </row>
    <row r="185" customFormat="false" ht="15" hidden="false" customHeight="false" outlineLevel="0" collapsed="false">
      <c r="A185" s="23" t="s">
        <v>286</v>
      </c>
      <c r="B185" s="23" t="s">
        <v>287</v>
      </c>
      <c r="C185" s="23" t="s">
        <v>43</v>
      </c>
      <c r="D185" s="23" t="s">
        <v>288</v>
      </c>
      <c r="E185" s="24" t="n">
        <f aca="false">SUM(E186:E194)</f>
        <v>0</v>
      </c>
      <c r="F185" s="24" t="n">
        <f aca="false">SUM(F186:F194)</f>
        <v>0</v>
      </c>
      <c r="G185" s="24" t="n">
        <f aca="false">SUM(G186:G194)</f>
        <v>16</v>
      </c>
      <c r="H185" s="24" t="n">
        <f aca="false">SUM(H186:H194)</f>
        <v>0</v>
      </c>
      <c r="I185" s="24" t="n">
        <f aca="false">SUM(I186:I194)</f>
        <v>97</v>
      </c>
      <c r="J185" s="24" t="n">
        <f aca="false">SUM(J186:J194)</f>
        <v>291</v>
      </c>
      <c r="K185" s="24" t="n">
        <f aca="false">SUM(K186:K194)</f>
        <v>0</v>
      </c>
      <c r="L185" s="24" t="n">
        <f aca="false">SUM(L186:L194)</f>
        <v>0</v>
      </c>
      <c r="M185" s="24" t="n">
        <f aca="false">SUM(M186:M194)</f>
        <v>0</v>
      </c>
      <c r="N185" s="24" t="n">
        <f aca="false">SUM(N186:N194)</f>
        <v>0</v>
      </c>
      <c r="O185" s="24" t="n">
        <f aca="false">SUM(O186:O194)</f>
        <v>73</v>
      </c>
      <c r="P185" s="24" t="n">
        <f aca="false">SUM(P186:P194)</f>
        <v>0</v>
      </c>
      <c r="Q185" s="24" t="n">
        <f aca="false">SUM(Q186:Q194)</f>
        <v>477</v>
      </c>
      <c r="R185" s="25" t="n">
        <f aca="false">IF($Q$230&gt;0,Q185/$Q$230,0)</f>
        <v>0.0543218312265118</v>
      </c>
    </row>
    <row r="186" customFormat="false" ht="15" hidden="false" customHeight="false" outlineLevel="0" collapsed="false">
      <c r="A186" s="26" t="str">
        <f aca="false">'Task Breakdown'!A566</f>
        <v>UC-3.04.01</v>
      </c>
      <c r="B186" s="27" t="str">
        <f aca="false">'Task Breakdown'!G566</f>
        <v>Design multi-agent coordination (routing, handoff, shared context)</v>
      </c>
      <c r="C186" s="28"/>
      <c r="D186" s="28"/>
      <c r="E186" s="29" t="n">
        <f aca="false">'Task Breakdown'!I566</f>
        <v>0</v>
      </c>
      <c r="F186" s="29" t="n">
        <f aca="false">'Task Breakdown'!J566</f>
        <v>0</v>
      </c>
      <c r="G186" s="29" t="n">
        <f aca="false">'Task Breakdown'!K566</f>
        <v>0</v>
      </c>
      <c r="H186" s="29" t="n">
        <f aca="false">'Task Breakdown'!L566</f>
        <v>0</v>
      </c>
      <c r="I186" s="29" t="n">
        <f aca="false">'Task Breakdown'!M566</f>
        <v>49</v>
      </c>
      <c r="J186" s="29" t="n">
        <f aca="false">'Task Breakdown'!N566</f>
        <v>0</v>
      </c>
      <c r="K186" s="29" t="n">
        <f aca="false">'Task Breakdown'!O566</f>
        <v>0</v>
      </c>
      <c r="L186" s="29" t="n">
        <f aca="false">'Task Breakdown'!P566</f>
        <v>0</v>
      </c>
      <c r="M186" s="29" t="n">
        <f aca="false">'Task Breakdown'!Q566</f>
        <v>0</v>
      </c>
      <c r="N186" s="29" t="n">
        <f aca="false">'Task Breakdown'!R566</f>
        <v>0</v>
      </c>
      <c r="O186" s="29" t="n">
        <f aca="false">'Task Breakdown'!S566</f>
        <v>0</v>
      </c>
      <c r="P186" s="29" t="n">
        <f aca="false">'Task Breakdown'!T566</f>
        <v>0</v>
      </c>
      <c r="Q186" s="30" t="n">
        <f aca="false">SUM(E186:P186)</f>
        <v>49</v>
      </c>
      <c r="R186" s="31" t="n">
        <f aca="false">IF($Q$230&gt;0,Q186/$Q$230,0)</f>
        <v>0.00558023004213643</v>
      </c>
    </row>
    <row r="187" customFormat="false" ht="15" hidden="false" customHeight="false" outlineLevel="0" collapsed="false">
      <c r="A187" s="26" t="str">
        <f aca="false">'Task Breakdown'!A567</f>
        <v>UC-3.04.02</v>
      </c>
      <c r="B187" s="27" t="str">
        <f aca="false">'Task Breakdown'!G567</f>
        <v>Build intent router and task planner</v>
      </c>
      <c r="C187" s="28"/>
      <c r="D187" s="28"/>
      <c r="E187" s="29" t="n">
        <f aca="false">'Task Breakdown'!I567</f>
        <v>0</v>
      </c>
      <c r="F187" s="29" t="n">
        <f aca="false">'Task Breakdown'!J567</f>
        <v>0</v>
      </c>
      <c r="G187" s="29" t="n">
        <f aca="false">'Task Breakdown'!K567</f>
        <v>0</v>
      </c>
      <c r="H187" s="29" t="n">
        <f aca="false">'Task Breakdown'!L567</f>
        <v>0</v>
      </c>
      <c r="I187" s="29" t="n">
        <f aca="false">'Task Breakdown'!M567</f>
        <v>0</v>
      </c>
      <c r="J187" s="29" t="n">
        <f aca="false">'Task Breakdown'!N567</f>
        <v>98</v>
      </c>
      <c r="K187" s="29" t="n">
        <f aca="false">'Task Breakdown'!O567</f>
        <v>0</v>
      </c>
      <c r="L187" s="29" t="n">
        <f aca="false">'Task Breakdown'!P567</f>
        <v>0</v>
      </c>
      <c r="M187" s="29" t="n">
        <f aca="false">'Task Breakdown'!Q567</f>
        <v>0</v>
      </c>
      <c r="N187" s="29" t="n">
        <f aca="false">'Task Breakdown'!R567</f>
        <v>0</v>
      </c>
      <c r="O187" s="29" t="n">
        <f aca="false">'Task Breakdown'!S567</f>
        <v>0</v>
      </c>
      <c r="P187" s="29" t="n">
        <f aca="false">'Task Breakdown'!T567</f>
        <v>0</v>
      </c>
      <c r="Q187" s="30" t="n">
        <f aca="false">SUM(E187:P187)</f>
        <v>98</v>
      </c>
      <c r="R187" s="31" t="n">
        <f aca="false">IF($Q$230&gt;0,Q187/$Q$230,0)</f>
        <v>0.0111604600842729</v>
      </c>
    </row>
    <row r="188" customFormat="false" ht="15" hidden="false" customHeight="false" outlineLevel="0" collapsed="false">
      <c r="A188" s="26" t="str">
        <f aca="false">'Task Breakdown'!A568</f>
        <v>UC-3.04.03</v>
      </c>
      <c r="B188" s="27" t="str">
        <f aca="false">'Task Breakdown'!G568</f>
        <v>Implement handoff protocol with specialist agents</v>
      </c>
      <c r="C188" s="28"/>
      <c r="D188" s="28"/>
      <c r="E188" s="29" t="n">
        <f aca="false">'Task Breakdown'!I568</f>
        <v>0</v>
      </c>
      <c r="F188" s="29" t="n">
        <f aca="false">'Task Breakdown'!J568</f>
        <v>0</v>
      </c>
      <c r="G188" s="29" t="n">
        <f aca="false">'Task Breakdown'!K568</f>
        <v>0</v>
      </c>
      <c r="H188" s="29" t="n">
        <f aca="false">'Task Breakdown'!L568</f>
        <v>0</v>
      </c>
      <c r="I188" s="29" t="n">
        <f aca="false">'Task Breakdown'!M568</f>
        <v>0</v>
      </c>
      <c r="J188" s="29" t="n">
        <f aca="false">'Task Breakdown'!N568</f>
        <v>73</v>
      </c>
      <c r="K188" s="29" t="n">
        <f aca="false">'Task Breakdown'!O568</f>
        <v>0</v>
      </c>
      <c r="L188" s="29" t="n">
        <f aca="false">'Task Breakdown'!P568</f>
        <v>0</v>
      </c>
      <c r="M188" s="29" t="n">
        <f aca="false">'Task Breakdown'!Q568</f>
        <v>0</v>
      </c>
      <c r="N188" s="29" t="n">
        <f aca="false">'Task Breakdown'!R568</f>
        <v>0</v>
      </c>
      <c r="O188" s="29" t="n">
        <f aca="false">'Task Breakdown'!S568</f>
        <v>0</v>
      </c>
      <c r="P188" s="29" t="n">
        <f aca="false">'Task Breakdown'!T568</f>
        <v>0</v>
      </c>
      <c r="Q188" s="30" t="n">
        <f aca="false">SUM(E188:P188)</f>
        <v>73</v>
      </c>
      <c r="R188" s="31" t="n">
        <f aca="false">IF($Q$230&gt;0,Q188/$Q$230,0)</f>
        <v>0.0083134039403257</v>
      </c>
    </row>
    <row r="189" customFormat="false" ht="15" hidden="false" customHeight="false" outlineLevel="0" collapsed="false">
      <c r="A189" s="26" t="str">
        <f aca="false">'Task Breakdown'!A569</f>
        <v>UC-3.04.04</v>
      </c>
      <c r="B189" s="27" t="str">
        <f aca="false">'Task Breakdown'!G569</f>
        <v>Add conflict and loop safeguards</v>
      </c>
      <c r="C189" s="28"/>
      <c r="D189" s="28"/>
      <c r="E189" s="29" t="n">
        <f aca="false">'Task Breakdown'!I569</f>
        <v>0</v>
      </c>
      <c r="F189" s="29" t="n">
        <f aca="false">'Task Breakdown'!J569</f>
        <v>0</v>
      </c>
      <c r="G189" s="29" t="n">
        <f aca="false">'Task Breakdown'!K569</f>
        <v>0</v>
      </c>
      <c r="H189" s="29" t="n">
        <f aca="false">'Task Breakdown'!L569</f>
        <v>0</v>
      </c>
      <c r="I189" s="29" t="n">
        <f aca="false">'Task Breakdown'!M569</f>
        <v>24</v>
      </c>
      <c r="J189" s="29" t="n">
        <f aca="false">'Task Breakdown'!N569</f>
        <v>49</v>
      </c>
      <c r="K189" s="29" t="n">
        <f aca="false">'Task Breakdown'!O569</f>
        <v>0</v>
      </c>
      <c r="L189" s="29" t="n">
        <f aca="false">'Task Breakdown'!P569</f>
        <v>0</v>
      </c>
      <c r="M189" s="29" t="n">
        <f aca="false">'Task Breakdown'!Q569</f>
        <v>0</v>
      </c>
      <c r="N189" s="29" t="n">
        <f aca="false">'Task Breakdown'!R569</f>
        <v>0</v>
      </c>
      <c r="O189" s="29" t="n">
        <f aca="false">'Task Breakdown'!S569</f>
        <v>0</v>
      </c>
      <c r="P189" s="29" t="n">
        <f aca="false">'Task Breakdown'!T569</f>
        <v>0</v>
      </c>
      <c r="Q189" s="30" t="n">
        <f aca="false">SUM(E189:P189)</f>
        <v>73</v>
      </c>
      <c r="R189" s="31" t="n">
        <f aca="false">IF($Q$230&gt;0,Q189/$Q$230,0)</f>
        <v>0.0083134039403257</v>
      </c>
    </row>
    <row r="190" customFormat="false" ht="15" hidden="false" customHeight="false" outlineLevel="0" collapsed="false">
      <c r="A190" s="26" t="str">
        <f aca="false">'Task Breakdown'!A570</f>
        <v>UC-3.04.05</v>
      </c>
      <c r="B190" s="27" t="str">
        <f aca="false">'Task Breakdown'!G570</f>
        <v>Multi-agent scenario testing</v>
      </c>
      <c r="C190" s="28"/>
      <c r="D190" s="28"/>
      <c r="E190" s="29" t="n">
        <f aca="false">'Task Breakdown'!I570</f>
        <v>0</v>
      </c>
      <c r="F190" s="29" t="n">
        <f aca="false">'Task Breakdown'!J570</f>
        <v>0</v>
      </c>
      <c r="G190" s="29" t="n">
        <f aca="false">'Task Breakdown'!K570</f>
        <v>0</v>
      </c>
      <c r="H190" s="29" t="n">
        <f aca="false">'Task Breakdown'!L570</f>
        <v>0</v>
      </c>
      <c r="I190" s="29" t="n">
        <f aca="false">'Task Breakdown'!M570</f>
        <v>0</v>
      </c>
      <c r="J190" s="29" t="n">
        <f aca="false">'Task Breakdown'!N570</f>
        <v>24</v>
      </c>
      <c r="K190" s="29" t="n">
        <f aca="false">'Task Breakdown'!O570</f>
        <v>0</v>
      </c>
      <c r="L190" s="29" t="n">
        <f aca="false">'Task Breakdown'!P570</f>
        <v>0</v>
      </c>
      <c r="M190" s="29" t="n">
        <f aca="false">'Task Breakdown'!Q570</f>
        <v>0</v>
      </c>
      <c r="N190" s="29" t="n">
        <f aca="false">'Task Breakdown'!R570</f>
        <v>0</v>
      </c>
      <c r="O190" s="29" t="n">
        <f aca="false">'Task Breakdown'!S570</f>
        <v>73</v>
      </c>
      <c r="P190" s="29" t="n">
        <f aca="false">'Task Breakdown'!T570</f>
        <v>0</v>
      </c>
      <c r="Q190" s="30" t="n">
        <f aca="false">SUM(E190:P190)</f>
        <v>97</v>
      </c>
      <c r="R190" s="31" t="n">
        <f aca="false">IF($Q$230&gt;0,Q190/$Q$230,0)</f>
        <v>0.011046577838515</v>
      </c>
    </row>
    <row r="191" customFormat="false" ht="15" hidden="false" customHeight="false" outlineLevel="0" collapsed="false">
      <c r="A191" s="26" t="str">
        <f aca="false">'Task Breakdown'!A571</f>
        <v>UC-3.04.06</v>
      </c>
      <c r="B191" s="27" t="str">
        <f aca="false">'Task Breakdown'!G571</f>
        <v>Detailed design and design review</v>
      </c>
      <c r="C191" s="28"/>
      <c r="D191" s="28"/>
      <c r="E191" s="29" t="n">
        <f aca="false">'Task Breakdown'!I571</f>
        <v>0</v>
      </c>
      <c r="F191" s="29" t="n">
        <f aca="false">'Task Breakdown'!J571</f>
        <v>0</v>
      </c>
      <c r="G191" s="29" t="n">
        <f aca="false">'Task Breakdown'!K571</f>
        <v>0</v>
      </c>
      <c r="H191" s="29" t="n">
        <f aca="false">'Task Breakdown'!L571</f>
        <v>0</v>
      </c>
      <c r="I191" s="29" t="n">
        <f aca="false">'Task Breakdown'!M571</f>
        <v>24</v>
      </c>
      <c r="J191" s="29" t="n">
        <f aca="false">'Task Breakdown'!N571</f>
        <v>0</v>
      </c>
      <c r="K191" s="29" t="n">
        <f aca="false">'Task Breakdown'!O571</f>
        <v>0</v>
      </c>
      <c r="L191" s="29" t="n">
        <f aca="false">'Task Breakdown'!P571</f>
        <v>0</v>
      </c>
      <c r="M191" s="29" t="n">
        <f aca="false">'Task Breakdown'!Q571</f>
        <v>0</v>
      </c>
      <c r="N191" s="29" t="n">
        <f aca="false">'Task Breakdown'!R571</f>
        <v>0</v>
      </c>
      <c r="O191" s="29" t="n">
        <f aca="false">'Task Breakdown'!S571</f>
        <v>0</v>
      </c>
      <c r="P191" s="29" t="n">
        <f aca="false">'Task Breakdown'!T571</f>
        <v>0</v>
      </c>
      <c r="Q191" s="30" t="n">
        <f aca="false">SUM(E191:P191)</f>
        <v>24</v>
      </c>
      <c r="R191" s="31" t="n">
        <f aca="false">IF($Q$230&gt;0,Q191/$Q$230,0)</f>
        <v>0.00273317389818927</v>
      </c>
    </row>
    <row r="192" customFormat="false" ht="15" hidden="false" customHeight="false" outlineLevel="0" collapsed="false">
      <c r="A192" s="26" t="str">
        <f aca="false">'Task Breakdown'!A572</f>
        <v>UC-3.04.07</v>
      </c>
      <c r="B192" s="27" t="str">
        <f aca="false">'Task Breakdown'!G572</f>
        <v>Promote through dev / test / prod and release</v>
      </c>
      <c r="C192" s="28"/>
      <c r="D192" s="28"/>
      <c r="E192" s="29" t="n">
        <f aca="false">'Task Breakdown'!I572</f>
        <v>0</v>
      </c>
      <c r="F192" s="29" t="n">
        <f aca="false">'Task Breakdown'!J572</f>
        <v>0</v>
      </c>
      <c r="G192" s="29" t="n">
        <f aca="false">'Task Breakdown'!K572</f>
        <v>16</v>
      </c>
      <c r="H192" s="29" t="n">
        <f aca="false">'Task Breakdown'!L572</f>
        <v>0</v>
      </c>
      <c r="I192" s="29" t="n">
        <f aca="false">'Task Breakdown'!M572</f>
        <v>0</v>
      </c>
      <c r="J192" s="29" t="n">
        <f aca="false">'Task Breakdown'!N572</f>
        <v>0</v>
      </c>
      <c r="K192" s="29" t="n">
        <f aca="false">'Task Breakdown'!O572</f>
        <v>0</v>
      </c>
      <c r="L192" s="29" t="n">
        <f aca="false">'Task Breakdown'!P572</f>
        <v>0</v>
      </c>
      <c r="M192" s="29" t="n">
        <f aca="false">'Task Breakdown'!Q572</f>
        <v>0</v>
      </c>
      <c r="N192" s="29" t="n">
        <f aca="false">'Task Breakdown'!R572</f>
        <v>0</v>
      </c>
      <c r="O192" s="29" t="n">
        <f aca="false">'Task Breakdown'!S572</f>
        <v>0</v>
      </c>
      <c r="P192" s="29" t="n">
        <f aca="false">'Task Breakdown'!T572</f>
        <v>0</v>
      </c>
      <c r="Q192" s="30" t="n">
        <f aca="false">SUM(E192:P192)</f>
        <v>16</v>
      </c>
      <c r="R192" s="31" t="n">
        <f aca="false">IF($Q$230&gt;0,Q192/$Q$230,0)</f>
        <v>0.00182211593212618</v>
      </c>
    </row>
    <row r="193" customFormat="false" ht="15" hidden="false" customHeight="false" outlineLevel="0" collapsed="false">
      <c r="A193" s="26" t="str">
        <f aca="false">'Task Breakdown'!A573</f>
        <v>UC-3.04.08</v>
      </c>
      <c r="B193" s="27" t="str">
        <f aca="false">'Task Breakdown'!G573</f>
        <v>Documentation, runbook and knowledge transfer</v>
      </c>
      <c r="C193" s="28"/>
      <c r="D193" s="28"/>
      <c r="E193" s="29" t="n">
        <f aca="false">'Task Breakdown'!I573</f>
        <v>0</v>
      </c>
      <c r="F193" s="29" t="n">
        <f aca="false">'Task Breakdown'!J573</f>
        <v>0</v>
      </c>
      <c r="G193" s="29" t="n">
        <f aca="false">'Task Breakdown'!K573</f>
        <v>0</v>
      </c>
      <c r="H193" s="29" t="n">
        <f aca="false">'Task Breakdown'!L573</f>
        <v>0</v>
      </c>
      <c r="I193" s="29" t="n">
        <f aca="false">'Task Breakdown'!M573</f>
        <v>0</v>
      </c>
      <c r="J193" s="29" t="n">
        <f aca="false">'Task Breakdown'!N573</f>
        <v>16</v>
      </c>
      <c r="K193" s="29" t="n">
        <f aca="false">'Task Breakdown'!O573</f>
        <v>0</v>
      </c>
      <c r="L193" s="29" t="n">
        <f aca="false">'Task Breakdown'!P573</f>
        <v>0</v>
      </c>
      <c r="M193" s="29" t="n">
        <f aca="false">'Task Breakdown'!Q573</f>
        <v>0</v>
      </c>
      <c r="N193" s="29" t="n">
        <f aca="false">'Task Breakdown'!R573</f>
        <v>0</v>
      </c>
      <c r="O193" s="29" t="n">
        <f aca="false">'Task Breakdown'!S573</f>
        <v>0</v>
      </c>
      <c r="P193" s="29" t="n">
        <f aca="false">'Task Breakdown'!T573</f>
        <v>0</v>
      </c>
      <c r="Q193" s="30" t="n">
        <f aca="false">SUM(E193:P193)</f>
        <v>16</v>
      </c>
      <c r="R193" s="31" t="n">
        <f aca="false">IF($Q$230&gt;0,Q193/$Q$230,0)</f>
        <v>0.00182211593212618</v>
      </c>
    </row>
    <row r="194" customFormat="false" ht="15" hidden="false" customHeight="false" outlineLevel="0" collapsed="false">
      <c r="A194" s="26" t="str">
        <f aca="false">'Task Breakdown'!A574</f>
        <v>UC-3.04.09</v>
      </c>
      <c r="B194" s="27" t="str">
        <f aca="false">'Task Breakdown'!G574</f>
        <v>Defect fixing and rework after testing</v>
      </c>
      <c r="C194" s="28"/>
      <c r="D194" s="28"/>
      <c r="E194" s="29" t="n">
        <f aca="false">'Task Breakdown'!I574</f>
        <v>0</v>
      </c>
      <c r="F194" s="29" t="n">
        <f aca="false">'Task Breakdown'!J574</f>
        <v>0</v>
      </c>
      <c r="G194" s="29" t="n">
        <f aca="false">'Task Breakdown'!K574</f>
        <v>0</v>
      </c>
      <c r="H194" s="29" t="n">
        <f aca="false">'Task Breakdown'!L574</f>
        <v>0</v>
      </c>
      <c r="I194" s="29" t="n">
        <f aca="false">'Task Breakdown'!M574</f>
        <v>0</v>
      </c>
      <c r="J194" s="29" t="n">
        <f aca="false">'Task Breakdown'!N574</f>
        <v>31</v>
      </c>
      <c r="K194" s="29" t="n">
        <f aca="false">'Task Breakdown'!O574</f>
        <v>0</v>
      </c>
      <c r="L194" s="29" t="n">
        <f aca="false">'Task Breakdown'!P574</f>
        <v>0</v>
      </c>
      <c r="M194" s="29" t="n">
        <f aca="false">'Task Breakdown'!Q574</f>
        <v>0</v>
      </c>
      <c r="N194" s="29" t="n">
        <f aca="false">'Task Breakdown'!R574</f>
        <v>0</v>
      </c>
      <c r="O194" s="29" t="n">
        <f aca="false">'Task Breakdown'!S574</f>
        <v>0</v>
      </c>
      <c r="P194" s="29" t="n">
        <f aca="false">'Task Breakdown'!T574</f>
        <v>0</v>
      </c>
      <c r="Q194" s="30" t="n">
        <f aca="false">SUM(E194:P194)</f>
        <v>31</v>
      </c>
      <c r="R194" s="31" t="n">
        <f aca="false">IF($Q$230&gt;0,Q194/$Q$230,0)</f>
        <v>0.00353034961849448</v>
      </c>
    </row>
    <row r="195" customFormat="false" ht="15" hidden="false" customHeight="false" outlineLevel="0" collapsed="false">
      <c r="A195" s="23" t="s">
        <v>289</v>
      </c>
      <c r="B195" s="23" t="s">
        <v>290</v>
      </c>
      <c r="C195" s="23" t="s">
        <v>45</v>
      </c>
      <c r="D195" s="23" t="s">
        <v>291</v>
      </c>
      <c r="E195" s="24" t="n">
        <f aca="false">SUM(E196:E206)</f>
        <v>0</v>
      </c>
      <c r="F195" s="24" t="n">
        <f aca="false">SUM(F196:F206)</f>
        <v>0</v>
      </c>
      <c r="G195" s="24" t="n">
        <f aca="false">SUM(G196:G206)</f>
        <v>24</v>
      </c>
      <c r="H195" s="24" t="n">
        <f aca="false">SUM(H196:H206)</f>
        <v>20</v>
      </c>
      <c r="I195" s="24" t="n">
        <f aca="false">SUM(I196:I206)</f>
        <v>35</v>
      </c>
      <c r="J195" s="24" t="n">
        <f aca="false">SUM(J196:J206)</f>
        <v>0</v>
      </c>
      <c r="K195" s="24" t="n">
        <f aca="false">SUM(K196:K206)</f>
        <v>0</v>
      </c>
      <c r="L195" s="24" t="n">
        <f aca="false">SUM(L196:L206)</f>
        <v>0</v>
      </c>
      <c r="M195" s="24" t="n">
        <f aca="false">SUM(M196:M206)</f>
        <v>478</v>
      </c>
      <c r="N195" s="24" t="n">
        <f aca="false">SUM(N196:N206)</f>
        <v>61</v>
      </c>
      <c r="O195" s="24" t="n">
        <f aca="false">SUM(O196:O206)</f>
        <v>102</v>
      </c>
      <c r="P195" s="24" t="n">
        <f aca="false">SUM(P196:P206)</f>
        <v>0</v>
      </c>
      <c r="Q195" s="24" t="n">
        <f aca="false">SUM(Q196:Q206)</f>
        <v>720</v>
      </c>
      <c r="R195" s="25" t="n">
        <f aca="false">IF($Q$230&gt;0,Q195/$Q$230,0)</f>
        <v>0.0819952169456782</v>
      </c>
    </row>
    <row r="196" customFormat="false" ht="15" hidden="false" customHeight="false" outlineLevel="0" collapsed="false">
      <c r="A196" s="26" t="str">
        <f aca="false">'Task Breakdown'!A575</f>
        <v>UC-3.05.01</v>
      </c>
      <c r="B196" s="27" t="str">
        <f aca="false">'Task Breakdown'!G575</f>
        <v>UX research and wireframes</v>
      </c>
      <c r="C196" s="28"/>
      <c r="D196" s="28"/>
      <c r="E196" s="29" t="n">
        <f aca="false">'Task Breakdown'!I575</f>
        <v>0</v>
      </c>
      <c r="F196" s="29" t="n">
        <f aca="false">'Task Breakdown'!J575</f>
        <v>0</v>
      </c>
      <c r="G196" s="29" t="n">
        <f aca="false">'Task Breakdown'!K575</f>
        <v>0</v>
      </c>
      <c r="H196" s="29" t="n">
        <f aca="false">'Task Breakdown'!L575</f>
        <v>0</v>
      </c>
      <c r="I196" s="29" t="n">
        <f aca="false">'Task Breakdown'!M575</f>
        <v>0</v>
      </c>
      <c r="J196" s="29" t="n">
        <f aca="false">'Task Breakdown'!N575</f>
        <v>0</v>
      </c>
      <c r="K196" s="29" t="n">
        <f aca="false">'Task Breakdown'!O575</f>
        <v>0</v>
      </c>
      <c r="L196" s="29" t="n">
        <f aca="false">'Task Breakdown'!P575</f>
        <v>0</v>
      </c>
      <c r="M196" s="29" t="n">
        <f aca="false">'Task Breakdown'!Q575</f>
        <v>0</v>
      </c>
      <c r="N196" s="29" t="n">
        <f aca="false">'Task Breakdown'!R575</f>
        <v>41</v>
      </c>
      <c r="O196" s="29" t="n">
        <f aca="false">'Task Breakdown'!S575</f>
        <v>0</v>
      </c>
      <c r="P196" s="29" t="n">
        <f aca="false">'Task Breakdown'!T575</f>
        <v>0</v>
      </c>
      <c r="Q196" s="30" t="n">
        <f aca="false">SUM(E196:P196)</f>
        <v>41</v>
      </c>
      <c r="R196" s="31" t="n">
        <f aca="false">IF($Q$230&gt;0,Q196/$Q$230,0)</f>
        <v>0.00466917207607334</v>
      </c>
    </row>
    <row r="197" customFormat="false" ht="15" hidden="false" customHeight="false" outlineLevel="0" collapsed="false">
      <c r="A197" s="26" t="str">
        <f aca="false">'Task Breakdown'!A576</f>
        <v>UC-3.05.02</v>
      </c>
      <c r="B197" s="27" t="str">
        <f aca="false">'Task Breakdown'!G576</f>
        <v>UI design system and screens</v>
      </c>
      <c r="C197" s="28"/>
      <c r="D197" s="28"/>
      <c r="E197" s="29" t="n">
        <f aca="false">'Task Breakdown'!I576</f>
        <v>0</v>
      </c>
      <c r="F197" s="29" t="n">
        <f aca="false">'Task Breakdown'!J576</f>
        <v>0</v>
      </c>
      <c r="G197" s="29" t="n">
        <f aca="false">'Task Breakdown'!K576</f>
        <v>0</v>
      </c>
      <c r="H197" s="29" t="n">
        <f aca="false">'Task Breakdown'!L576</f>
        <v>0</v>
      </c>
      <c r="I197" s="29" t="n">
        <f aca="false">'Task Breakdown'!M576</f>
        <v>0</v>
      </c>
      <c r="J197" s="29" t="n">
        <f aca="false">'Task Breakdown'!N576</f>
        <v>0</v>
      </c>
      <c r="K197" s="29" t="n">
        <f aca="false">'Task Breakdown'!O576</f>
        <v>0</v>
      </c>
      <c r="L197" s="29" t="n">
        <f aca="false">'Task Breakdown'!P576</f>
        <v>0</v>
      </c>
      <c r="M197" s="29" t="n">
        <f aca="false">'Task Breakdown'!Q576</f>
        <v>61</v>
      </c>
      <c r="N197" s="29" t="n">
        <f aca="false">'Task Breakdown'!R576</f>
        <v>0</v>
      </c>
      <c r="O197" s="29" t="n">
        <f aca="false">'Task Breakdown'!S576</f>
        <v>0</v>
      </c>
      <c r="P197" s="29" t="n">
        <f aca="false">'Task Breakdown'!T576</f>
        <v>0</v>
      </c>
      <c r="Q197" s="30" t="n">
        <f aca="false">SUM(E197:P197)</f>
        <v>61</v>
      </c>
      <c r="R197" s="31" t="n">
        <f aca="false">IF($Q$230&gt;0,Q197/$Q$230,0)</f>
        <v>0.00694681699123107</v>
      </c>
    </row>
    <row r="198" customFormat="false" ht="15" hidden="false" customHeight="false" outlineLevel="0" collapsed="false">
      <c r="A198" s="26" t="str">
        <f aca="false">'Task Breakdown'!A577</f>
        <v>UC-3.05.03</v>
      </c>
      <c r="B198" s="27" t="str">
        <f aca="false">'Task Breakdown'!G577</f>
        <v>Build web app (chat, dashboards, approvals)</v>
      </c>
      <c r="C198" s="28"/>
      <c r="D198" s="28"/>
      <c r="E198" s="29" t="n">
        <f aca="false">'Task Breakdown'!I577</f>
        <v>0</v>
      </c>
      <c r="F198" s="29" t="n">
        <f aca="false">'Task Breakdown'!J577</f>
        <v>0</v>
      </c>
      <c r="G198" s="29" t="n">
        <f aca="false">'Task Breakdown'!K577</f>
        <v>0</v>
      </c>
      <c r="H198" s="29" t="n">
        <f aca="false">'Task Breakdown'!L577</f>
        <v>0</v>
      </c>
      <c r="I198" s="29" t="n">
        <f aca="false">'Task Breakdown'!M577</f>
        <v>0</v>
      </c>
      <c r="J198" s="29" t="n">
        <f aca="false">'Task Breakdown'!N577</f>
        <v>0</v>
      </c>
      <c r="K198" s="29" t="n">
        <f aca="false">'Task Breakdown'!O577</f>
        <v>0</v>
      </c>
      <c r="L198" s="29" t="n">
        <f aca="false">'Task Breakdown'!P577</f>
        <v>0</v>
      </c>
      <c r="M198" s="29" t="n">
        <f aca="false">'Task Breakdown'!Q577</f>
        <v>163</v>
      </c>
      <c r="N198" s="29" t="n">
        <f aca="false">'Task Breakdown'!R577</f>
        <v>0</v>
      </c>
      <c r="O198" s="29" t="n">
        <f aca="false">'Task Breakdown'!S577</f>
        <v>0</v>
      </c>
      <c r="P198" s="29" t="n">
        <f aca="false">'Task Breakdown'!T577</f>
        <v>0</v>
      </c>
      <c r="Q198" s="30" t="n">
        <f aca="false">SUM(E198:P198)</f>
        <v>163</v>
      </c>
      <c r="R198" s="31" t="n">
        <f aca="false">IF($Q$230&gt;0,Q198/$Q$230,0)</f>
        <v>0.0185628060585355</v>
      </c>
    </row>
    <row r="199" customFormat="false" ht="15" hidden="false" customHeight="false" outlineLevel="0" collapsed="false">
      <c r="A199" s="26" t="str">
        <f aca="false">'Task Breakdown'!A578</f>
        <v>UC-3.05.04</v>
      </c>
      <c r="B199" s="27" t="str">
        <f aca="false">'Task Breakdown'!G578</f>
        <v>Build mobile app (React Native / PWA)</v>
      </c>
      <c r="C199" s="28"/>
      <c r="D199" s="28"/>
      <c r="E199" s="29" t="n">
        <f aca="false">'Task Breakdown'!I578</f>
        <v>0</v>
      </c>
      <c r="F199" s="29" t="n">
        <f aca="false">'Task Breakdown'!J578</f>
        <v>0</v>
      </c>
      <c r="G199" s="29" t="n">
        <f aca="false">'Task Breakdown'!K578</f>
        <v>0</v>
      </c>
      <c r="H199" s="29" t="n">
        <f aca="false">'Task Breakdown'!L578</f>
        <v>0</v>
      </c>
      <c r="I199" s="29" t="n">
        <f aca="false">'Task Breakdown'!M578</f>
        <v>0</v>
      </c>
      <c r="J199" s="29" t="n">
        <f aca="false">'Task Breakdown'!N578</f>
        <v>0</v>
      </c>
      <c r="K199" s="29" t="n">
        <f aca="false">'Task Breakdown'!O578</f>
        <v>0</v>
      </c>
      <c r="L199" s="29" t="n">
        <f aca="false">'Task Breakdown'!P578</f>
        <v>0</v>
      </c>
      <c r="M199" s="29" t="n">
        <f aca="false">'Task Breakdown'!Q578</f>
        <v>122</v>
      </c>
      <c r="N199" s="29" t="n">
        <f aca="false">'Task Breakdown'!R578</f>
        <v>0</v>
      </c>
      <c r="O199" s="29" t="n">
        <f aca="false">'Task Breakdown'!S578</f>
        <v>0</v>
      </c>
      <c r="P199" s="29" t="n">
        <f aca="false">'Task Breakdown'!T578</f>
        <v>0</v>
      </c>
      <c r="Q199" s="30" t="n">
        <f aca="false">SUM(E199:P199)</f>
        <v>122</v>
      </c>
      <c r="R199" s="31" t="n">
        <f aca="false">IF($Q$230&gt;0,Q199/$Q$230,0)</f>
        <v>0.0138936339824621</v>
      </c>
    </row>
    <row r="200" customFormat="false" ht="15" hidden="false" customHeight="false" outlineLevel="0" collapsed="false">
      <c r="A200" s="26" t="str">
        <f aca="false">'Task Breakdown'!A579</f>
        <v>UC-3.05.05</v>
      </c>
      <c r="B200" s="27" t="str">
        <f aca="false">'Task Breakdown'!G579</f>
        <v>SSO, device policies and offline handling</v>
      </c>
      <c r="C200" s="28"/>
      <c r="D200" s="28"/>
      <c r="E200" s="29" t="n">
        <f aca="false">'Task Breakdown'!I579</f>
        <v>0</v>
      </c>
      <c r="F200" s="29" t="n">
        <f aca="false">'Task Breakdown'!J579</f>
        <v>0</v>
      </c>
      <c r="G200" s="29" t="n">
        <f aca="false">'Task Breakdown'!K579</f>
        <v>0</v>
      </c>
      <c r="H200" s="29" t="n">
        <f aca="false">'Task Breakdown'!L579</f>
        <v>20</v>
      </c>
      <c r="I200" s="29" t="n">
        <f aca="false">'Task Breakdown'!M579</f>
        <v>0</v>
      </c>
      <c r="J200" s="29" t="n">
        <f aca="false">'Task Breakdown'!N579</f>
        <v>0</v>
      </c>
      <c r="K200" s="29" t="n">
        <f aca="false">'Task Breakdown'!O579</f>
        <v>0</v>
      </c>
      <c r="L200" s="29" t="n">
        <f aca="false">'Task Breakdown'!P579</f>
        <v>0</v>
      </c>
      <c r="M200" s="29" t="n">
        <f aca="false">'Task Breakdown'!Q579</f>
        <v>41</v>
      </c>
      <c r="N200" s="29" t="n">
        <f aca="false">'Task Breakdown'!R579</f>
        <v>0</v>
      </c>
      <c r="O200" s="29" t="n">
        <f aca="false">'Task Breakdown'!S579</f>
        <v>0</v>
      </c>
      <c r="P200" s="29" t="n">
        <f aca="false">'Task Breakdown'!T579</f>
        <v>0</v>
      </c>
      <c r="Q200" s="30" t="n">
        <f aca="false">SUM(E200:P200)</f>
        <v>61</v>
      </c>
      <c r="R200" s="31" t="n">
        <f aca="false">IF($Q$230&gt;0,Q200/$Q$230,0)</f>
        <v>0.00694681699123107</v>
      </c>
    </row>
    <row r="201" customFormat="false" ht="15" hidden="false" customHeight="false" outlineLevel="0" collapsed="false">
      <c r="A201" s="26" t="str">
        <f aca="false">'Task Breakdown'!A580</f>
        <v>UC-3.05.06</v>
      </c>
      <c r="B201" s="27" t="str">
        <f aca="false">'Task Breakdown'!G580</f>
        <v>Accessibility and usability review</v>
      </c>
      <c r="C201" s="28"/>
      <c r="D201" s="28"/>
      <c r="E201" s="29" t="n">
        <f aca="false">'Task Breakdown'!I580</f>
        <v>0</v>
      </c>
      <c r="F201" s="29" t="n">
        <f aca="false">'Task Breakdown'!J580</f>
        <v>0</v>
      </c>
      <c r="G201" s="29" t="n">
        <f aca="false">'Task Breakdown'!K580</f>
        <v>0</v>
      </c>
      <c r="H201" s="29" t="n">
        <f aca="false">'Task Breakdown'!L580</f>
        <v>0</v>
      </c>
      <c r="I201" s="29" t="n">
        <f aca="false">'Task Breakdown'!M580</f>
        <v>0</v>
      </c>
      <c r="J201" s="29" t="n">
        <f aca="false">'Task Breakdown'!N580</f>
        <v>0</v>
      </c>
      <c r="K201" s="29" t="n">
        <f aca="false">'Task Breakdown'!O580</f>
        <v>0</v>
      </c>
      <c r="L201" s="29" t="n">
        <f aca="false">'Task Breakdown'!P580</f>
        <v>0</v>
      </c>
      <c r="M201" s="29" t="n">
        <f aca="false">'Task Breakdown'!Q580</f>
        <v>20</v>
      </c>
      <c r="N201" s="29" t="n">
        <f aca="false">'Task Breakdown'!R580</f>
        <v>20</v>
      </c>
      <c r="O201" s="29" t="n">
        <f aca="false">'Task Breakdown'!S580</f>
        <v>0</v>
      </c>
      <c r="P201" s="29" t="n">
        <f aca="false">'Task Breakdown'!T580</f>
        <v>0</v>
      </c>
      <c r="Q201" s="30" t="n">
        <f aca="false">SUM(E201:P201)</f>
        <v>40</v>
      </c>
      <c r="R201" s="31" t="n">
        <f aca="false">IF($Q$230&gt;0,Q201/$Q$230,0)</f>
        <v>0.00455528983031545</v>
      </c>
    </row>
    <row r="202" customFormat="false" ht="15" hidden="false" customHeight="false" outlineLevel="0" collapsed="false">
      <c r="A202" s="26" t="str">
        <f aca="false">'Task Breakdown'!A581</f>
        <v>UC-3.05.07</v>
      </c>
      <c r="B202" s="27" t="str">
        <f aca="false">'Task Breakdown'!G581</f>
        <v>Functional and device testing</v>
      </c>
      <c r="C202" s="28"/>
      <c r="D202" s="28"/>
      <c r="E202" s="29" t="n">
        <f aca="false">'Task Breakdown'!I581</f>
        <v>0</v>
      </c>
      <c r="F202" s="29" t="n">
        <f aca="false">'Task Breakdown'!J581</f>
        <v>0</v>
      </c>
      <c r="G202" s="29" t="n">
        <f aca="false">'Task Breakdown'!K581</f>
        <v>0</v>
      </c>
      <c r="H202" s="29" t="n">
        <f aca="false">'Task Breakdown'!L581</f>
        <v>0</v>
      </c>
      <c r="I202" s="29" t="n">
        <f aca="false">'Task Breakdown'!M581</f>
        <v>0</v>
      </c>
      <c r="J202" s="29" t="n">
        <f aca="false">'Task Breakdown'!N581</f>
        <v>0</v>
      </c>
      <c r="K202" s="29" t="n">
        <f aca="false">'Task Breakdown'!O581</f>
        <v>0</v>
      </c>
      <c r="L202" s="29" t="n">
        <f aca="false">'Task Breakdown'!P581</f>
        <v>0</v>
      </c>
      <c r="M202" s="29" t="n">
        <f aca="false">'Task Breakdown'!Q581</f>
        <v>0</v>
      </c>
      <c r="N202" s="29" t="n">
        <f aca="false">'Task Breakdown'!R581</f>
        <v>0</v>
      </c>
      <c r="O202" s="29" t="n">
        <f aca="false">'Task Breakdown'!S581</f>
        <v>102</v>
      </c>
      <c r="P202" s="29" t="n">
        <f aca="false">'Task Breakdown'!T581</f>
        <v>0</v>
      </c>
      <c r="Q202" s="30" t="n">
        <f aca="false">SUM(E202:P202)</f>
        <v>102</v>
      </c>
      <c r="R202" s="31" t="n">
        <f aca="false">IF($Q$230&gt;0,Q202/$Q$230,0)</f>
        <v>0.0116159890673044</v>
      </c>
    </row>
    <row r="203" customFormat="false" ht="15" hidden="false" customHeight="false" outlineLevel="0" collapsed="false">
      <c r="A203" s="26" t="str">
        <f aca="false">'Task Breakdown'!A582</f>
        <v>UC-3.05.08</v>
      </c>
      <c r="B203" s="27" t="str">
        <f aca="false">'Task Breakdown'!G582</f>
        <v>Detailed design and design review</v>
      </c>
      <c r="C203" s="28"/>
      <c r="D203" s="28"/>
      <c r="E203" s="29" t="n">
        <f aca="false">'Task Breakdown'!I582</f>
        <v>0</v>
      </c>
      <c r="F203" s="29" t="n">
        <f aca="false">'Task Breakdown'!J582</f>
        <v>0</v>
      </c>
      <c r="G203" s="29" t="n">
        <f aca="false">'Task Breakdown'!K582</f>
        <v>0</v>
      </c>
      <c r="H203" s="29" t="n">
        <f aca="false">'Task Breakdown'!L582</f>
        <v>0</v>
      </c>
      <c r="I203" s="29" t="n">
        <f aca="false">'Task Breakdown'!M582</f>
        <v>35</v>
      </c>
      <c r="J203" s="29" t="n">
        <f aca="false">'Task Breakdown'!N582</f>
        <v>0</v>
      </c>
      <c r="K203" s="29" t="n">
        <f aca="false">'Task Breakdown'!O582</f>
        <v>0</v>
      </c>
      <c r="L203" s="29" t="n">
        <f aca="false">'Task Breakdown'!P582</f>
        <v>0</v>
      </c>
      <c r="M203" s="29" t="n">
        <f aca="false">'Task Breakdown'!Q582</f>
        <v>0</v>
      </c>
      <c r="N203" s="29" t="n">
        <f aca="false">'Task Breakdown'!R582</f>
        <v>0</v>
      </c>
      <c r="O203" s="29" t="n">
        <f aca="false">'Task Breakdown'!S582</f>
        <v>0</v>
      </c>
      <c r="P203" s="29" t="n">
        <f aca="false">'Task Breakdown'!T582</f>
        <v>0</v>
      </c>
      <c r="Q203" s="30" t="n">
        <f aca="false">SUM(E203:P203)</f>
        <v>35</v>
      </c>
      <c r="R203" s="31" t="n">
        <f aca="false">IF($Q$230&gt;0,Q203/$Q$230,0)</f>
        <v>0.00398587860152602</v>
      </c>
    </row>
    <row r="204" customFormat="false" ht="15" hidden="false" customHeight="false" outlineLevel="0" collapsed="false">
      <c r="A204" s="26" t="str">
        <f aca="false">'Task Breakdown'!A583</f>
        <v>UC-3.05.09</v>
      </c>
      <c r="B204" s="27" t="str">
        <f aca="false">'Task Breakdown'!G583</f>
        <v>Promote through dev / test / prod and release</v>
      </c>
      <c r="C204" s="28"/>
      <c r="D204" s="28"/>
      <c r="E204" s="29" t="n">
        <f aca="false">'Task Breakdown'!I583</f>
        <v>0</v>
      </c>
      <c r="F204" s="29" t="n">
        <f aca="false">'Task Breakdown'!J583</f>
        <v>0</v>
      </c>
      <c r="G204" s="29" t="n">
        <f aca="false">'Task Breakdown'!K583</f>
        <v>24</v>
      </c>
      <c r="H204" s="29" t="n">
        <f aca="false">'Task Breakdown'!L583</f>
        <v>0</v>
      </c>
      <c r="I204" s="29" t="n">
        <f aca="false">'Task Breakdown'!M583</f>
        <v>0</v>
      </c>
      <c r="J204" s="29" t="n">
        <f aca="false">'Task Breakdown'!N583</f>
        <v>0</v>
      </c>
      <c r="K204" s="29" t="n">
        <f aca="false">'Task Breakdown'!O583</f>
        <v>0</v>
      </c>
      <c r="L204" s="29" t="n">
        <f aca="false">'Task Breakdown'!P583</f>
        <v>0</v>
      </c>
      <c r="M204" s="29" t="n">
        <f aca="false">'Task Breakdown'!Q583</f>
        <v>0</v>
      </c>
      <c r="N204" s="29" t="n">
        <f aca="false">'Task Breakdown'!R583</f>
        <v>0</v>
      </c>
      <c r="O204" s="29" t="n">
        <f aca="false">'Task Breakdown'!S583</f>
        <v>0</v>
      </c>
      <c r="P204" s="29" t="n">
        <f aca="false">'Task Breakdown'!T583</f>
        <v>0</v>
      </c>
      <c r="Q204" s="30" t="n">
        <f aca="false">SUM(E204:P204)</f>
        <v>24</v>
      </c>
      <c r="R204" s="31" t="n">
        <f aca="false">IF($Q$230&gt;0,Q204/$Q$230,0)</f>
        <v>0.00273317389818927</v>
      </c>
    </row>
    <row r="205" customFormat="false" ht="15" hidden="false" customHeight="false" outlineLevel="0" collapsed="false">
      <c r="A205" s="26" t="str">
        <f aca="false">'Task Breakdown'!A584</f>
        <v>UC-3.05.10</v>
      </c>
      <c r="B205" s="27" t="str">
        <f aca="false">'Task Breakdown'!G584</f>
        <v>Documentation, runbook and knowledge transfer</v>
      </c>
      <c r="C205" s="28"/>
      <c r="D205" s="28"/>
      <c r="E205" s="29" t="n">
        <f aca="false">'Task Breakdown'!I584</f>
        <v>0</v>
      </c>
      <c r="F205" s="29" t="n">
        <f aca="false">'Task Breakdown'!J584</f>
        <v>0</v>
      </c>
      <c r="G205" s="29" t="n">
        <f aca="false">'Task Breakdown'!K584</f>
        <v>0</v>
      </c>
      <c r="H205" s="29" t="n">
        <f aca="false">'Task Breakdown'!L584</f>
        <v>0</v>
      </c>
      <c r="I205" s="29" t="n">
        <f aca="false">'Task Breakdown'!M584</f>
        <v>0</v>
      </c>
      <c r="J205" s="29" t="n">
        <f aca="false">'Task Breakdown'!N584</f>
        <v>0</v>
      </c>
      <c r="K205" s="29" t="n">
        <f aca="false">'Task Breakdown'!O584</f>
        <v>0</v>
      </c>
      <c r="L205" s="29" t="n">
        <f aca="false">'Task Breakdown'!P584</f>
        <v>0</v>
      </c>
      <c r="M205" s="29" t="n">
        <f aca="false">'Task Breakdown'!Q584</f>
        <v>24</v>
      </c>
      <c r="N205" s="29" t="n">
        <f aca="false">'Task Breakdown'!R584</f>
        <v>0</v>
      </c>
      <c r="O205" s="29" t="n">
        <f aca="false">'Task Breakdown'!S584</f>
        <v>0</v>
      </c>
      <c r="P205" s="29" t="n">
        <f aca="false">'Task Breakdown'!T584</f>
        <v>0</v>
      </c>
      <c r="Q205" s="30" t="n">
        <f aca="false">SUM(E205:P205)</f>
        <v>24</v>
      </c>
      <c r="R205" s="31" t="n">
        <f aca="false">IF($Q$230&gt;0,Q205/$Q$230,0)</f>
        <v>0.00273317389818927</v>
      </c>
    </row>
    <row r="206" customFormat="false" ht="15" hidden="false" customHeight="false" outlineLevel="0" collapsed="false">
      <c r="A206" s="26" t="str">
        <f aca="false">'Task Breakdown'!A585</f>
        <v>UC-3.05.11</v>
      </c>
      <c r="B206" s="27" t="str">
        <f aca="false">'Task Breakdown'!G585</f>
        <v>Defect fixing and rework after testing</v>
      </c>
      <c r="C206" s="28"/>
      <c r="D206" s="28"/>
      <c r="E206" s="29" t="n">
        <f aca="false">'Task Breakdown'!I585</f>
        <v>0</v>
      </c>
      <c r="F206" s="29" t="n">
        <f aca="false">'Task Breakdown'!J585</f>
        <v>0</v>
      </c>
      <c r="G206" s="29" t="n">
        <f aca="false">'Task Breakdown'!K585</f>
        <v>0</v>
      </c>
      <c r="H206" s="29" t="n">
        <f aca="false">'Task Breakdown'!L585</f>
        <v>0</v>
      </c>
      <c r="I206" s="29" t="n">
        <f aca="false">'Task Breakdown'!M585</f>
        <v>0</v>
      </c>
      <c r="J206" s="29" t="n">
        <f aca="false">'Task Breakdown'!N585</f>
        <v>0</v>
      </c>
      <c r="K206" s="29" t="n">
        <f aca="false">'Task Breakdown'!O585</f>
        <v>0</v>
      </c>
      <c r="L206" s="29" t="n">
        <f aca="false">'Task Breakdown'!P585</f>
        <v>0</v>
      </c>
      <c r="M206" s="29" t="n">
        <f aca="false">'Task Breakdown'!Q585</f>
        <v>47</v>
      </c>
      <c r="N206" s="29" t="n">
        <f aca="false">'Task Breakdown'!R585</f>
        <v>0</v>
      </c>
      <c r="O206" s="29" t="n">
        <f aca="false">'Task Breakdown'!S585</f>
        <v>0</v>
      </c>
      <c r="P206" s="29" t="n">
        <f aca="false">'Task Breakdown'!T585</f>
        <v>0</v>
      </c>
      <c r="Q206" s="30" t="n">
        <f aca="false">SUM(E206:P206)</f>
        <v>47</v>
      </c>
      <c r="R206" s="31" t="n">
        <f aca="false">IF($Q$230&gt;0,Q206/$Q$230,0)</f>
        <v>0.00535246555062066</v>
      </c>
    </row>
    <row r="207" customFormat="false" ht="15" hidden="false" customHeight="false" outlineLevel="0" collapsed="false">
      <c r="A207" s="23" t="s">
        <v>292</v>
      </c>
      <c r="B207" s="23" t="s">
        <v>293</v>
      </c>
      <c r="C207" s="23" t="s">
        <v>45</v>
      </c>
      <c r="D207" s="23" t="s">
        <v>294</v>
      </c>
      <c r="E207" s="24" t="n">
        <f aca="false">SUM(E208:E214)</f>
        <v>66</v>
      </c>
      <c r="F207" s="24" t="n">
        <f aca="false">SUM(F208:F214)</f>
        <v>0</v>
      </c>
      <c r="G207" s="24" t="n">
        <f aca="false">SUM(G208:G214)</f>
        <v>0</v>
      </c>
      <c r="H207" s="24" t="n">
        <f aca="false">SUM(H208:H214)</f>
        <v>0</v>
      </c>
      <c r="I207" s="24" t="n">
        <f aca="false">SUM(I208:I214)</f>
        <v>0</v>
      </c>
      <c r="J207" s="24" t="n">
        <f aca="false">SUM(J208:J214)</f>
        <v>65</v>
      </c>
      <c r="K207" s="24" t="n">
        <f aca="false">SUM(K208:K214)</f>
        <v>0</v>
      </c>
      <c r="L207" s="24" t="n">
        <f aca="false">SUM(L208:L214)</f>
        <v>0</v>
      </c>
      <c r="M207" s="24" t="n">
        <f aca="false">SUM(M208:M214)</f>
        <v>0</v>
      </c>
      <c r="N207" s="24" t="n">
        <f aca="false">SUM(N208:N214)</f>
        <v>158</v>
      </c>
      <c r="O207" s="24" t="n">
        <f aca="false">SUM(O208:O214)</f>
        <v>0</v>
      </c>
      <c r="P207" s="24" t="n">
        <f aca="false">SUM(P208:P214)</f>
        <v>214</v>
      </c>
      <c r="Q207" s="24" t="n">
        <f aca="false">SUM(Q208:Q214)</f>
        <v>503</v>
      </c>
      <c r="R207" s="25" t="n">
        <f aca="false">IF($Q$230&gt;0,Q207/$Q$230,0)</f>
        <v>0.0572827696162168</v>
      </c>
    </row>
    <row r="208" customFormat="false" ht="15" hidden="false" customHeight="false" outlineLevel="0" collapsed="false">
      <c r="A208" s="26" t="str">
        <f aca="false">'Task Breakdown'!A586</f>
        <v>UC-3.06.01</v>
      </c>
      <c r="B208" s="27" t="str">
        <f aca="false">'Task Breakdown'!G586</f>
        <v>Rollout wave plan</v>
      </c>
      <c r="C208" s="28"/>
      <c r="D208" s="28"/>
      <c r="E208" s="29" t="n">
        <f aca="false">'Task Breakdown'!I586</f>
        <v>33</v>
      </c>
      <c r="F208" s="29" t="n">
        <f aca="false">'Task Breakdown'!J586</f>
        <v>0</v>
      </c>
      <c r="G208" s="29" t="n">
        <f aca="false">'Task Breakdown'!K586</f>
        <v>0</v>
      </c>
      <c r="H208" s="29" t="n">
        <f aca="false">'Task Breakdown'!L586</f>
        <v>0</v>
      </c>
      <c r="I208" s="29" t="n">
        <f aca="false">'Task Breakdown'!M586</f>
        <v>0</v>
      </c>
      <c r="J208" s="29" t="n">
        <f aca="false">'Task Breakdown'!N586</f>
        <v>0</v>
      </c>
      <c r="K208" s="29" t="n">
        <f aca="false">'Task Breakdown'!O586</f>
        <v>0</v>
      </c>
      <c r="L208" s="29" t="n">
        <f aca="false">'Task Breakdown'!P586</f>
        <v>0</v>
      </c>
      <c r="M208" s="29" t="n">
        <f aca="false">'Task Breakdown'!Q586</f>
        <v>0</v>
      </c>
      <c r="N208" s="29" t="n">
        <f aca="false">'Task Breakdown'!R586</f>
        <v>33</v>
      </c>
      <c r="O208" s="29" t="n">
        <f aca="false">'Task Breakdown'!S586</f>
        <v>0</v>
      </c>
      <c r="P208" s="29" t="n">
        <f aca="false">'Task Breakdown'!T586</f>
        <v>0</v>
      </c>
      <c r="Q208" s="30" t="n">
        <f aca="false">SUM(E208:P208)</f>
        <v>66</v>
      </c>
      <c r="R208" s="31" t="n">
        <f aca="false">IF($Q$230&gt;0,Q208/$Q$230,0)</f>
        <v>0.0075162282200205</v>
      </c>
    </row>
    <row r="209" customFormat="false" ht="15" hidden="false" customHeight="false" outlineLevel="0" collapsed="false">
      <c r="A209" s="26" t="str">
        <f aca="false">'Task Breakdown'!A587</f>
        <v>UC-3.06.02</v>
      </c>
      <c r="B209" s="27" t="str">
        <f aca="false">'Task Breakdown'!G587</f>
        <v>Plant readiness assessments</v>
      </c>
      <c r="C209" s="28"/>
      <c r="D209" s="28"/>
      <c r="E209" s="29" t="n">
        <f aca="false">'Task Breakdown'!I587</f>
        <v>0</v>
      </c>
      <c r="F209" s="29" t="n">
        <f aca="false">'Task Breakdown'!J587</f>
        <v>0</v>
      </c>
      <c r="G209" s="29" t="n">
        <f aca="false">'Task Breakdown'!K587</f>
        <v>0</v>
      </c>
      <c r="H209" s="29" t="n">
        <f aca="false">'Task Breakdown'!L587</f>
        <v>0</v>
      </c>
      <c r="I209" s="29" t="n">
        <f aca="false">'Task Breakdown'!M587</f>
        <v>0</v>
      </c>
      <c r="J209" s="29" t="n">
        <f aca="false">'Task Breakdown'!N587</f>
        <v>0</v>
      </c>
      <c r="K209" s="29" t="n">
        <f aca="false">'Task Breakdown'!O587</f>
        <v>0</v>
      </c>
      <c r="L209" s="29" t="n">
        <f aca="false">'Task Breakdown'!P587</f>
        <v>0</v>
      </c>
      <c r="M209" s="29" t="n">
        <f aca="false">'Task Breakdown'!Q587</f>
        <v>0</v>
      </c>
      <c r="N209" s="29" t="n">
        <f aca="false">'Task Breakdown'!R587</f>
        <v>65</v>
      </c>
      <c r="O209" s="29" t="n">
        <f aca="false">'Task Breakdown'!S587</f>
        <v>0</v>
      </c>
      <c r="P209" s="29" t="n">
        <f aca="false">'Task Breakdown'!T587</f>
        <v>0</v>
      </c>
      <c r="Q209" s="30" t="n">
        <f aca="false">SUM(E209:P209)</f>
        <v>65</v>
      </c>
      <c r="R209" s="31" t="n">
        <f aca="false">IF($Q$230&gt;0,Q209/$Q$230,0)</f>
        <v>0.00740234597426261</v>
      </c>
    </row>
    <row r="210" customFormat="false" ht="15" hidden="false" customHeight="false" outlineLevel="0" collapsed="false">
      <c r="A210" s="26" t="str">
        <f aca="false">'Task Breakdown'!A588</f>
        <v>UC-3.06.03</v>
      </c>
      <c r="B210" s="27" t="str">
        <f aca="false">'Task Breakdown'!G588</f>
        <v>Train-the-trainer and user training</v>
      </c>
      <c r="C210" s="28"/>
      <c r="D210" s="28"/>
      <c r="E210" s="29" t="n">
        <f aca="false">'Task Breakdown'!I588</f>
        <v>0</v>
      </c>
      <c r="F210" s="29" t="n">
        <f aca="false">'Task Breakdown'!J588</f>
        <v>0</v>
      </c>
      <c r="G210" s="29" t="n">
        <f aca="false">'Task Breakdown'!K588</f>
        <v>0</v>
      </c>
      <c r="H210" s="29" t="n">
        <f aca="false">'Task Breakdown'!L588</f>
        <v>0</v>
      </c>
      <c r="I210" s="29" t="n">
        <f aca="false">'Task Breakdown'!M588</f>
        <v>0</v>
      </c>
      <c r="J210" s="29" t="n">
        <f aca="false">'Task Breakdown'!N588</f>
        <v>0</v>
      </c>
      <c r="K210" s="29" t="n">
        <f aca="false">'Task Breakdown'!O588</f>
        <v>0</v>
      </c>
      <c r="L210" s="29" t="n">
        <f aca="false">'Task Breakdown'!P588</f>
        <v>0</v>
      </c>
      <c r="M210" s="29" t="n">
        <f aca="false">'Task Breakdown'!Q588</f>
        <v>0</v>
      </c>
      <c r="N210" s="29" t="n">
        <f aca="false">'Task Breakdown'!R588</f>
        <v>0</v>
      </c>
      <c r="O210" s="29" t="n">
        <f aca="false">'Task Breakdown'!S588</f>
        <v>0</v>
      </c>
      <c r="P210" s="29" t="n">
        <f aca="false">'Task Breakdown'!T588</f>
        <v>130</v>
      </c>
      <c r="Q210" s="30" t="n">
        <f aca="false">SUM(E210:P210)</f>
        <v>130</v>
      </c>
      <c r="R210" s="31" t="n">
        <f aca="false">IF($Q$230&gt;0,Q210/$Q$230,0)</f>
        <v>0.0148046919485252</v>
      </c>
    </row>
    <row r="211" customFormat="false" ht="15" hidden="false" customHeight="false" outlineLevel="0" collapsed="false">
      <c r="A211" s="26" t="str">
        <f aca="false">'Task Breakdown'!A589</f>
        <v>UC-3.06.04</v>
      </c>
      <c r="B211" s="27" t="str">
        <f aca="false">'Task Breakdown'!G589</f>
        <v>Go-live support</v>
      </c>
      <c r="C211" s="28"/>
      <c r="D211" s="28"/>
      <c r="E211" s="29" t="n">
        <f aca="false">'Task Breakdown'!I589</f>
        <v>0</v>
      </c>
      <c r="F211" s="29" t="n">
        <f aca="false">'Task Breakdown'!J589</f>
        <v>0</v>
      </c>
      <c r="G211" s="29" t="n">
        <f aca="false">'Task Breakdown'!K589</f>
        <v>0</v>
      </c>
      <c r="H211" s="29" t="n">
        <f aca="false">'Task Breakdown'!L589</f>
        <v>0</v>
      </c>
      <c r="I211" s="29" t="n">
        <f aca="false">'Task Breakdown'!M589</f>
        <v>0</v>
      </c>
      <c r="J211" s="29" t="n">
        <f aca="false">'Task Breakdown'!N589</f>
        <v>65</v>
      </c>
      <c r="K211" s="29" t="n">
        <f aca="false">'Task Breakdown'!O589</f>
        <v>0</v>
      </c>
      <c r="L211" s="29" t="n">
        <f aca="false">'Task Breakdown'!P589</f>
        <v>0</v>
      </c>
      <c r="M211" s="29" t="n">
        <f aca="false">'Task Breakdown'!Q589</f>
        <v>0</v>
      </c>
      <c r="N211" s="29" t="n">
        <f aca="false">'Task Breakdown'!R589</f>
        <v>33</v>
      </c>
      <c r="O211" s="29" t="n">
        <f aca="false">'Task Breakdown'!S589</f>
        <v>0</v>
      </c>
      <c r="P211" s="29" t="n">
        <f aca="false">'Task Breakdown'!T589</f>
        <v>33</v>
      </c>
      <c r="Q211" s="30" t="n">
        <f aca="false">SUM(E211:P211)</f>
        <v>131</v>
      </c>
      <c r="R211" s="31" t="n">
        <f aca="false">IF($Q$230&gt;0,Q211/$Q$230,0)</f>
        <v>0.0149185741942831</v>
      </c>
    </row>
    <row r="212" customFormat="false" ht="15" hidden="false" customHeight="false" outlineLevel="0" collapsed="false">
      <c r="A212" s="26" t="str">
        <f aca="false">'Task Breakdown'!A590</f>
        <v>UC-3.06.05</v>
      </c>
      <c r="B212" s="27" t="str">
        <f aca="false">'Task Breakdown'!G590</f>
        <v>Rollout communications</v>
      </c>
      <c r="C212" s="28"/>
      <c r="D212" s="28"/>
      <c r="E212" s="29" t="n">
        <f aca="false">'Task Breakdown'!I590</f>
        <v>33</v>
      </c>
      <c r="F212" s="29" t="n">
        <f aca="false">'Task Breakdown'!J590</f>
        <v>0</v>
      </c>
      <c r="G212" s="29" t="n">
        <f aca="false">'Task Breakdown'!K590</f>
        <v>0</v>
      </c>
      <c r="H212" s="29" t="n">
        <f aca="false">'Task Breakdown'!L590</f>
        <v>0</v>
      </c>
      <c r="I212" s="29" t="n">
        <f aca="false">'Task Breakdown'!M590</f>
        <v>0</v>
      </c>
      <c r="J212" s="29" t="n">
        <f aca="false">'Task Breakdown'!N590</f>
        <v>0</v>
      </c>
      <c r="K212" s="29" t="n">
        <f aca="false">'Task Breakdown'!O590</f>
        <v>0</v>
      </c>
      <c r="L212" s="29" t="n">
        <f aca="false">'Task Breakdown'!P590</f>
        <v>0</v>
      </c>
      <c r="M212" s="29" t="n">
        <f aca="false">'Task Breakdown'!Q590</f>
        <v>0</v>
      </c>
      <c r="N212" s="29" t="n">
        <f aca="false">'Task Breakdown'!R590</f>
        <v>0</v>
      </c>
      <c r="O212" s="29" t="n">
        <f aca="false">'Task Breakdown'!S590</f>
        <v>0</v>
      </c>
      <c r="P212" s="29" t="n">
        <f aca="false">'Task Breakdown'!T590</f>
        <v>33</v>
      </c>
      <c r="Q212" s="30" t="n">
        <f aca="false">SUM(E212:P212)</f>
        <v>66</v>
      </c>
      <c r="R212" s="31" t="n">
        <f aca="false">IF($Q$230&gt;0,Q212/$Q$230,0)</f>
        <v>0.0075162282200205</v>
      </c>
    </row>
    <row r="213" customFormat="false" ht="15" hidden="false" customHeight="false" outlineLevel="0" collapsed="false">
      <c r="A213" s="26" t="str">
        <f aca="false">'Task Breakdown'!A591</f>
        <v>UC-3.06.06</v>
      </c>
      <c r="B213" s="27" t="str">
        <f aca="false">'Task Breakdown'!G591</f>
        <v>Detailed design and design review</v>
      </c>
      <c r="C213" s="28"/>
      <c r="D213" s="28"/>
      <c r="E213" s="29" t="n">
        <f aca="false">'Task Breakdown'!I591</f>
        <v>0</v>
      </c>
      <c r="F213" s="29" t="n">
        <f aca="false">'Task Breakdown'!J591</f>
        <v>0</v>
      </c>
      <c r="G213" s="29" t="n">
        <f aca="false">'Task Breakdown'!K591</f>
        <v>0</v>
      </c>
      <c r="H213" s="29" t="n">
        <f aca="false">'Task Breakdown'!L591</f>
        <v>0</v>
      </c>
      <c r="I213" s="29" t="n">
        <f aca="false">'Task Breakdown'!M591</f>
        <v>0</v>
      </c>
      <c r="J213" s="29" t="n">
        <f aca="false">'Task Breakdown'!N591</f>
        <v>0</v>
      </c>
      <c r="K213" s="29" t="n">
        <f aca="false">'Task Breakdown'!O591</f>
        <v>0</v>
      </c>
      <c r="L213" s="29" t="n">
        <f aca="false">'Task Breakdown'!P591</f>
        <v>0</v>
      </c>
      <c r="M213" s="29" t="n">
        <f aca="false">'Task Breakdown'!Q591</f>
        <v>0</v>
      </c>
      <c r="N213" s="29" t="n">
        <f aca="false">'Task Breakdown'!R591</f>
        <v>27</v>
      </c>
      <c r="O213" s="29" t="n">
        <f aca="false">'Task Breakdown'!S591</f>
        <v>0</v>
      </c>
      <c r="P213" s="29" t="n">
        <f aca="false">'Task Breakdown'!T591</f>
        <v>0</v>
      </c>
      <c r="Q213" s="30" t="n">
        <f aca="false">SUM(E213:P213)</f>
        <v>27</v>
      </c>
      <c r="R213" s="31" t="n">
        <f aca="false">IF($Q$230&gt;0,Q213/$Q$230,0)</f>
        <v>0.00307482063546293</v>
      </c>
    </row>
    <row r="214" customFormat="false" ht="15" hidden="false" customHeight="false" outlineLevel="0" collapsed="false">
      <c r="A214" s="26" t="str">
        <f aca="false">'Task Breakdown'!A592</f>
        <v>UC-3.06.07</v>
      </c>
      <c r="B214" s="27" t="str">
        <f aca="false">'Task Breakdown'!G592</f>
        <v>Documentation, runbook and knowledge transfer</v>
      </c>
      <c r="C214" s="28"/>
      <c r="D214" s="28"/>
      <c r="E214" s="29" t="n">
        <f aca="false">'Task Breakdown'!I592</f>
        <v>0</v>
      </c>
      <c r="F214" s="29" t="n">
        <f aca="false">'Task Breakdown'!J592</f>
        <v>0</v>
      </c>
      <c r="G214" s="29" t="n">
        <f aca="false">'Task Breakdown'!K592</f>
        <v>0</v>
      </c>
      <c r="H214" s="29" t="n">
        <f aca="false">'Task Breakdown'!L592</f>
        <v>0</v>
      </c>
      <c r="I214" s="29" t="n">
        <f aca="false">'Task Breakdown'!M592</f>
        <v>0</v>
      </c>
      <c r="J214" s="29" t="n">
        <f aca="false">'Task Breakdown'!N592</f>
        <v>0</v>
      </c>
      <c r="K214" s="29" t="n">
        <f aca="false">'Task Breakdown'!O592</f>
        <v>0</v>
      </c>
      <c r="L214" s="29" t="n">
        <f aca="false">'Task Breakdown'!P592</f>
        <v>0</v>
      </c>
      <c r="M214" s="29" t="n">
        <f aca="false">'Task Breakdown'!Q592</f>
        <v>0</v>
      </c>
      <c r="N214" s="29" t="n">
        <f aca="false">'Task Breakdown'!R592</f>
        <v>0</v>
      </c>
      <c r="O214" s="29" t="n">
        <f aca="false">'Task Breakdown'!S592</f>
        <v>0</v>
      </c>
      <c r="P214" s="29" t="n">
        <f aca="false">'Task Breakdown'!T592</f>
        <v>18</v>
      </c>
      <c r="Q214" s="30" t="n">
        <f aca="false">SUM(E214:P214)</f>
        <v>18</v>
      </c>
      <c r="R214" s="31" t="n">
        <f aca="false">IF($Q$230&gt;0,Q214/$Q$230,0)</f>
        <v>0.00204988042364195</v>
      </c>
    </row>
    <row r="215" customFormat="false" ht="23.85" hidden="false" customHeight="false" outlineLevel="0" collapsed="false">
      <c r="A215" s="23" t="s">
        <v>295</v>
      </c>
      <c r="B215" s="23" t="s">
        <v>226</v>
      </c>
      <c r="C215" s="23" t="s">
        <v>45</v>
      </c>
      <c r="D215" s="23" t="s">
        <v>227</v>
      </c>
      <c r="E215" s="24" t="n">
        <f aca="false">SUM(E216:E218)</f>
        <v>12</v>
      </c>
      <c r="F215" s="24" t="n">
        <f aca="false">SUM(F216:F218)</f>
        <v>0</v>
      </c>
      <c r="G215" s="24" t="n">
        <f aca="false">SUM(G216:G218)</f>
        <v>0</v>
      </c>
      <c r="H215" s="24" t="n">
        <f aca="false">SUM(H216:H218)</f>
        <v>0</v>
      </c>
      <c r="I215" s="24" t="n">
        <f aca="false">SUM(I216:I218)</f>
        <v>0</v>
      </c>
      <c r="J215" s="24" t="n">
        <f aca="false">SUM(J216:J218)</f>
        <v>98</v>
      </c>
      <c r="K215" s="24" t="n">
        <f aca="false">SUM(K216:K218)</f>
        <v>24</v>
      </c>
      <c r="L215" s="24" t="n">
        <f aca="false">SUM(L216:L218)</f>
        <v>0</v>
      </c>
      <c r="M215" s="24" t="n">
        <f aca="false">SUM(M216:M218)</f>
        <v>48</v>
      </c>
      <c r="N215" s="24" t="n">
        <f aca="false">SUM(N216:N218)</f>
        <v>12</v>
      </c>
      <c r="O215" s="24" t="n">
        <f aca="false">SUM(O216:O218)</f>
        <v>24</v>
      </c>
      <c r="P215" s="24" t="n">
        <f aca="false">SUM(P216:P218)</f>
        <v>0</v>
      </c>
      <c r="Q215" s="24" t="n">
        <f aca="false">SUM(Q216:Q218)</f>
        <v>218</v>
      </c>
      <c r="R215" s="25" t="n">
        <f aca="false">IF($Q$230&gt;0,Q215/$Q$230,0)</f>
        <v>0.0248263295752192</v>
      </c>
    </row>
    <row r="216" customFormat="false" ht="15" hidden="false" customHeight="false" outlineLevel="0" collapsed="false">
      <c r="A216" s="26" t="str">
        <f aca="false">'Task Breakdown'!A676</f>
        <v>UC-3.07.01</v>
      </c>
      <c r="B216" s="27" t="str">
        <f aca="false">'Task Breakdown'!G676</f>
        <v>L2 support for live agents (monitor, triage, answer users)</v>
      </c>
      <c r="C216" s="28"/>
      <c r="D216" s="28"/>
      <c r="E216" s="29" t="n">
        <f aca="false">'Task Breakdown'!I676</f>
        <v>0</v>
      </c>
      <c r="F216" s="29" t="n">
        <f aca="false">'Task Breakdown'!J676</f>
        <v>0</v>
      </c>
      <c r="G216" s="29" t="n">
        <f aca="false">'Task Breakdown'!K676</f>
        <v>0</v>
      </c>
      <c r="H216" s="29" t="n">
        <f aca="false">'Task Breakdown'!L676</f>
        <v>0</v>
      </c>
      <c r="I216" s="29" t="n">
        <f aca="false">'Task Breakdown'!M676</f>
        <v>0</v>
      </c>
      <c r="J216" s="29" t="n">
        <f aca="false">'Task Breakdown'!N676</f>
        <v>61</v>
      </c>
      <c r="K216" s="29" t="n">
        <f aca="false">'Task Breakdown'!O676</f>
        <v>24</v>
      </c>
      <c r="L216" s="29" t="n">
        <f aca="false">'Task Breakdown'!P676</f>
        <v>0</v>
      </c>
      <c r="M216" s="29" t="n">
        <f aca="false">'Task Breakdown'!Q676</f>
        <v>24</v>
      </c>
      <c r="N216" s="29" t="n">
        <f aca="false">'Task Breakdown'!R676</f>
        <v>0</v>
      </c>
      <c r="O216" s="29" t="n">
        <f aca="false">'Task Breakdown'!S676</f>
        <v>0</v>
      </c>
      <c r="P216" s="29" t="n">
        <f aca="false">'Task Breakdown'!T676</f>
        <v>0</v>
      </c>
      <c r="Q216" s="30" t="n">
        <f aca="false">SUM(E216:P216)</f>
        <v>109</v>
      </c>
      <c r="R216" s="31" t="n">
        <f aca="false">IF($Q$230&gt;0,Q216/$Q$230,0)</f>
        <v>0.0124131647876096</v>
      </c>
    </row>
    <row r="217" customFormat="false" ht="15" hidden="false" customHeight="false" outlineLevel="0" collapsed="false">
      <c r="A217" s="26" t="str">
        <f aca="false">'Task Breakdown'!A677</f>
        <v>UC-3.07.02</v>
      </c>
      <c r="B217" s="27" t="str">
        <f aca="false">'Task Breakdown'!G677</f>
        <v>Fix production defects and tune prompts / retrieval</v>
      </c>
      <c r="C217" s="28"/>
      <c r="D217" s="28"/>
      <c r="E217" s="29" t="n">
        <f aca="false">'Task Breakdown'!I677</f>
        <v>0</v>
      </c>
      <c r="F217" s="29" t="n">
        <f aca="false">'Task Breakdown'!J677</f>
        <v>0</v>
      </c>
      <c r="G217" s="29" t="n">
        <f aca="false">'Task Breakdown'!K677</f>
        <v>0</v>
      </c>
      <c r="H217" s="29" t="n">
        <f aca="false">'Task Breakdown'!L677</f>
        <v>0</v>
      </c>
      <c r="I217" s="29" t="n">
        <f aca="false">'Task Breakdown'!M677</f>
        <v>0</v>
      </c>
      <c r="J217" s="29" t="n">
        <f aca="false">'Task Breakdown'!N677</f>
        <v>37</v>
      </c>
      <c r="K217" s="29" t="n">
        <f aca="false">'Task Breakdown'!O677</f>
        <v>0</v>
      </c>
      <c r="L217" s="29" t="n">
        <f aca="false">'Task Breakdown'!P677</f>
        <v>0</v>
      </c>
      <c r="M217" s="29" t="n">
        <f aca="false">'Task Breakdown'!Q677</f>
        <v>24</v>
      </c>
      <c r="N217" s="29" t="n">
        <f aca="false">'Task Breakdown'!R677</f>
        <v>0</v>
      </c>
      <c r="O217" s="29" t="n">
        <f aca="false">'Task Breakdown'!S677</f>
        <v>24</v>
      </c>
      <c r="P217" s="29" t="n">
        <f aca="false">'Task Breakdown'!T677</f>
        <v>0</v>
      </c>
      <c r="Q217" s="30" t="n">
        <f aca="false">SUM(E217:P217)</f>
        <v>85</v>
      </c>
      <c r="R217" s="31" t="n">
        <f aca="false">IF($Q$230&gt;0,Q217/$Q$230,0)</f>
        <v>0.00967999088942034</v>
      </c>
    </row>
    <row r="218" customFormat="false" ht="15" hidden="false" customHeight="false" outlineLevel="0" collapsed="false">
      <c r="A218" s="26" t="str">
        <f aca="false">'Task Breakdown'!A678</f>
        <v>UC-3.07.03</v>
      </c>
      <c r="B218" s="27" t="str">
        <f aca="false">'Task Breakdown'!G678</f>
        <v>Weekly operations and quality review</v>
      </c>
      <c r="C218" s="28"/>
      <c r="D218" s="28"/>
      <c r="E218" s="29" t="n">
        <f aca="false">'Task Breakdown'!I678</f>
        <v>12</v>
      </c>
      <c r="F218" s="29" t="n">
        <f aca="false">'Task Breakdown'!J678</f>
        <v>0</v>
      </c>
      <c r="G218" s="29" t="n">
        <f aca="false">'Task Breakdown'!K678</f>
        <v>0</v>
      </c>
      <c r="H218" s="29" t="n">
        <f aca="false">'Task Breakdown'!L678</f>
        <v>0</v>
      </c>
      <c r="I218" s="29" t="n">
        <f aca="false">'Task Breakdown'!M678</f>
        <v>0</v>
      </c>
      <c r="J218" s="29" t="n">
        <f aca="false">'Task Breakdown'!N678</f>
        <v>0</v>
      </c>
      <c r="K218" s="29" t="n">
        <f aca="false">'Task Breakdown'!O678</f>
        <v>0</v>
      </c>
      <c r="L218" s="29" t="n">
        <f aca="false">'Task Breakdown'!P678</f>
        <v>0</v>
      </c>
      <c r="M218" s="29" t="n">
        <f aca="false">'Task Breakdown'!Q678</f>
        <v>0</v>
      </c>
      <c r="N218" s="29" t="n">
        <f aca="false">'Task Breakdown'!R678</f>
        <v>12</v>
      </c>
      <c r="O218" s="29" t="n">
        <f aca="false">'Task Breakdown'!S678</f>
        <v>0</v>
      </c>
      <c r="P218" s="29" t="n">
        <f aca="false">'Task Breakdown'!T678</f>
        <v>0</v>
      </c>
      <c r="Q218" s="30" t="n">
        <f aca="false">SUM(E218:P218)</f>
        <v>24</v>
      </c>
      <c r="R218" s="31" t="n">
        <f aca="false">IF($Q$230&gt;0,Q218/$Q$230,0)</f>
        <v>0.00273317389818927</v>
      </c>
    </row>
    <row r="219" customFormat="false" ht="15" hidden="false" customHeight="false" outlineLevel="0" collapsed="false">
      <c r="A219" s="9"/>
      <c r="B219" s="10" t="s">
        <v>159</v>
      </c>
      <c r="C219" s="9"/>
      <c r="D219" s="9"/>
      <c r="E219" s="32" t="n">
        <f aca="false">E149+E162+E174+E185+E195+E207+E215</f>
        <v>78</v>
      </c>
      <c r="F219" s="32" t="n">
        <f aca="false">F149+F162+F174+F185+F195+F207+F215</f>
        <v>0</v>
      </c>
      <c r="G219" s="32" t="n">
        <f aca="false">G149+G162+G174+G185+G195+G207+G215</f>
        <v>116</v>
      </c>
      <c r="H219" s="32" t="n">
        <f aca="false">H149+H162+H174+H185+H195+H207+H215</f>
        <v>20</v>
      </c>
      <c r="I219" s="32" t="n">
        <f aca="false">I149+I162+I174+I185+I195+I207+I215</f>
        <v>249</v>
      </c>
      <c r="J219" s="32" t="n">
        <f aca="false">J149+J162+J174+J185+J195+J207+J215</f>
        <v>1467</v>
      </c>
      <c r="K219" s="32" t="n">
        <f aca="false">K149+K162+K174+K185+K195+K207+K215</f>
        <v>412</v>
      </c>
      <c r="L219" s="32" t="n">
        <f aca="false">L149+L162+L174+L185+L195+L207+L215</f>
        <v>0</v>
      </c>
      <c r="M219" s="32" t="n">
        <f aca="false">M149+M162+M174+M185+M195+M207+M215</f>
        <v>696</v>
      </c>
      <c r="N219" s="32" t="n">
        <f aca="false">N149+N162+N174+N185+N195+N207+N215</f>
        <v>525</v>
      </c>
      <c r="O219" s="32" t="n">
        <f aca="false">O149+O162+O174+O185+O195+O207+O215</f>
        <v>493</v>
      </c>
      <c r="P219" s="32" t="n">
        <f aca="false">P149+P162+P174+P185+P195+P207+P215</f>
        <v>214</v>
      </c>
      <c r="Q219" s="32" t="n">
        <f aca="false">Q149+Q162+Q174+Q185+Q195+Q207+Q215</f>
        <v>4270</v>
      </c>
      <c r="R219" s="33" t="n">
        <f aca="false">IF($Q$230&gt;0,Q219/$Q$230,0)</f>
        <v>0.486277189386175</v>
      </c>
    </row>
    <row r="221" customFormat="false" ht="15" hidden="false" customHeight="false" outlineLevel="0" collapsed="false">
      <c r="A221" s="21" t="s">
        <v>296</v>
      </c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</row>
    <row r="222" customFormat="false" ht="15" hidden="false" customHeight="false" outlineLevel="0" collapsed="false">
      <c r="A222" s="23" t="s">
        <v>297</v>
      </c>
      <c r="B222" s="23" t="s">
        <v>162</v>
      </c>
      <c r="C222" s="23" t="s">
        <v>46</v>
      </c>
      <c r="D222" s="23" t="s">
        <v>163</v>
      </c>
      <c r="E222" s="24" t="n">
        <f aca="false">SUM(E223:E227)</f>
        <v>366</v>
      </c>
      <c r="F222" s="24" t="n">
        <f aca="false">SUM(F223:F227)</f>
        <v>24</v>
      </c>
      <c r="G222" s="24" t="n">
        <f aca="false">SUM(G223:G227)</f>
        <v>0</v>
      </c>
      <c r="H222" s="24" t="n">
        <f aca="false">SUM(H223:H227)</f>
        <v>0</v>
      </c>
      <c r="I222" s="24" t="n">
        <f aca="false">SUM(I223:I227)</f>
        <v>24</v>
      </c>
      <c r="J222" s="24" t="n">
        <f aca="false">SUM(J223:J227)</f>
        <v>0</v>
      </c>
      <c r="K222" s="24" t="n">
        <f aca="false">SUM(K223:K227)</f>
        <v>0</v>
      </c>
      <c r="L222" s="24" t="n">
        <f aca="false">SUM(L223:L227)</f>
        <v>0</v>
      </c>
      <c r="M222" s="24" t="n">
        <f aca="false">SUM(M223:M227)</f>
        <v>0</v>
      </c>
      <c r="N222" s="24" t="n">
        <f aca="false">SUM(N223:N227)</f>
        <v>0</v>
      </c>
      <c r="O222" s="24" t="n">
        <f aca="false">SUM(O223:O227)</f>
        <v>0</v>
      </c>
      <c r="P222" s="24" t="n">
        <f aca="false">SUM(P223:P227)</f>
        <v>0</v>
      </c>
      <c r="Q222" s="24" t="n">
        <f aca="false">SUM(Q223:Q227)</f>
        <v>414</v>
      </c>
      <c r="R222" s="25" t="n">
        <f aca="false">IF($Q$230&gt;0,Q222/$Q$230,0)</f>
        <v>0.047147249743765</v>
      </c>
    </row>
    <row r="223" customFormat="false" ht="15" hidden="false" customHeight="false" outlineLevel="0" collapsed="false">
      <c r="A223" s="26" t="str">
        <f aca="false">'Task Breakdown'!A651</f>
        <v>PM-3.01.01</v>
      </c>
      <c r="B223" s="27" t="str">
        <f aca="false">'Task Breakdown'!G651</f>
        <v>Phase plan and schedule</v>
      </c>
      <c r="C223" s="28"/>
      <c r="D223" s="28"/>
      <c r="E223" s="29" t="n">
        <f aca="false">'Task Breakdown'!I651</f>
        <v>73</v>
      </c>
      <c r="F223" s="29" t="n">
        <f aca="false">'Task Breakdown'!J651</f>
        <v>0</v>
      </c>
      <c r="G223" s="29" t="n">
        <f aca="false">'Task Breakdown'!K651</f>
        <v>0</v>
      </c>
      <c r="H223" s="29" t="n">
        <f aca="false">'Task Breakdown'!L651</f>
        <v>0</v>
      </c>
      <c r="I223" s="29" t="n">
        <f aca="false">'Task Breakdown'!M651</f>
        <v>0</v>
      </c>
      <c r="J223" s="29" t="n">
        <f aca="false">'Task Breakdown'!N651</f>
        <v>0</v>
      </c>
      <c r="K223" s="29" t="n">
        <f aca="false">'Task Breakdown'!O651</f>
        <v>0</v>
      </c>
      <c r="L223" s="29" t="n">
        <f aca="false">'Task Breakdown'!P651</f>
        <v>0</v>
      </c>
      <c r="M223" s="29" t="n">
        <f aca="false">'Task Breakdown'!Q651</f>
        <v>0</v>
      </c>
      <c r="N223" s="29" t="n">
        <f aca="false">'Task Breakdown'!R651</f>
        <v>0</v>
      </c>
      <c r="O223" s="29" t="n">
        <f aca="false">'Task Breakdown'!S651</f>
        <v>0</v>
      </c>
      <c r="P223" s="29" t="n">
        <f aca="false">'Task Breakdown'!T651</f>
        <v>0</v>
      </c>
      <c r="Q223" s="30" t="n">
        <f aca="false">SUM(E223:P223)</f>
        <v>73</v>
      </c>
      <c r="R223" s="31" t="n">
        <f aca="false">IF($Q$230&gt;0,Q223/$Q$230,0)</f>
        <v>0.0083134039403257</v>
      </c>
    </row>
    <row r="224" customFormat="false" ht="15" hidden="false" customHeight="false" outlineLevel="0" collapsed="false">
      <c r="A224" s="26" t="str">
        <f aca="false">'Task Breakdown'!A652</f>
        <v>PM-3.01.02</v>
      </c>
      <c r="B224" s="27" t="str">
        <f aca="false">'Task Breakdown'!G652</f>
        <v>Weekly status reporting and RAID log</v>
      </c>
      <c r="C224" s="28"/>
      <c r="D224" s="28"/>
      <c r="E224" s="29" t="n">
        <f aca="false">'Task Breakdown'!I652</f>
        <v>122</v>
      </c>
      <c r="F224" s="29" t="n">
        <f aca="false">'Task Breakdown'!J652</f>
        <v>0</v>
      </c>
      <c r="G224" s="29" t="n">
        <f aca="false">'Task Breakdown'!K652</f>
        <v>0</v>
      </c>
      <c r="H224" s="29" t="n">
        <f aca="false">'Task Breakdown'!L652</f>
        <v>0</v>
      </c>
      <c r="I224" s="29" t="n">
        <f aca="false">'Task Breakdown'!M652</f>
        <v>0</v>
      </c>
      <c r="J224" s="29" t="n">
        <f aca="false">'Task Breakdown'!N652</f>
        <v>0</v>
      </c>
      <c r="K224" s="29" t="n">
        <f aca="false">'Task Breakdown'!O652</f>
        <v>0</v>
      </c>
      <c r="L224" s="29" t="n">
        <f aca="false">'Task Breakdown'!P652</f>
        <v>0</v>
      </c>
      <c r="M224" s="29" t="n">
        <f aca="false">'Task Breakdown'!Q652</f>
        <v>0</v>
      </c>
      <c r="N224" s="29" t="n">
        <f aca="false">'Task Breakdown'!R652</f>
        <v>0</v>
      </c>
      <c r="O224" s="29" t="n">
        <f aca="false">'Task Breakdown'!S652</f>
        <v>0</v>
      </c>
      <c r="P224" s="29" t="n">
        <f aca="false">'Task Breakdown'!T652</f>
        <v>0</v>
      </c>
      <c r="Q224" s="30" t="n">
        <f aca="false">SUM(E224:P224)</f>
        <v>122</v>
      </c>
      <c r="R224" s="31" t="n">
        <f aca="false">IF($Q$230&gt;0,Q224/$Q$230,0)</f>
        <v>0.0138936339824621</v>
      </c>
    </row>
    <row r="225" customFormat="false" ht="15" hidden="false" customHeight="false" outlineLevel="0" collapsed="false">
      <c r="A225" s="26" t="str">
        <f aca="false">'Task Breakdown'!A653</f>
        <v>PM-3.01.03</v>
      </c>
      <c r="B225" s="27" t="str">
        <f aca="false">'Task Breakdown'!G653</f>
        <v>Steering committee preparation</v>
      </c>
      <c r="C225" s="28"/>
      <c r="D225" s="28"/>
      <c r="E225" s="29" t="n">
        <f aca="false">'Task Breakdown'!I653</f>
        <v>73</v>
      </c>
      <c r="F225" s="29" t="n">
        <f aca="false">'Task Breakdown'!J653</f>
        <v>0</v>
      </c>
      <c r="G225" s="29" t="n">
        <f aca="false">'Task Breakdown'!K653</f>
        <v>0</v>
      </c>
      <c r="H225" s="29" t="n">
        <f aca="false">'Task Breakdown'!L653</f>
        <v>0</v>
      </c>
      <c r="I225" s="29" t="n">
        <f aca="false">'Task Breakdown'!M653</f>
        <v>0</v>
      </c>
      <c r="J225" s="29" t="n">
        <f aca="false">'Task Breakdown'!N653</f>
        <v>0</v>
      </c>
      <c r="K225" s="29" t="n">
        <f aca="false">'Task Breakdown'!O653</f>
        <v>0</v>
      </c>
      <c r="L225" s="29" t="n">
        <f aca="false">'Task Breakdown'!P653</f>
        <v>0</v>
      </c>
      <c r="M225" s="29" t="n">
        <f aca="false">'Task Breakdown'!Q653</f>
        <v>0</v>
      </c>
      <c r="N225" s="29" t="n">
        <f aca="false">'Task Breakdown'!R653</f>
        <v>0</v>
      </c>
      <c r="O225" s="29" t="n">
        <f aca="false">'Task Breakdown'!S653</f>
        <v>0</v>
      </c>
      <c r="P225" s="29" t="n">
        <f aca="false">'Task Breakdown'!T653</f>
        <v>0</v>
      </c>
      <c r="Q225" s="30" t="n">
        <f aca="false">SUM(E225:P225)</f>
        <v>73</v>
      </c>
      <c r="R225" s="31" t="n">
        <f aca="false">IF($Q$230&gt;0,Q225/$Q$230,0)</f>
        <v>0.0083134039403257</v>
      </c>
    </row>
    <row r="226" customFormat="false" ht="15" hidden="false" customHeight="false" outlineLevel="0" collapsed="false">
      <c r="A226" s="26" t="str">
        <f aca="false">'Task Breakdown'!A654</f>
        <v>PM-3.01.04</v>
      </c>
      <c r="B226" s="27" t="str">
        <f aca="false">'Task Breakdown'!G654</f>
        <v>Architecture design authority reviews</v>
      </c>
      <c r="C226" s="28"/>
      <c r="D226" s="28"/>
      <c r="E226" s="29" t="n">
        <f aca="false">'Task Breakdown'!I654</f>
        <v>0</v>
      </c>
      <c r="F226" s="29" t="n">
        <f aca="false">'Task Breakdown'!J654</f>
        <v>24</v>
      </c>
      <c r="G226" s="29" t="n">
        <f aca="false">'Task Breakdown'!K654</f>
        <v>0</v>
      </c>
      <c r="H226" s="29" t="n">
        <f aca="false">'Task Breakdown'!L654</f>
        <v>0</v>
      </c>
      <c r="I226" s="29" t="n">
        <f aca="false">'Task Breakdown'!M654</f>
        <v>24</v>
      </c>
      <c r="J226" s="29" t="n">
        <f aca="false">'Task Breakdown'!N654</f>
        <v>0</v>
      </c>
      <c r="K226" s="29" t="n">
        <f aca="false">'Task Breakdown'!O654</f>
        <v>0</v>
      </c>
      <c r="L226" s="29" t="n">
        <f aca="false">'Task Breakdown'!P654</f>
        <v>0</v>
      </c>
      <c r="M226" s="29" t="n">
        <f aca="false">'Task Breakdown'!Q654</f>
        <v>0</v>
      </c>
      <c r="N226" s="29" t="n">
        <f aca="false">'Task Breakdown'!R654</f>
        <v>0</v>
      </c>
      <c r="O226" s="29" t="n">
        <f aca="false">'Task Breakdown'!S654</f>
        <v>0</v>
      </c>
      <c r="P226" s="29" t="n">
        <f aca="false">'Task Breakdown'!T654</f>
        <v>0</v>
      </c>
      <c r="Q226" s="30" t="n">
        <f aca="false">SUM(E226:P226)</f>
        <v>48</v>
      </c>
      <c r="R226" s="31" t="n">
        <f aca="false">IF($Q$230&gt;0,Q226/$Q$230,0)</f>
        <v>0.00546634779637855</v>
      </c>
    </row>
    <row r="227" customFormat="false" ht="15" hidden="false" customHeight="false" outlineLevel="0" collapsed="false">
      <c r="A227" s="26" t="str">
        <f aca="false">'Task Breakdown'!A655</f>
        <v>PM-3.01.05</v>
      </c>
      <c r="B227" s="27" t="str">
        <f aca="false">'Task Breakdown'!G655</f>
        <v>Resource and vendor coordination</v>
      </c>
      <c r="C227" s="28"/>
      <c r="D227" s="28"/>
      <c r="E227" s="29" t="n">
        <f aca="false">'Task Breakdown'!I655</f>
        <v>98</v>
      </c>
      <c r="F227" s="29" t="n">
        <f aca="false">'Task Breakdown'!J655</f>
        <v>0</v>
      </c>
      <c r="G227" s="29" t="n">
        <f aca="false">'Task Breakdown'!K655</f>
        <v>0</v>
      </c>
      <c r="H227" s="29" t="n">
        <f aca="false">'Task Breakdown'!L655</f>
        <v>0</v>
      </c>
      <c r="I227" s="29" t="n">
        <f aca="false">'Task Breakdown'!M655</f>
        <v>0</v>
      </c>
      <c r="J227" s="29" t="n">
        <f aca="false">'Task Breakdown'!N655</f>
        <v>0</v>
      </c>
      <c r="K227" s="29" t="n">
        <f aca="false">'Task Breakdown'!O655</f>
        <v>0</v>
      </c>
      <c r="L227" s="29" t="n">
        <f aca="false">'Task Breakdown'!P655</f>
        <v>0</v>
      </c>
      <c r="M227" s="29" t="n">
        <f aca="false">'Task Breakdown'!Q655</f>
        <v>0</v>
      </c>
      <c r="N227" s="29" t="n">
        <f aca="false">'Task Breakdown'!R655</f>
        <v>0</v>
      </c>
      <c r="O227" s="29" t="n">
        <f aca="false">'Task Breakdown'!S655</f>
        <v>0</v>
      </c>
      <c r="P227" s="29" t="n">
        <f aca="false">'Task Breakdown'!T655</f>
        <v>0</v>
      </c>
      <c r="Q227" s="30" t="n">
        <f aca="false">SUM(E227:P227)</f>
        <v>98</v>
      </c>
      <c r="R227" s="31" t="n">
        <f aca="false">IF($Q$230&gt;0,Q227/$Q$230,0)</f>
        <v>0.0111604600842729</v>
      </c>
    </row>
    <row r="228" customFormat="false" ht="15" hidden="false" customHeight="false" outlineLevel="0" collapsed="false">
      <c r="A228" s="9"/>
      <c r="B228" s="10" t="s">
        <v>164</v>
      </c>
      <c r="C228" s="9"/>
      <c r="D228" s="9"/>
      <c r="E228" s="32" t="n">
        <f aca="false">E222</f>
        <v>366</v>
      </c>
      <c r="F228" s="32" t="n">
        <f aca="false">F222</f>
        <v>24</v>
      </c>
      <c r="G228" s="32" t="n">
        <f aca="false">G222</f>
        <v>0</v>
      </c>
      <c r="H228" s="32" t="n">
        <f aca="false">H222</f>
        <v>0</v>
      </c>
      <c r="I228" s="32" t="n">
        <f aca="false">I222</f>
        <v>24</v>
      </c>
      <c r="J228" s="32" t="n">
        <f aca="false">J222</f>
        <v>0</v>
      </c>
      <c r="K228" s="32" t="n">
        <f aca="false">K222</f>
        <v>0</v>
      </c>
      <c r="L228" s="32" t="n">
        <f aca="false">L222</f>
        <v>0</v>
      </c>
      <c r="M228" s="32" t="n">
        <f aca="false">M222</f>
        <v>0</v>
      </c>
      <c r="N228" s="32" t="n">
        <f aca="false">N222</f>
        <v>0</v>
      </c>
      <c r="O228" s="32" t="n">
        <f aca="false">O222</f>
        <v>0</v>
      </c>
      <c r="P228" s="32" t="n">
        <f aca="false">P222</f>
        <v>0</v>
      </c>
      <c r="Q228" s="32" t="n">
        <f aca="false">Q222</f>
        <v>414</v>
      </c>
      <c r="R228" s="33" t="n">
        <f aca="false">IF($Q$230&gt;0,Q228/$Q$230,0)</f>
        <v>0.047147249743765</v>
      </c>
    </row>
    <row r="230" customFormat="false" ht="15" hidden="false" customHeight="false" outlineLevel="0" collapsed="false">
      <c r="A230" s="34"/>
      <c r="B230" s="35" t="s">
        <v>298</v>
      </c>
      <c r="C230" s="34"/>
      <c r="D230" s="34"/>
      <c r="E230" s="36" t="n">
        <f aca="false">E85+E146+E219+E228</f>
        <v>444</v>
      </c>
      <c r="F230" s="36" t="n">
        <f aca="false">F85+F146+F219+F228</f>
        <v>153</v>
      </c>
      <c r="G230" s="36" t="n">
        <f aca="false">G85+G146+G219+G228</f>
        <v>581</v>
      </c>
      <c r="H230" s="36" t="n">
        <f aca="false">H85+H146+H219+H228</f>
        <v>273</v>
      </c>
      <c r="I230" s="36" t="n">
        <f aca="false">I85+I146+I219+I228</f>
        <v>521</v>
      </c>
      <c r="J230" s="36" t="n">
        <f aca="false">J85+J146+J219+J228</f>
        <v>2581</v>
      </c>
      <c r="K230" s="36" t="n">
        <f aca="false">K85+K146+K219+K228</f>
        <v>885</v>
      </c>
      <c r="L230" s="36" t="n">
        <f aca="false">L85+L146+L219+L228</f>
        <v>37</v>
      </c>
      <c r="M230" s="36" t="n">
        <f aca="false">M85+M146+M219+M228</f>
        <v>1306</v>
      </c>
      <c r="N230" s="36" t="n">
        <f aca="false">N85+N146+N219+N228</f>
        <v>795</v>
      </c>
      <c r="O230" s="36" t="n">
        <f aca="false">O85+O146+O219+O228</f>
        <v>983</v>
      </c>
      <c r="P230" s="36" t="n">
        <f aca="false">P85+P146+P219+P228</f>
        <v>222</v>
      </c>
      <c r="Q230" s="36" t="n">
        <f aca="false">Q85+Q146+Q219+Q228</f>
        <v>8781</v>
      </c>
      <c r="R230" s="37" t="n">
        <f aca="false">IF($Q$230&gt;0,Q230/$Q$230,0)</f>
        <v>1</v>
      </c>
    </row>
    <row r="232" customFormat="false" ht="15" hidden="false" customHeight="false" outlineLevel="0" collapsed="false">
      <c r="B232" s="38" t="s">
        <v>166</v>
      </c>
      <c r="Q232" s="39" t="n">
        <f aca="false">IF(Resources!$B$3&gt;0,Q230/Resources!$B$3,0)</f>
        <v>219.525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16" min="5" style="0" width="7"/>
    <col collapsed="false" customWidth="true" hidden="false" outlineLevel="0" max="17" min="17" style="0" width="11"/>
    <col collapsed="false" customWidth="true" hidden="false" outlineLevel="0" max="18" min="18" style="0" width="10"/>
  </cols>
  <sheetData>
    <row r="1" customFormat="false" ht="17.35" hidden="false" customHeight="false" outlineLevel="0" collapsed="false">
      <c r="A1" s="1" t="s">
        <v>299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4" t="s">
        <v>92</v>
      </c>
      <c r="B4" s="4" t="s">
        <v>93</v>
      </c>
      <c r="C4" s="4" t="s">
        <v>94</v>
      </c>
      <c r="D4" s="4" t="s">
        <v>95</v>
      </c>
      <c r="E4" s="4" t="s">
        <v>11</v>
      </c>
      <c r="F4" s="4" t="s">
        <v>13</v>
      </c>
      <c r="G4" s="4" t="s">
        <v>15</v>
      </c>
      <c r="H4" s="4" t="s">
        <v>17</v>
      </c>
      <c r="I4" s="4" t="s">
        <v>19</v>
      </c>
      <c r="J4" s="4" t="s">
        <v>21</v>
      </c>
      <c r="K4" s="4" t="s">
        <v>23</v>
      </c>
      <c r="L4" s="4" t="s">
        <v>25</v>
      </c>
      <c r="M4" s="4" t="s">
        <v>27</v>
      </c>
      <c r="N4" s="4" t="s">
        <v>29</v>
      </c>
      <c r="O4" s="4" t="s">
        <v>31</v>
      </c>
      <c r="P4" s="4" t="s">
        <v>33</v>
      </c>
      <c r="Q4" s="4" t="s">
        <v>9</v>
      </c>
      <c r="R4" s="4" t="s">
        <v>96</v>
      </c>
    </row>
    <row r="5" customFormat="false" ht="15" hidden="false" customHeight="false" outlineLevel="0" collapsed="false">
      <c r="A5" s="21" t="s">
        <v>300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customFormat="false" ht="15" hidden="false" customHeight="false" outlineLevel="0" collapsed="false">
      <c r="A6" s="23" t="s">
        <v>301</v>
      </c>
      <c r="B6" s="23" t="s">
        <v>302</v>
      </c>
      <c r="C6" s="23" t="s">
        <v>43</v>
      </c>
      <c r="D6" s="23" t="s">
        <v>303</v>
      </c>
      <c r="E6" s="24" t="n">
        <f aca="false">SUM(E7:E17)</f>
        <v>0</v>
      </c>
      <c r="F6" s="24" t="n">
        <f aca="false">SUM(F7:F17)</f>
        <v>0</v>
      </c>
      <c r="G6" s="24" t="n">
        <f aca="false">SUM(G7:G17)</f>
        <v>12</v>
      </c>
      <c r="H6" s="24" t="n">
        <f aca="false">SUM(H7:H17)</f>
        <v>0</v>
      </c>
      <c r="I6" s="24" t="n">
        <f aca="false">SUM(I7:I17)</f>
        <v>42</v>
      </c>
      <c r="J6" s="24" t="n">
        <f aca="false">SUM(J7:J17)</f>
        <v>208</v>
      </c>
      <c r="K6" s="24" t="n">
        <f aca="false">SUM(K7:K17)</f>
        <v>0</v>
      </c>
      <c r="L6" s="24" t="n">
        <f aca="false">SUM(L7:L17)</f>
        <v>0</v>
      </c>
      <c r="M6" s="24" t="n">
        <f aca="false">SUM(M7:M17)</f>
        <v>0</v>
      </c>
      <c r="N6" s="24" t="n">
        <f aca="false">SUM(N7:N17)</f>
        <v>24</v>
      </c>
      <c r="O6" s="24" t="n">
        <f aca="false">SUM(O7:O17)</f>
        <v>73</v>
      </c>
      <c r="P6" s="24" t="n">
        <f aca="false">SUM(P7:P17)</f>
        <v>0</v>
      </c>
      <c r="Q6" s="24" t="n">
        <f aca="false">SUM(Q7:Q17)</f>
        <v>359</v>
      </c>
      <c r="R6" s="25" t="n">
        <f aca="false">IF($Q$199&gt;0,Q6/$Q$199,0)</f>
        <v>0.0659805182870796</v>
      </c>
    </row>
    <row r="7" customFormat="false" ht="23.85" hidden="false" customHeight="false" outlineLevel="0" collapsed="false">
      <c r="A7" s="26" t="str">
        <f aca="false">'Task Breakdown'!A198</f>
        <v>PS-4.01.01</v>
      </c>
      <c r="B7" s="27" t="str">
        <f aca="false">'Task Breakdown'!G198</f>
        <v>Define evaluation metrics per use case (groundedness, relevance, correctness, safety)</v>
      </c>
      <c r="C7" s="28"/>
      <c r="D7" s="28"/>
      <c r="E7" s="29" t="n">
        <f aca="false">'Task Breakdown'!I198</f>
        <v>0</v>
      </c>
      <c r="F7" s="29" t="n">
        <f aca="false">'Task Breakdown'!J198</f>
        <v>0</v>
      </c>
      <c r="G7" s="29" t="n">
        <f aca="false">'Task Breakdown'!K198</f>
        <v>0</v>
      </c>
      <c r="H7" s="29" t="n">
        <f aca="false">'Task Breakdown'!L198</f>
        <v>0</v>
      </c>
      <c r="I7" s="29" t="n">
        <f aca="false">'Task Breakdown'!M198</f>
        <v>12</v>
      </c>
      <c r="J7" s="29" t="n">
        <f aca="false">'Task Breakdown'!N198</f>
        <v>0</v>
      </c>
      <c r="K7" s="29" t="n">
        <f aca="false">'Task Breakdown'!O198</f>
        <v>0</v>
      </c>
      <c r="L7" s="29" t="n">
        <f aca="false">'Task Breakdown'!P198</f>
        <v>0</v>
      </c>
      <c r="M7" s="29" t="n">
        <f aca="false">'Task Breakdown'!Q198</f>
        <v>0</v>
      </c>
      <c r="N7" s="29" t="n">
        <f aca="false">'Task Breakdown'!R198</f>
        <v>12</v>
      </c>
      <c r="O7" s="29" t="n">
        <f aca="false">'Task Breakdown'!S198</f>
        <v>0</v>
      </c>
      <c r="P7" s="29" t="n">
        <f aca="false">'Task Breakdown'!T198</f>
        <v>0</v>
      </c>
      <c r="Q7" s="30" t="n">
        <f aca="false">SUM(E7:P7)</f>
        <v>24</v>
      </c>
      <c r="R7" s="31" t="n">
        <f aca="false">IF($Q$199&gt;0,Q7/$Q$199,0)</f>
        <v>0.00441095386877412</v>
      </c>
    </row>
    <row r="8" customFormat="false" ht="15" hidden="false" customHeight="false" outlineLevel="0" collapsed="false">
      <c r="A8" s="26" t="str">
        <f aca="false">'Task Breakdown'!A199</f>
        <v>PS-4.01.02</v>
      </c>
      <c r="B8" s="27" t="str">
        <f aca="false">'Task Breakdown'!G199</f>
        <v>Set up Azure AI evaluation SDK and RAGAS pipeline</v>
      </c>
      <c r="C8" s="28"/>
      <c r="D8" s="28"/>
      <c r="E8" s="29" t="n">
        <f aca="false">'Task Breakdown'!I199</f>
        <v>0</v>
      </c>
      <c r="F8" s="29" t="n">
        <f aca="false">'Task Breakdown'!J199</f>
        <v>0</v>
      </c>
      <c r="G8" s="29" t="n">
        <f aca="false">'Task Breakdown'!K199</f>
        <v>0</v>
      </c>
      <c r="H8" s="29" t="n">
        <f aca="false">'Task Breakdown'!L199</f>
        <v>0</v>
      </c>
      <c r="I8" s="29" t="n">
        <f aca="false">'Task Breakdown'!M199</f>
        <v>0</v>
      </c>
      <c r="J8" s="29" t="n">
        <f aca="false">'Task Breakdown'!N199</f>
        <v>49</v>
      </c>
      <c r="K8" s="29" t="n">
        <f aca="false">'Task Breakdown'!O199</f>
        <v>0</v>
      </c>
      <c r="L8" s="29" t="n">
        <f aca="false">'Task Breakdown'!P199</f>
        <v>0</v>
      </c>
      <c r="M8" s="29" t="n">
        <f aca="false">'Task Breakdown'!Q199</f>
        <v>0</v>
      </c>
      <c r="N8" s="29" t="n">
        <f aca="false">'Task Breakdown'!R199</f>
        <v>0</v>
      </c>
      <c r="O8" s="29" t="n">
        <f aca="false">'Task Breakdown'!S199</f>
        <v>0</v>
      </c>
      <c r="P8" s="29" t="n">
        <f aca="false">'Task Breakdown'!T199</f>
        <v>0</v>
      </c>
      <c r="Q8" s="30" t="n">
        <f aca="false">SUM(E8:P8)</f>
        <v>49</v>
      </c>
      <c r="R8" s="31" t="n">
        <f aca="false">IF($Q$199&gt;0,Q8/$Q$199,0)</f>
        <v>0.0090056974820805</v>
      </c>
    </row>
    <row r="9" customFormat="false" ht="15" hidden="false" customHeight="false" outlineLevel="0" collapsed="false">
      <c r="A9" s="26" t="str">
        <f aca="false">'Task Breakdown'!A200</f>
        <v>PS-4.01.03</v>
      </c>
      <c r="B9" s="27" t="str">
        <f aca="false">'Task Breakdown'!G200</f>
        <v>Build hallucination and groundedness checks</v>
      </c>
      <c r="C9" s="28"/>
      <c r="D9" s="28"/>
      <c r="E9" s="29" t="n">
        <f aca="false">'Task Breakdown'!I200</f>
        <v>0</v>
      </c>
      <c r="F9" s="29" t="n">
        <f aca="false">'Task Breakdown'!J200</f>
        <v>0</v>
      </c>
      <c r="G9" s="29" t="n">
        <f aca="false">'Task Breakdown'!K200</f>
        <v>0</v>
      </c>
      <c r="H9" s="29" t="n">
        <f aca="false">'Task Breakdown'!L200</f>
        <v>0</v>
      </c>
      <c r="I9" s="29" t="n">
        <f aca="false">'Task Breakdown'!M200</f>
        <v>0</v>
      </c>
      <c r="J9" s="29" t="n">
        <f aca="false">'Task Breakdown'!N200</f>
        <v>37</v>
      </c>
      <c r="K9" s="29" t="n">
        <f aca="false">'Task Breakdown'!O200</f>
        <v>0</v>
      </c>
      <c r="L9" s="29" t="n">
        <f aca="false">'Task Breakdown'!P200</f>
        <v>0</v>
      </c>
      <c r="M9" s="29" t="n">
        <f aca="false">'Task Breakdown'!Q200</f>
        <v>0</v>
      </c>
      <c r="N9" s="29" t="n">
        <f aca="false">'Task Breakdown'!R200</f>
        <v>0</v>
      </c>
      <c r="O9" s="29" t="n">
        <f aca="false">'Task Breakdown'!S200</f>
        <v>0</v>
      </c>
      <c r="P9" s="29" t="n">
        <f aca="false">'Task Breakdown'!T200</f>
        <v>0</v>
      </c>
      <c r="Q9" s="30" t="n">
        <f aca="false">SUM(E9:P9)</f>
        <v>37</v>
      </c>
      <c r="R9" s="31" t="n">
        <f aca="false">IF($Q$199&gt;0,Q9/$Q$199,0)</f>
        <v>0.00680022054769344</v>
      </c>
    </row>
    <row r="10" customFormat="false" ht="15" hidden="false" customHeight="false" outlineLevel="0" collapsed="false">
      <c r="A10" s="26" t="str">
        <f aca="false">'Task Breakdown'!A201</f>
        <v>PS-4.01.04</v>
      </c>
      <c r="B10" s="27" t="str">
        <f aca="false">'Task Breakdown'!G201</f>
        <v>Add evaluation gate to CI/CD</v>
      </c>
      <c r="C10" s="28"/>
      <c r="D10" s="28"/>
      <c r="E10" s="29" t="n">
        <f aca="false">'Task Breakdown'!I201</f>
        <v>0</v>
      </c>
      <c r="F10" s="29" t="n">
        <f aca="false">'Task Breakdown'!J201</f>
        <v>0</v>
      </c>
      <c r="G10" s="29" t="n">
        <f aca="false">'Task Breakdown'!K201</f>
        <v>0</v>
      </c>
      <c r="H10" s="29" t="n">
        <f aca="false">'Task Breakdown'!L201</f>
        <v>0</v>
      </c>
      <c r="I10" s="29" t="n">
        <f aca="false">'Task Breakdown'!M201</f>
        <v>0</v>
      </c>
      <c r="J10" s="29" t="n">
        <f aca="false">'Task Breakdown'!N201</f>
        <v>31</v>
      </c>
      <c r="K10" s="29" t="n">
        <f aca="false">'Task Breakdown'!O201</f>
        <v>0</v>
      </c>
      <c r="L10" s="29" t="n">
        <f aca="false">'Task Breakdown'!P201</f>
        <v>0</v>
      </c>
      <c r="M10" s="29" t="n">
        <f aca="false">'Task Breakdown'!Q201</f>
        <v>0</v>
      </c>
      <c r="N10" s="29" t="n">
        <f aca="false">'Task Breakdown'!R201</f>
        <v>0</v>
      </c>
      <c r="O10" s="29" t="n">
        <f aca="false">'Task Breakdown'!S201</f>
        <v>0</v>
      </c>
      <c r="P10" s="29" t="n">
        <f aca="false">'Task Breakdown'!T201</f>
        <v>0</v>
      </c>
      <c r="Q10" s="30" t="n">
        <f aca="false">SUM(E10:P10)</f>
        <v>31</v>
      </c>
      <c r="R10" s="31" t="n">
        <f aca="false">IF($Q$199&gt;0,Q10/$Q$199,0)</f>
        <v>0.00569748208049991</v>
      </c>
    </row>
    <row r="11" customFormat="false" ht="15" hidden="false" customHeight="false" outlineLevel="0" collapsed="false">
      <c r="A11" s="26" t="str">
        <f aca="false">'Task Breakdown'!A202</f>
        <v>PS-4.01.05</v>
      </c>
      <c r="B11" s="27" t="str">
        <f aca="false">'Task Breakdown'!G202</f>
        <v>Run online evaluation on sampled production traffic</v>
      </c>
      <c r="C11" s="28"/>
      <c r="D11" s="28"/>
      <c r="E11" s="29" t="n">
        <f aca="false">'Task Breakdown'!I202</f>
        <v>0</v>
      </c>
      <c r="F11" s="29" t="n">
        <f aca="false">'Task Breakdown'!J202</f>
        <v>0</v>
      </c>
      <c r="G11" s="29" t="n">
        <f aca="false">'Task Breakdown'!K202</f>
        <v>0</v>
      </c>
      <c r="H11" s="29" t="n">
        <f aca="false">'Task Breakdown'!L202</f>
        <v>0</v>
      </c>
      <c r="I11" s="29" t="n">
        <f aca="false">'Task Breakdown'!M202</f>
        <v>0</v>
      </c>
      <c r="J11" s="29" t="n">
        <f aca="false">'Task Breakdown'!N202</f>
        <v>37</v>
      </c>
      <c r="K11" s="29" t="n">
        <f aca="false">'Task Breakdown'!O202</f>
        <v>0</v>
      </c>
      <c r="L11" s="29" t="n">
        <f aca="false">'Task Breakdown'!P202</f>
        <v>0</v>
      </c>
      <c r="M11" s="29" t="n">
        <f aca="false">'Task Breakdown'!Q202</f>
        <v>0</v>
      </c>
      <c r="N11" s="29" t="n">
        <f aca="false">'Task Breakdown'!R202</f>
        <v>0</v>
      </c>
      <c r="O11" s="29" t="n">
        <f aca="false">'Task Breakdown'!S202</f>
        <v>0</v>
      </c>
      <c r="P11" s="29" t="n">
        <f aca="false">'Task Breakdown'!T202</f>
        <v>0</v>
      </c>
      <c r="Q11" s="30" t="n">
        <f aca="false">SUM(E11:P11)</f>
        <v>37</v>
      </c>
      <c r="R11" s="31" t="n">
        <f aca="false">IF($Q$199&gt;0,Q11/$Q$199,0)</f>
        <v>0.00680022054769344</v>
      </c>
    </row>
    <row r="12" customFormat="false" ht="15" hidden="false" customHeight="false" outlineLevel="0" collapsed="false">
      <c r="A12" s="26" t="str">
        <f aca="false">'Task Breakdown'!A203</f>
        <v>PS-4.01.06</v>
      </c>
      <c r="B12" s="27" t="str">
        <f aca="false">'Task Breakdown'!G203</f>
        <v>Build evaluation dashboard</v>
      </c>
      <c r="C12" s="28"/>
      <c r="D12" s="28"/>
      <c r="E12" s="29" t="n">
        <f aca="false">'Task Breakdown'!I203</f>
        <v>0</v>
      </c>
      <c r="F12" s="29" t="n">
        <f aca="false">'Task Breakdown'!J203</f>
        <v>0</v>
      </c>
      <c r="G12" s="29" t="n">
        <f aca="false">'Task Breakdown'!K203</f>
        <v>0</v>
      </c>
      <c r="H12" s="29" t="n">
        <f aca="false">'Task Breakdown'!L203</f>
        <v>0</v>
      </c>
      <c r="I12" s="29" t="n">
        <f aca="false">'Task Breakdown'!M203</f>
        <v>12</v>
      </c>
      <c r="J12" s="29" t="n">
        <f aca="false">'Task Breakdown'!N203</f>
        <v>18</v>
      </c>
      <c r="K12" s="29" t="n">
        <f aca="false">'Task Breakdown'!O203</f>
        <v>0</v>
      </c>
      <c r="L12" s="29" t="n">
        <f aca="false">'Task Breakdown'!P203</f>
        <v>0</v>
      </c>
      <c r="M12" s="29" t="n">
        <f aca="false">'Task Breakdown'!Q203</f>
        <v>0</v>
      </c>
      <c r="N12" s="29" t="n">
        <f aca="false">'Task Breakdown'!R203</f>
        <v>0</v>
      </c>
      <c r="O12" s="29" t="n">
        <f aca="false">'Task Breakdown'!S203</f>
        <v>0</v>
      </c>
      <c r="P12" s="29" t="n">
        <f aca="false">'Task Breakdown'!T203</f>
        <v>0</v>
      </c>
      <c r="Q12" s="30" t="n">
        <f aca="false">SUM(E12:P12)</f>
        <v>30</v>
      </c>
      <c r="R12" s="31" t="n">
        <f aca="false">IF($Q$199&gt;0,Q12/$Q$199,0)</f>
        <v>0.00551369233596765</v>
      </c>
    </row>
    <row r="13" customFormat="false" ht="15" hidden="false" customHeight="false" outlineLevel="0" collapsed="false">
      <c r="A13" s="26" t="str">
        <f aca="false">'Task Breakdown'!A204</f>
        <v>PS-4.01.07</v>
      </c>
      <c r="B13" s="27" t="str">
        <f aca="false">'Task Breakdown'!G204</f>
        <v>Review results with the business</v>
      </c>
      <c r="C13" s="28"/>
      <c r="D13" s="28"/>
      <c r="E13" s="29" t="n">
        <f aca="false">'Task Breakdown'!I204</f>
        <v>0</v>
      </c>
      <c r="F13" s="29" t="n">
        <f aca="false">'Task Breakdown'!J204</f>
        <v>0</v>
      </c>
      <c r="G13" s="29" t="n">
        <f aca="false">'Task Breakdown'!K204</f>
        <v>0</v>
      </c>
      <c r="H13" s="29" t="n">
        <f aca="false">'Task Breakdown'!L204</f>
        <v>0</v>
      </c>
      <c r="I13" s="29" t="n">
        <f aca="false">'Task Breakdown'!M204</f>
        <v>0</v>
      </c>
      <c r="J13" s="29" t="n">
        <f aca="false">'Task Breakdown'!N204</f>
        <v>0</v>
      </c>
      <c r="K13" s="29" t="n">
        <f aca="false">'Task Breakdown'!O204</f>
        <v>0</v>
      </c>
      <c r="L13" s="29" t="n">
        <f aca="false">'Task Breakdown'!P204</f>
        <v>0</v>
      </c>
      <c r="M13" s="29" t="n">
        <f aca="false">'Task Breakdown'!Q204</f>
        <v>0</v>
      </c>
      <c r="N13" s="29" t="n">
        <f aca="false">'Task Breakdown'!R204</f>
        <v>12</v>
      </c>
      <c r="O13" s="29" t="n">
        <f aca="false">'Task Breakdown'!S204</f>
        <v>73</v>
      </c>
      <c r="P13" s="29" t="n">
        <f aca="false">'Task Breakdown'!T204</f>
        <v>0</v>
      </c>
      <c r="Q13" s="30" t="n">
        <f aca="false">SUM(E13:P13)</f>
        <v>85</v>
      </c>
      <c r="R13" s="31" t="n">
        <f aca="false">IF($Q$199&gt;0,Q13/$Q$199,0)</f>
        <v>0.0156221282852417</v>
      </c>
    </row>
    <row r="14" customFormat="false" ht="15" hidden="false" customHeight="false" outlineLevel="0" collapsed="false">
      <c r="A14" s="26" t="str">
        <f aca="false">'Task Breakdown'!A205</f>
        <v>PS-4.01.08</v>
      </c>
      <c r="B14" s="27" t="str">
        <f aca="false">'Task Breakdown'!G205</f>
        <v>Detailed design and design review</v>
      </c>
      <c r="C14" s="28"/>
      <c r="D14" s="28"/>
      <c r="E14" s="29" t="n">
        <f aca="false">'Task Breakdown'!I205</f>
        <v>0</v>
      </c>
      <c r="F14" s="29" t="n">
        <f aca="false">'Task Breakdown'!J205</f>
        <v>0</v>
      </c>
      <c r="G14" s="29" t="n">
        <f aca="false">'Task Breakdown'!K205</f>
        <v>0</v>
      </c>
      <c r="H14" s="29" t="n">
        <f aca="false">'Task Breakdown'!L205</f>
        <v>0</v>
      </c>
      <c r="I14" s="29" t="n">
        <f aca="false">'Task Breakdown'!M205</f>
        <v>18</v>
      </c>
      <c r="J14" s="29" t="n">
        <f aca="false">'Task Breakdown'!N205</f>
        <v>0</v>
      </c>
      <c r="K14" s="29" t="n">
        <f aca="false">'Task Breakdown'!O205</f>
        <v>0</v>
      </c>
      <c r="L14" s="29" t="n">
        <f aca="false">'Task Breakdown'!P205</f>
        <v>0</v>
      </c>
      <c r="M14" s="29" t="n">
        <f aca="false">'Task Breakdown'!Q205</f>
        <v>0</v>
      </c>
      <c r="N14" s="29" t="n">
        <f aca="false">'Task Breakdown'!R205</f>
        <v>0</v>
      </c>
      <c r="O14" s="29" t="n">
        <f aca="false">'Task Breakdown'!S205</f>
        <v>0</v>
      </c>
      <c r="P14" s="29" t="n">
        <f aca="false">'Task Breakdown'!T205</f>
        <v>0</v>
      </c>
      <c r="Q14" s="30" t="n">
        <f aca="false">SUM(E14:P14)</f>
        <v>18</v>
      </c>
      <c r="R14" s="31" t="n">
        <f aca="false">IF($Q$199&gt;0,Q14/$Q$199,0)</f>
        <v>0.00330821540158059</v>
      </c>
    </row>
    <row r="15" customFormat="false" ht="15" hidden="false" customHeight="false" outlineLevel="0" collapsed="false">
      <c r="A15" s="26" t="str">
        <f aca="false">'Task Breakdown'!A206</f>
        <v>PS-4.01.09</v>
      </c>
      <c r="B15" s="27" t="str">
        <f aca="false">'Task Breakdown'!G206</f>
        <v>Promote through dev / test / prod and release</v>
      </c>
      <c r="C15" s="28"/>
      <c r="D15" s="28"/>
      <c r="E15" s="29" t="n">
        <f aca="false">'Task Breakdown'!I206</f>
        <v>0</v>
      </c>
      <c r="F15" s="29" t="n">
        <f aca="false">'Task Breakdown'!J206</f>
        <v>0</v>
      </c>
      <c r="G15" s="29" t="n">
        <f aca="false">'Task Breakdown'!K206</f>
        <v>12</v>
      </c>
      <c r="H15" s="29" t="n">
        <f aca="false">'Task Breakdown'!L206</f>
        <v>0</v>
      </c>
      <c r="I15" s="29" t="n">
        <f aca="false">'Task Breakdown'!M206</f>
        <v>0</v>
      </c>
      <c r="J15" s="29" t="n">
        <f aca="false">'Task Breakdown'!N206</f>
        <v>0</v>
      </c>
      <c r="K15" s="29" t="n">
        <f aca="false">'Task Breakdown'!O206</f>
        <v>0</v>
      </c>
      <c r="L15" s="29" t="n">
        <f aca="false">'Task Breakdown'!P206</f>
        <v>0</v>
      </c>
      <c r="M15" s="29" t="n">
        <f aca="false">'Task Breakdown'!Q206</f>
        <v>0</v>
      </c>
      <c r="N15" s="29" t="n">
        <f aca="false">'Task Breakdown'!R206</f>
        <v>0</v>
      </c>
      <c r="O15" s="29" t="n">
        <f aca="false">'Task Breakdown'!S206</f>
        <v>0</v>
      </c>
      <c r="P15" s="29" t="n">
        <f aca="false">'Task Breakdown'!T206</f>
        <v>0</v>
      </c>
      <c r="Q15" s="30" t="n">
        <f aca="false">SUM(E15:P15)</f>
        <v>12</v>
      </c>
      <c r="R15" s="31" t="n">
        <f aca="false">IF($Q$199&gt;0,Q15/$Q$199,0)</f>
        <v>0.00220547693438706</v>
      </c>
    </row>
    <row r="16" customFormat="false" ht="15" hidden="false" customHeight="false" outlineLevel="0" collapsed="false">
      <c r="A16" s="26" t="str">
        <f aca="false">'Task Breakdown'!A207</f>
        <v>PS-4.01.10</v>
      </c>
      <c r="B16" s="27" t="str">
        <f aca="false">'Task Breakdown'!G207</f>
        <v>Documentation, runbook and knowledge transfer</v>
      </c>
      <c r="C16" s="28"/>
      <c r="D16" s="28"/>
      <c r="E16" s="29" t="n">
        <f aca="false">'Task Breakdown'!I207</f>
        <v>0</v>
      </c>
      <c r="F16" s="29" t="n">
        <f aca="false">'Task Breakdown'!J207</f>
        <v>0</v>
      </c>
      <c r="G16" s="29" t="n">
        <f aca="false">'Task Breakdown'!K207</f>
        <v>0</v>
      </c>
      <c r="H16" s="29" t="n">
        <f aca="false">'Task Breakdown'!L207</f>
        <v>0</v>
      </c>
      <c r="I16" s="29" t="n">
        <f aca="false">'Task Breakdown'!M207</f>
        <v>0</v>
      </c>
      <c r="J16" s="29" t="n">
        <f aca="false">'Task Breakdown'!N207</f>
        <v>12</v>
      </c>
      <c r="K16" s="29" t="n">
        <f aca="false">'Task Breakdown'!O207</f>
        <v>0</v>
      </c>
      <c r="L16" s="29" t="n">
        <f aca="false">'Task Breakdown'!P207</f>
        <v>0</v>
      </c>
      <c r="M16" s="29" t="n">
        <f aca="false">'Task Breakdown'!Q207</f>
        <v>0</v>
      </c>
      <c r="N16" s="29" t="n">
        <f aca="false">'Task Breakdown'!R207</f>
        <v>0</v>
      </c>
      <c r="O16" s="29" t="n">
        <f aca="false">'Task Breakdown'!S207</f>
        <v>0</v>
      </c>
      <c r="P16" s="29" t="n">
        <f aca="false">'Task Breakdown'!T207</f>
        <v>0</v>
      </c>
      <c r="Q16" s="30" t="n">
        <f aca="false">SUM(E16:P16)</f>
        <v>12</v>
      </c>
      <c r="R16" s="31" t="n">
        <f aca="false">IF($Q$199&gt;0,Q16/$Q$199,0)</f>
        <v>0.00220547693438706</v>
      </c>
    </row>
    <row r="17" customFormat="false" ht="15" hidden="false" customHeight="false" outlineLevel="0" collapsed="false">
      <c r="A17" s="26" t="str">
        <f aca="false">'Task Breakdown'!A208</f>
        <v>PS-4.01.11</v>
      </c>
      <c r="B17" s="27" t="str">
        <f aca="false">'Task Breakdown'!G208</f>
        <v>Defect fixing and rework after testing</v>
      </c>
      <c r="C17" s="28"/>
      <c r="D17" s="28"/>
      <c r="E17" s="29" t="n">
        <f aca="false">'Task Breakdown'!I208</f>
        <v>0</v>
      </c>
      <c r="F17" s="29" t="n">
        <f aca="false">'Task Breakdown'!J208</f>
        <v>0</v>
      </c>
      <c r="G17" s="29" t="n">
        <f aca="false">'Task Breakdown'!K208</f>
        <v>0</v>
      </c>
      <c r="H17" s="29" t="n">
        <f aca="false">'Task Breakdown'!L208</f>
        <v>0</v>
      </c>
      <c r="I17" s="29" t="n">
        <f aca="false">'Task Breakdown'!M208</f>
        <v>0</v>
      </c>
      <c r="J17" s="29" t="n">
        <f aca="false">'Task Breakdown'!N208</f>
        <v>24</v>
      </c>
      <c r="K17" s="29" t="n">
        <f aca="false">'Task Breakdown'!O208</f>
        <v>0</v>
      </c>
      <c r="L17" s="29" t="n">
        <f aca="false">'Task Breakdown'!P208</f>
        <v>0</v>
      </c>
      <c r="M17" s="29" t="n">
        <f aca="false">'Task Breakdown'!Q208</f>
        <v>0</v>
      </c>
      <c r="N17" s="29" t="n">
        <f aca="false">'Task Breakdown'!R208</f>
        <v>0</v>
      </c>
      <c r="O17" s="29" t="n">
        <f aca="false">'Task Breakdown'!S208</f>
        <v>0</v>
      </c>
      <c r="P17" s="29" t="n">
        <f aca="false">'Task Breakdown'!T208</f>
        <v>0</v>
      </c>
      <c r="Q17" s="30" t="n">
        <f aca="false">SUM(E17:P17)</f>
        <v>24</v>
      </c>
      <c r="R17" s="31" t="n">
        <f aca="false">IF($Q$199&gt;0,Q17/$Q$199,0)</f>
        <v>0.00441095386877412</v>
      </c>
    </row>
    <row r="18" customFormat="false" ht="15" hidden="false" customHeight="false" outlineLevel="0" collapsed="false">
      <c r="A18" s="23" t="s">
        <v>304</v>
      </c>
      <c r="B18" s="23" t="s">
        <v>305</v>
      </c>
      <c r="C18" s="23" t="s">
        <v>43</v>
      </c>
      <c r="D18" s="23" t="s">
        <v>306</v>
      </c>
      <c r="E18" s="24" t="n">
        <f aca="false">SUM(E19:E27)</f>
        <v>0</v>
      </c>
      <c r="F18" s="24" t="n">
        <f aca="false">SUM(F19:F27)</f>
        <v>0</v>
      </c>
      <c r="G18" s="24" t="n">
        <f aca="false">SUM(G19:G27)</f>
        <v>65</v>
      </c>
      <c r="H18" s="24" t="n">
        <f aca="false">SUM(H19:H27)</f>
        <v>0</v>
      </c>
      <c r="I18" s="24" t="n">
        <f aca="false">SUM(I19:I27)</f>
        <v>6</v>
      </c>
      <c r="J18" s="24" t="n">
        <f aca="false">SUM(J19:J27)</f>
        <v>32</v>
      </c>
      <c r="K18" s="24" t="n">
        <f aca="false">SUM(K19:K27)</f>
        <v>0</v>
      </c>
      <c r="L18" s="24" t="n">
        <f aca="false">SUM(L19:L27)</f>
        <v>0</v>
      </c>
      <c r="M18" s="24" t="n">
        <f aca="false">SUM(M19:M27)</f>
        <v>0</v>
      </c>
      <c r="N18" s="24" t="n">
        <f aca="false">SUM(N19:N27)</f>
        <v>16</v>
      </c>
      <c r="O18" s="24" t="n">
        <f aca="false">SUM(O19:O27)</f>
        <v>0</v>
      </c>
      <c r="P18" s="24" t="n">
        <f aca="false">SUM(P19:P27)</f>
        <v>0</v>
      </c>
      <c r="Q18" s="24" t="n">
        <f aca="false">SUM(Q19:Q27)</f>
        <v>119</v>
      </c>
      <c r="R18" s="25" t="n">
        <f aca="false">IF($Q$199&gt;0,Q18/$Q$199,0)</f>
        <v>0.0218709795993384</v>
      </c>
    </row>
    <row r="19" customFormat="false" ht="15" hidden="false" customHeight="false" outlineLevel="0" collapsed="false">
      <c r="A19" s="26" t="str">
        <f aca="false">'Task Breakdown'!A209</f>
        <v>PS-4.02.01</v>
      </c>
      <c r="B19" s="27" t="str">
        <f aca="false">'Task Breakdown'!G209</f>
        <v>Define cost-allocation tags (team, agent, use case)</v>
      </c>
      <c r="C19" s="28"/>
      <c r="D19" s="28"/>
      <c r="E19" s="29" t="n">
        <f aca="false">'Task Breakdown'!I209</f>
        <v>0</v>
      </c>
      <c r="F19" s="29" t="n">
        <f aca="false">'Task Breakdown'!J209</f>
        <v>0</v>
      </c>
      <c r="G19" s="29" t="n">
        <f aca="false">'Task Breakdown'!K209</f>
        <v>8</v>
      </c>
      <c r="H19" s="29" t="n">
        <f aca="false">'Task Breakdown'!L209</f>
        <v>0</v>
      </c>
      <c r="I19" s="29" t="n">
        <f aca="false">'Task Breakdown'!M209</f>
        <v>0</v>
      </c>
      <c r="J19" s="29" t="n">
        <f aca="false">'Task Breakdown'!N209</f>
        <v>0</v>
      </c>
      <c r="K19" s="29" t="n">
        <f aca="false">'Task Breakdown'!O209</f>
        <v>0</v>
      </c>
      <c r="L19" s="29" t="n">
        <f aca="false">'Task Breakdown'!P209</f>
        <v>0</v>
      </c>
      <c r="M19" s="29" t="n">
        <f aca="false">'Task Breakdown'!Q209</f>
        <v>0</v>
      </c>
      <c r="N19" s="29" t="n">
        <f aca="false">'Task Breakdown'!R209</f>
        <v>8</v>
      </c>
      <c r="O19" s="29" t="n">
        <f aca="false">'Task Breakdown'!S209</f>
        <v>0</v>
      </c>
      <c r="P19" s="29" t="n">
        <f aca="false">'Task Breakdown'!T209</f>
        <v>0</v>
      </c>
      <c r="Q19" s="30" t="n">
        <f aca="false">SUM(E19:P19)</f>
        <v>16</v>
      </c>
      <c r="R19" s="31" t="n">
        <f aca="false">IF($Q$199&gt;0,Q19/$Q$199,0)</f>
        <v>0.00294063591251608</v>
      </c>
    </row>
    <row r="20" customFormat="false" ht="15" hidden="false" customHeight="false" outlineLevel="0" collapsed="false">
      <c r="A20" s="26" t="str">
        <f aca="false">'Task Breakdown'!A210</f>
        <v>PS-4.02.02</v>
      </c>
      <c r="B20" s="27" t="str">
        <f aca="false">'Task Breakdown'!G210</f>
        <v>Capture token metrics per call from the gateway</v>
      </c>
      <c r="C20" s="28"/>
      <c r="D20" s="28"/>
      <c r="E20" s="29" t="n">
        <f aca="false">'Task Breakdown'!I210</f>
        <v>0</v>
      </c>
      <c r="F20" s="29" t="n">
        <f aca="false">'Task Breakdown'!J210</f>
        <v>0</v>
      </c>
      <c r="G20" s="29" t="n">
        <f aca="false">'Task Breakdown'!K210</f>
        <v>0</v>
      </c>
      <c r="H20" s="29" t="n">
        <f aca="false">'Task Breakdown'!L210</f>
        <v>0</v>
      </c>
      <c r="I20" s="29" t="n">
        <f aca="false">'Task Breakdown'!M210</f>
        <v>0</v>
      </c>
      <c r="J20" s="29" t="n">
        <f aca="false">'Task Breakdown'!N210</f>
        <v>16</v>
      </c>
      <c r="K20" s="29" t="n">
        <f aca="false">'Task Breakdown'!O210</f>
        <v>0</v>
      </c>
      <c r="L20" s="29" t="n">
        <f aca="false">'Task Breakdown'!P210</f>
        <v>0</v>
      </c>
      <c r="M20" s="29" t="n">
        <f aca="false">'Task Breakdown'!Q210</f>
        <v>0</v>
      </c>
      <c r="N20" s="29" t="n">
        <f aca="false">'Task Breakdown'!R210</f>
        <v>0</v>
      </c>
      <c r="O20" s="29" t="n">
        <f aca="false">'Task Breakdown'!S210</f>
        <v>0</v>
      </c>
      <c r="P20" s="29" t="n">
        <f aca="false">'Task Breakdown'!T210</f>
        <v>0</v>
      </c>
      <c r="Q20" s="30" t="n">
        <f aca="false">SUM(E20:P20)</f>
        <v>16</v>
      </c>
      <c r="R20" s="31" t="n">
        <f aca="false">IF($Q$199&gt;0,Q20/$Q$199,0)</f>
        <v>0.00294063591251608</v>
      </c>
    </row>
    <row r="21" customFormat="false" ht="15" hidden="false" customHeight="false" outlineLevel="0" collapsed="false">
      <c r="A21" s="26" t="str">
        <f aca="false">'Task Breakdown'!A211</f>
        <v>PS-4.02.03</v>
      </c>
      <c r="B21" s="27" t="str">
        <f aca="false">'Task Breakdown'!G211</f>
        <v>Build usage and chargeback dashboard</v>
      </c>
      <c r="C21" s="28"/>
      <c r="D21" s="28"/>
      <c r="E21" s="29" t="n">
        <f aca="false">'Task Breakdown'!I211</f>
        <v>0</v>
      </c>
      <c r="F21" s="29" t="n">
        <f aca="false">'Task Breakdown'!J211</f>
        <v>0</v>
      </c>
      <c r="G21" s="29" t="n">
        <f aca="false">'Task Breakdown'!K211</f>
        <v>25</v>
      </c>
      <c r="H21" s="29" t="n">
        <f aca="false">'Task Breakdown'!L211</f>
        <v>0</v>
      </c>
      <c r="I21" s="29" t="n">
        <f aca="false">'Task Breakdown'!M211</f>
        <v>0</v>
      </c>
      <c r="J21" s="29" t="n">
        <f aca="false">'Task Breakdown'!N211</f>
        <v>0</v>
      </c>
      <c r="K21" s="29" t="n">
        <f aca="false">'Task Breakdown'!O211</f>
        <v>0</v>
      </c>
      <c r="L21" s="29" t="n">
        <f aca="false">'Task Breakdown'!P211</f>
        <v>0</v>
      </c>
      <c r="M21" s="29" t="n">
        <f aca="false">'Task Breakdown'!Q211</f>
        <v>0</v>
      </c>
      <c r="N21" s="29" t="n">
        <f aca="false">'Task Breakdown'!R211</f>
        <v>0</v>
      </c>
      <c r="O21" s="29" t="n">
        <f aca="false">'Task Breakdown'!S211</f>
        <v>0</v>
      </c>
      <c r="P21" s="29" t="n">
        <f aca="false">'Task Breakdown'!T211</f>
        <v>0</v>
      </c>
      <c r="Q21" s="30" t="n">
        <f aca="false">SUM(E21:P21)</f>
        <v>25</v>
      </c>
      <c r="R21" s="31" t="n">
        <f aca="false">IF($Q$199&gt;0,Q21/$Q$199,0)</f>
        <v>0.00459474361330638</v>
      </c>
    </row>
    <row r="22" customFormat="false" ht="15" hidden="false" customHeight="false" outlineLevel="0" collapsed="false">
      <c r="A22" s="26" t="str">
        <f aca="false">'Task Breakdown'!A212</f>
        <v>PS-4.02.04</v>
      </c>
      <c r="B22" s="27" t="str">
        <f aca="false">'Task Breakdown'!G212</f>
        <v>Configure budgets and alerts per agent</v>
      </c>
      <c r="C22" s="28"/>
      <c r="D22" s="28"/>
      <c r="E22" s="29" t="n">
        <f aca="false">'Task Breakdown'!I212</f>
        <v>0</v>
      </c>
      <c r="F22" s="29" t="n">
        <f aca="false">'Task Breakdown'!J212</f>
        <v>0</v>
      </c>
      <c r="G22" s="29" t="n">
        <f aca="false">'Task Breakdown'!K212</f>
        <v>16</v>
      </c>
      <c r="H22" s="29" t="n">
        <f aca="false">'Task Breakdown'!L212</f>
        <v>0</v>
      </c>
      <c r="I22" s="29" t="n">
        <f aca="false">'Task Breakdown'!M212</f>
        <v>0</v>
      </c>
      <c r="J22" s="29" t="n">
        <f aca="false">'Task Breakdown'!N212</f>
        <v>0</v>
      </c>
      <c r="K22" s="29" t="n">
        <f aca="false">'Task Breakdown'!O212</f>
        <v>0</v>
      </c>
      <c r="L22" s="29" t="n">
        <f aca="false">'Task Breakdown'!P212</f>
        <v>0</v>
      </c>
      <c r="M22" s="29" t="n">
        <f aca="false">'Task Breakdown'!Q212</f>
        <v>0</v>
      </c>
      <c r="N22" s="29" t="n">
        <f aca="false">'Task Breakdown'!R212</f>
        <v>0</v>
      </c>
      <c r="O22" s="29" t="n">
        <f aca="false">'Task Breakdown'!S212</f>
        <v>0</v>
      </c>
      <c r="P22" s="29" t="n">
        <f aca="false">'Task Breakdown'!T212</f>
        <v>0</v>
      </c>
      <c r="Q22" s="30" t="n">
        <f aca="false">SUM(E22:P22)</f>
        <v>16</v>
      </c>
      <c r="R22" s="31" t="n">
        <f aca="false">IF($Q$199&gt;0,Q22/$Q$199,0)</f>
        <v>0.00294063591251608</v>
      </c>
    </row>
    <row r="23" customFormat="false" ht="15" hidden="false" customHeight="false" outlineLevel="0" collapsed="false">
      <c r="A23" s="26" t="str">
        <f aca="false">'Task Breakdown'!A213</f>
        <v>PS-4.02.05</v>
      </c>
      <c r="B23" s="27" t="str">
        <f aca="false">'Task Breakdown'!G213</f>
        <v>Set up monthly usage review</v>
      </c>
      <c r="C23" s="28"/>
      <c r="D23" s="28"/>
      <c r="E23" s="29" t="n">
        <f aca="false">'Task Breakdown'!I213</f>
        <v>0</v>
      </c>
      <c r="F23" s="29" t="n">
        <f aca="false">'Task Breakdown'!J213</f>
        <v>0</v>
      </c>
      <c r="G23" s="29" t="n">
        <f aca="false">'Task Breakdown'!K213</f>
        <v>0</v>
      </c>
      <c r="H23" s="29" t="n">
        <f aca="false">'Task Breakdown'!L213</f>
        <v>0</v>
      </c>
      <c r="I23" s="29" t="n">
        <f aca="false">'Task Breakdown'!M213</f>
        <v>0</v>
      </c>
      <c r="J23" s="29" t="n">
        <f aca="false">'Task Breakdown'!N213</f>
        <v>16</v>
      </c>
      <c r="K23" s="29" t="n">
        <f aca="false">'Task Breakdown'!O213</f>
        <v>0</v>
      </c>
      <c r="L23" s="29" t="n">
        <f aca="false">'Task Breakdown'!P213</f>
        <v>0</v>
      </c>
      <c r="M23" s="29" t="n">
        <f aca="false">'Task Breakdown'!Q213</f>
        <v>0</v>
      </c>
      <c r="N23" s="29" t="n">
        <f aca="false">'Task Breakdown'!R213</f>
        <v>8</v>
      </c>
      <c r="O23" s="29" t="n">
        <f aca="false">'Task Breakdown'!S213</f>
        <v>0</v>
      </c>
      <c r="P23" s="29" t="n">
        <f aca="false">'Task Breakdown'!T213</f>
        <v>0</v>
      </c>
      <c r="Q23" s="30" t="n">
        <f aca="false">SUM(E23:P23)</f>
        <v>24</v>
      </c>
      <c r="R23" s="31" t="n">
        <f aca="false">IF($Q$199&gt;0,Q23/$Q$199,0)</f>
        <v>0.00441095386877412</v>
      </c>
    </row>
    <row r="24" customFormat="false" ht="15" hidden="false" customHeight="false" outlineLevel="0" collapsed="false">
      <c r="A24" s="26" t="str">
        <f aca="false">'Task Breakdown'!A214</f>
        <v>PS-4.02.06</v>
      </c>
      <c r="B24" s="27" t="str">
        <f aca="false">'Task Breakdown'!G214</f>
        <v>Detailed design and design review</v>
      </c>
      <c r="C24" s="28"/>
      <c r="D24" s="28"/>
      <c r="E24" s="29" t="n">
        <f aca="false">'Task Breakdown'!I214</f>
        <v>0</v>
      </c>
      <c r="F24" s="29" t="n">
        <f aca="false">'Task Breakdown'!J214</f>
        <v>0</v>
      </c>
      <c r="G24" s="29" t="n">
        <f aca="false">'Task Breakdown'!K214</f>
        <v>0</v>
      </c>
      <c r="H24" s="29" t="n">
        <f aca="false">'Task Breakdown'!L214</f>
        <v>0</v>
      </c>
      <c r="I24" s="29" t="n">
        <f aca="false">'Task Breakdown'!M214</f>
        <v>6</v>
      </c>
      <c r="J24" s="29" t="n">
        <f aca="false">'Task Breakdown'!N214</f>
        <v>0</v>
      </c>
      <c r="K24" s="29" t="n">
        <f aca="false">'Task Breakdown'!O214</f>
        <v>0</v>
      </c>
      <c r="L24" s="29" t="n">
        <f aca="false">'Task Breakdown'!P214</f>
        <v>0</v>
      </c>
      <c r="M24" s="29" t="n">
        <f aca="false">'Task Breakdown'!Q214</f>
        <v>0</v>
      </c>
      <c r="N24" s="29" t="n">
        <f aca="false">'Task Breakdown'!R214</f>
        <v>0</v>
      </c>
      <c r="O24" s="29" t="n">
        <f aca="false">'Task Breakdown'!S214</f>
        <v>0</v>
      </c>
      <c r="P24" s="29" t="n">
        <f aca="false">'Task Breakdown'!T214</f>
        <v>0</v>
      </c>
      <c r="Q24" s="30" t="n">
        <f aca="false">SUM(E24:P24)</f>
        <v>6</v>
      </c>
      <c r="R24" s="31" t="n">
        <f aca="false">IF($Q$199&gt;0,Q24/$Q$199,0)</f>
        <v>0.00110273846719353</v>
      </c>
    </row>
    <row r="25" customFormat="false" ht="15" hidden="false" customHeight="false" outlineLevel="0" collapsed="false">
      <c r="A25" s="26" t="str">
        <f aca="false">'Task Breakdown'!A215</f>
        <v>PS-4.02.07</v>
      </c>
      <c r="B25" s="27" t="str">
        <f aca="false">'Task Breakdown'!G215</f>
        <v>Promote through dev / test / prod and release</v>
      </c>
      <c r="C25" s="28"/>
      <c r="D25" s="28"/>
      <c r="E25" s="29" t="n">
        <f aca="false">'Task Breakdown'!I215</f>
        <v>0</v>
      </c>
      <c r="F25" s="29" t="n">
        <f aca="false">'Task Breakdown'!J215</f>
        <v>0</v>
      </c>
      <c r="G25" s="29" t="n">
        <f aca="false">'Task Breakdown'!K215</f>
        <v>4</v>
      </c>
      <c r="H25" s="29" t="n">
        <f aca="false">'Task Breakdown'!L215</f>
        <v>0</v>
      </c>
      <c r="I25" s="29" t="n">
        <f aca="false">'Task Breakdown'!M215</f>
        <v>0</v>
      </c>
      <c r="J25" s="29" t="n">
        <f aca="false">'Task Breakdown'!N215</f>
        <v>0</v>
      </c>
      <c r="K25" s="29" t="n">
        <f aca="false">'Task Breakdown'!O215</f>
        <v>0</v>
      </c>
      <c r="L25" s="29" t="n">
        <f aca="false">'Task Breakdown'!P215</f>
        <v>0</v>
      </c>
      <c r="M25" s="29" t="n">
        <f aca="false">'Task Breakdown'!Q215</f>
        <v>0</v>
      </c>
      <c r="N25" s="29" t="n">
        <f aca="false">'Task Breakdown'!R215</f>
        <v>0</v>
      </c>
      <c r="O25" s="29" t="n">
        <f aca="false">'Task Breakdown'!S215</f>
        <v>0</v>
      </c>
      <c r="P25" s="29" t="n">
        <f aca="false">'Task Breakdown'!T215</f>
        <v>0</v>
      </c>
      <c r="Q25" s="30" t="n">
        <f aca="false">SUM(E25:P25)</f>
        <v>4</v>
      </c>
      <c r="R25" s="31" t="n">
        <f aca="false">IF($Q$199&gt;0,Q25/$Q$199,0)</f>
        <v>0.00073515897812902</v>
      </c>
    </row>
    <row r="26" customFormat="false" ht="15" hidden="false" customHeight="false" outlineLevel="0" collapsed="false">
      <c r="A26" s="26" t="str">
        <f aca="false">'Task Breakdown'!A216</f>
        <v>PS-4.02.08</v>
      </c>
      <c r="B26" s="27" t="str">
        <f aca="false">'Task Breakdown'!G216</f>
        <v>Documentation, runbook and knowledge transfer</v>
      </c>
      <c r="C26" s="28"/>
      <c r="D26" s="28"/>
      <c r="E26" s="29" t="n">
        <f aca="false">'Task Breakdown'!I216</f>
        <v>0</v>
      </c>
      <c r="F26" s="29" t="n">
        <f aca="false">'Task Breakdown'!J216</f>
        <v>0</v>
      </c>
      <c r="G26" s="29" t="n">
        <f aca="false">'Task Breakdown'!K216</f>
        <v>4</v>
      </c>
      <c r="H26" s="29" t="n">
        <f aca="false">'Task Breakdown'!L216</f>
        <v>0</v>
      </c>
      <c r="I26" s="29" t="n">
        <f aca="false">'Task Breakdown'!M216</f>
        <v>0</v>
      </c>
      <c r="J26" s="29" t="n">
        <f aca="false">'Task Breakdown'!N216</f>
        <v>0</v>
      </c>
      <c r="K26" s="29" t="n">
        <f aca="false">'Task Breakdown'!O216</f>
        <v>0</v>
      </c>
      <c r="L26" s="29" t="n">
        <f aca="false">'Task Breakdown'!P216</f>
        <v>0</v>
      </c>
      <c r="M26" s="29" t="n">
        <f aca="false">'Task Breakdown'!Q216</f>
        <v>0</v>
      </c>
      <c r="N26" s="29" t="n">
        <f aca="false">'Task Breakdown'!R216</f>
        <v>0</v>
      </c>
      <c r="O26" s="29" t="n">
        <f aca="false">'Task Breakdown'!S216</f>
        <v>0</v>
      </c>
      <c r="P26" s="29" t="n">
        <f aca="false">'Task Breakdown'!T216</f>
        <v>0</v>
      </c>
      <c r="Q26" s="30" t="n">
        <f aca="false">SUM(E26:P26)</f>
        <v>4</v>
      </c>
      <c r="R26" s="31" t="n">
        <f aca="false">IF($Q$199&gt;0,Q26/$Q$199,0)</f>
        <v>0.00073515897812902</v>
      </c>
    </row>
    <row r="27" customFormat="false" ht="15" hidden="false" customHeight="false" outlineLevel="0" collapsed="false">
      <c r="A27" s="26" t="str">
        <f aca="false">'Task Breakdown'!A217</f>
        <v>PS-4.02.09</v>
      </c>
      <c r="B27" s="27" t="str">
        <f aca="false">'Task Breakdown'!G217</f>
        <v>Defect fixing and rework after testing</v>
      </c>
      <c r="C27" s="28"/>
      <c r="D27" s="28"/>
      <c r="E27" s="29" t="n">
        <f aca="false">'Task Breakdown'!I217</f>
        <v>0</v>
      </c>
      <c r="F27" s="29" t="n">
        <f aca="false">'Task Breakdown'!J217</f>
        <v>0</v>
      </c>
      <c r="G27" s="29" t="n">
        <f aca="false">'Task Breakdown'!K217</f>
        <v>8</v>
      </c>
      <c r="H27" s="29" t="n">
        <f aca="false">'Task Breakdown'!L217</f>
        <v>0</v>
      </c>
      <c r="I27" s="29" t="n">
        <f aca="false">'Task Breakdown'!M217</f>
        <v>0</v>
      </c>
      <c r="J27" s="29" t="n">
        <f aca="false">'Task Breakdown'!N217</f>
        <v>0</v>
      </c>
      <c r="K27" s="29" t="n">
        <f aca="false">'Task Breakdown'!O217</f>
        <v>0</v>
      </c>
      <c r="L27" s="29" t="n">
        <f aca="false">'Task Breakdown'!P217</f>
        <v>0</v>
      </c>
      <c r="M27" s="29" t="n">
        <f aca="false">'Task Breakdown'!Q217</f>
        <v>0</v>
      </c>
      <c r="N27" s="29" t="n">
        <f aca="false">'Task Breakdown'!R217</f>
        <v>0</v>
      </c>
      <c r="O27" s="29" t="n">
        <f aca="false">'Task Breakdown'!S217</f>
        <v>0</v>
      </c>
      <c r="P27" s="29" t="n">
        <f aca="false">'Task Breakdown'!T217</f>
        <v>0</v>
      </c>
      <c r="Q27" s="30" t="n">
        <f aca="false">SUM(E27:P27)</f>
        <v>8</v>
      </c>
      <c r="R27" s="31" t="n">
        <f aca="false">IF($Q$199&gt;0,Q27/$Q$199,0)</f>
        <v>0.00147031795625804</v>
      </c>
    </row>
    <row r="28" customFormat="false" ht="15" hidden="false" customHeight="false" outlineLevel="0" collapsed="false">
      <c r="A28" s="23" t="s">
        <v>307</v>
      </c>
      <c r="B28" s="23" t="s">
        <v>308</v>
      </c>
      <c r="C28" s="23" t="s">
        <v>43</v>
      </c>
      <c r="D28" s="23" t="s">
        <v>309</v>
      </c>
      <c r="E28" s="24" t="n">
        <f aca="false">SUM(E29:E37)</f>
        <v>0</v>
      </c>
      <c r="F28" s="24" t="n">
        <f aca="false">SUM(F29:F37)</f>
        <v>0</v>
      </c>
      <c r="G28" s="24" t="n">
        <f aca="false">SUM(G29:G37)</f>
        <v>5</v>
      </c>
      <c r="H28" s="24" t="n">
        <f aca="false">SUM(H29:H37)</f>
        <v>0</v>
      </c>
      <c r="I28" s="24" t="n">
        <f aca="false">SUM(I29:I37)</f>
        <v>8</v>
      </c>
      <c r="J28" s="24" t="n">
        <f aca="false">SUM(J29:J37)</f>
        <v>98</v>
      </c>
      <c r="K28" s="24" t="n">
        <f aca="false">SUM(K29:K37)</f>
        <v>0</v>
      </c>
      <c r="L28" s="24" t="n">
        <f aca="false">SUM(L29:L37)</f>
        <v>0</v>
      </c>
      <c r="M28" s="24" t="n">
        <f aca="false">SUM(M29:M37)</f>
        <v>32</v>
      </c>
      <c r="N28" s="24" t="n">
        <f aca="false">SUM(N29:N37)</f>
        <v>0</v>
      </c>
      <c r="O28" s="24" t="n">
        <f aca="false">SUM(O29:O37)</f>
        <v>16</v>
      </c>
      <c r="P28" s="24" t="n">
        <f aca="false">SUM(P29:P37)</f>
        <v>0</v>
      </c>
      <c r="Q28" s="24" t="n">
        <f aca="false">SUM(Q29:Q37)</f>
        <v>159</v>
      </c>
      <c r="R28" s="25" t="n">
        <f aca="false">IF($Q$199&gt;0,Q28/$Q$199,0)</f>
        <v>0.0292225693806286</v>
      </c>
    </row>
    <row r="29" customFormat="false" ht="15" hidden="false" customHeight="false" outlineLevel="0" collapsed="false">
      <c r="A29" s="26" t="str">
        <f aca="false">'Task Breakdown'!A218</f>
        <v>PS-4.03.01</v>
      </c>
      <c r="B29" s="27" t="str">
        <f aca="false">'Task Breakdown'!G218</f>
        <v>Design experiment framework (traffic split, success metrics)</v>
      </c>
      <c r="C29" s="28"/>
      <c r="D29" s="28"/>
      <c r="E29" s="29" t="n">
        <f aca="false">'Task Breakdown'!I218</f>
        <v>0</v>
      </c>
      <c r="F29" s="29" t="n">
        <f aca="false">'Task Breakdown'!J218</f>
        <v>0</v>
      </c>
      <c r="G29" s="29" t="n">
        <f aca="false">'Task Breakdown'!K218</f>
        <v>0</v>
      </c>
      <c r="H29" s="29" t="n">
        <f aca="false">'Task Breakdown'!L218</f>
        <v>0</v>
      </c>
      <c r="I29" s="29" t="n">
        <f aca="false">'Task Breakdown'!M218</f>
        <v>0</v>
      </c>
      <c r="J29" s="29" t="n">
        <f aca="false">'Task Breakdown'!N218</f>
        <v>16</v>
      </c>
      <c r="K29" s="29" t="n">
        <f aca="false">'Task Breakdown'!O218</f>
        <v>0</v>
      </c>
      <c r="L29" s="29" t="n">
        <f aca="false">'Task Breakdown'!P218</f>
        <v>0</v>
      </c>
      <c r="M29" s="29" t="n">
        <f aca="false">'Task Breakdown'!Q218</f>
        <v>0</v>
      </c>
      <c r="N29" s="29" t="n">
        <f aca="false">'Task Breakdown'!R218</f>
        <v>0</v>
      </c>
      <c r="O29" s="29" t="n">
        <f aca="false">'Task Breakdown'!S218</f>
        <v>0</v>
      </c>
      <c r="P29" s="29" t="n">
        <f aca="false">'Task Breakdown'!T218</f>
        <v>0</v>
      </c>
      <c r="Q29" s="30" t="n">
        <f aca="false">SUM(E29:P29)</f>
        <v>16</v>
      </c>
      <c r="R29" s="31" t="n">
        <f aca="false">IF($Q$199&gt;0,Q29/$Q$199,0)</f>
        <v>0.00294063591251608</v>
      </c>
    </row>
    <row r="30" customFormat="false" ht="15" hidden="false" customHeight="false" outlineLevel="0" collapsed="false">
      <c r="A30" s="26" t="str">
        <f aca="false">'Task Breakdown'!A219</f>
        <v>PS-4.03.02</v>
      </c>
      <c r="B30" s="27" t="str">
        <f aca="false">'Task Breakdown'!G219</f>
        <v>Implement traffic splitting in gateway / orchestrator</v>
      </c>
      <c r="C30" s="28"/>
      <c r="D30" s="28"/>
      <c r="E30" s="29" t="n">
        <f aca="false">'Task Breakdown'!I219</f>
        <v>0</v>
      </c>
      <c r="F30" s="29" t="n">
        <f aca="false">'Task Breakdown'!J219</f>
        <v>0</v>
      </c>
      <c r="G30" s="29" t="n">
        <f aca="false">'Task Breakdown'!K219</f>
        <v>0</v>
      </c>
      <c r="H30" s="29" t="n">
        <f aca="false">'Task Breakdown'!L219</f>
        <v>0</v>
      </c>
      <c r="I30" s="29" t="n">
        <f aca="false">'Task Breakdown'!M219</f>
        <v>0</v>
      </c>
      <c r="J30" s="29" t="n">
        <f aca="false">'Task Breakdown'!N219</f>
        <v>25</v>
      </c>
      <c r="K30" s="29" t="n">
        <f aca="false">'Task Breakdown'!O219</f>
        <v>0</v>
      </c>
      <c r="L30" s="29" t="n">
        <f aca="false">'Task Breakdown'!P219</f>
        <v>0</v>
      </c>
      <c r="M30" s="29" t="n">
        <f aca="false">'Task Breakdown'!Q219</f>
        <v>16</v>
      </c>
      <c r="N30" s="29" t="n">
        <f aca="false">'Task Breakdown'!R219</f>
        <v>0</v>
      </c>
      <c r="O30" s="29" t="n">
        <f aca="false">'Task Breakdown'!S219</f>
        <v>0</v>
      </c>
      <c r="P30" s="29" t="n">
        <f aca="false">'Task Breakdown'!T219</f>
        <v>0</v>
      </c>
      <c r="Q30" s="30" t="n">
        <f aca="false">SUM(E30:P30)</f>
        <v>41</v>
      </c>
      <c r="R30" s="31" t="n">
        <f aca="false">IF($Q$199&gt;0,Q30/$Q$199,0)</f>
        <v>0.00753537952582246</v>
      </c>
    </row>
    <row r="31" customFormat="false" ht="15" hidden="false" customHeight="false" outlineLevel="0" collapsed="false">
      <c r="A31" s="26" t="str">
        <f aca="false">'Task Breakdown'!A220</f>
        <v>PS-4.03.03</v>
      </c>
      <c r="B31" s="27" t="str">
        <f aca="false">'Task Breakdown'!G220</f>
        <v>Build experiment results analysis</v>
      </c>
      <c r="C31" s="28"/>
      <c r="D31" s="28"/>
      <c r="E31" s="29" t="n">
        <f aca="false">'Task Breakdown'!I220</f>
        <v>0</v>
      </c>
      <c r="F31" s="29" t="n">
        <f aca="false">'Task Breakdown'!J220</f>
        <v>0</v>
      </c>
      <c r="G31" s="29" t="n">
        <f aca="false">'Task Breakdown'!K220</f>
        <v>0</v>
      </c>
      <c r="H31" s="29" t="n">
        <f aca="false">'Task Breakdown'!L220</f>
        <v>0</v>
      </c>
      <c r="I31" s="29" t="n">
        <f aca="false">'Task Breakdown'!M220</f>
        <v>0</v>
      </c>
      <c r="J31" s="29" t="n">
        <f aca="false">'Task Breakdown'!N220</f>
        <v>25</v>
      </c>
      <c r="K31" s="29" t="n">
        <f aca="false">'Task Breakdown'!O220</f>
        <v>0</v>
      </c>
      <c r="L31" s="29" t="n">
        <f aca="false">'Task Breakdown'!P220</f>
        <v>0</v>
      </c>
      <c r="M31" s="29" t="n">
        <f aca="false">'Task Breakdown'!Q220</f>
        <v>0</v>
      </c>
      <c r="N31" s="29" t="n">
        <f aca="false">'Task Breakdown'!R220</f>
        <v>0</v>
      </c>
      <c r="O31" s="29" t="n">
        <f aca="false">'Task Breakdown'!S220</f>
        <v>0</v>
      </c>
      <c r="P31" s="29" t="n">
        <f aca="false">'Task Breakdown'!T220</f>
        <v>0</v>
      </c>
      <c r="Q31" s="30" t="n">
        <f aca="false">SUM(E31:P31)</f>
        <v>25</v>
      </c>
      <c r="R31" s="31" t="n">
        <f aca="false">IF($Q$199&gt;0,Q31/$Q$199,0)</f>
        <v>0.00459474361330638</v>
      </c>
    </row>
    <row r="32" customFormat="false" ht="15" hidden="false" customHeight="false" outlineLevel="0" collapsed="false">
      <c r="A32" s="26" t="str">
        <f aca="false">'Task Breakdown'!A221</f>
        <v>PS-4.03.04</v>
      </c>
      <c r="B32" s="27" t="str">
        <f aca="false">'Task Breakdown'!G221</f>
        <v>Build experiment admin screen</v>
      </c>
      <c r="C32" s="28"/>
      <c r="D32" s="28"/>
      <c r="E32" s="29" t="n">
        <f aca="false">'Task Breakdown'!I221</f>
        <v>0</v>
      </c>
      <c r="F32" s="29" t="n">
        <f aca="false">'Task Breakdown'!J221</f>
        <v>0</v>
      </c>
      <c r="G32" s="29" t="n">
        <f aca="false">'Task Breakdown'!K221</f>
        <v>0</v>
      </c>
      <c r="H32" s="29" t="n">
        <f aca="false">'Task Breakdown'!L221</f>
        <v>0</v>
      </c>
      <c r="I32" s="29" t="n">
        <f aca="false">'Task Breakdown'!M221</f>
        <v>0</v>
      </c>
      <c r="J32" s="29" t="n">
        <f aca="false">'Task Breakdown'!N221</f>
        <v>0</v>
      </c>
      <c r="K32" s="29" t="n">
        <f aca="false">'Task Breakdown'!O221</f>
        <v>0</v>
      </c>
      <c r="L32" s="29" t="n">
        <f aca="false">'Task Breakdown'!P221</f>
        <v>0</v>
      </c>
      <c r="M32" s="29" t="n">
        <f aca="false">'Task Breakdown'!Q221</f>
        <v>16</v>
      </c>
      <c r="N32" s="29" t="n">
        <f aca="false">'Task Breakdown'!R221</f>
        <v>0</v>
      </c>
      <c r="O32" s="29" t="n">
        <f aca="false">'Task Breakdown'!S221</f>
        <v>0</v>
      </c>
      <c r="P32" s="29" t="n">
        <f aca="false">'Task Breakdown'!T221</f>
        <v>0</v>
      </c>
      <c r="Q32" s="30" t="n">
        <f aca="false">SUM(E32:P32)</f>
        <v>16</v>
      </c>
      <c r="R32" s="31" t="n">
        <f aca="false">IF($Q$199&gt;0,Q32/$Q$199,0)</f>
        <v>0.00294063591251608</v>
      </c>
    </row>
    <row r="33" customFormat="false" ht="15" hidden="false" customHeight="false" outlineLevel="0" collapsed="false">
      <c r="A33" s="26" t="str">
        <f aca="false">'Task Breakdown'!A222</f>
        <v>PS-4.03.05</v>
      </c>
      <c r="B33" s="27" t="str">
        <f aca="false">'Task Breakdown'!G222</f>
        <v>Run first prompt / model experiment</v>
      </c>
      <c r="C33" s="28"/>
      <c r="D33" s="28"/>
      <c r="E33" s="29" t="n">
        <f aca="false">'Task Breakdown'!I222</f>
        <v>0</v>
      </c>
      <c r="F33" s="29" t="n">
        <f aca="false">'Task Breakdown'!J222</f>
        <v>0</v>
      </c>
      <c r="G33" s="29" t="n">
        <f aca="false">'Task Breakdown'!K222</f>
        <v>0</v>
      </c>
      <c r="H33" s="29" t="n">
        <f aca="false">'Task Breakdown'!L222</f>
        <v>0</v>
      </c>
      <c r="I33" s="29" t="n">
        <f aca="false">'Task Breakdown'!M222</f>
        <v>0</v>
      </c>
      <c r="J33" s="29" t="n">
        <f aca="false">'Task Breakdown'!N222</f>
        <v>16</v>
      </c>
      <c r="K33" s="29" t="n">
        <f aca="false">'Task Breakdown'!O222</f>
        <v>0</v>
      </c>
      <c r="L33" s="29" t="n">
        <f aca="false">'Task Breakdown'!P222</f>
        <v>0</v>
      </c>
      <c r="M33" s="29" t="n">
        <f aca="false">'Task Breakdown'!Q222</f>
        <v>0</v>
      </c>
      <c r="N33" s="29" t="n">
        <f aca="false">'Task Breakdown'!R222</f>
        <v>0</v>
      </c>
      <c r="O33" s="29" t="n">
        <f aca="false">'Task Breakdown'!S222</f>
        <v>16</v>
      </c>
      <c r="P33" s="29" t="n">
        <f aca="false">'Task Breakdown'!T222</f>
        <v>0</v>
      </c>
      <c r="Q33" s="30" t="n">
        <f aca="false">SUM(E33:P33)</f>
        <v>32</v>
      </c>
      <c r="R33" s="31" t="n">
        <f aca="false">IF($Q$199&gt;0,Q33/$Q$199,0)</f>
        <v>0.00588127182503216</v>
      </c>
    </row>
    <row r="34" customFormat="false" ht="15" hidden="false" customHeight="false" outlineLevel="0" collapsed="false">
      <c r="A34" s="26" t="str">
        <f aca="false">'Task Breakdown'!A223</f>
        <v>PS-4.03.06</v>
      </c>
      <c r="B34" s="27" t="str">
        <f aca="false">'Task Breakdown'!G223</f>
        <v>Detailed design and design review</v>
      </c>
      <c r="C34" s="28"/>
      <c r="D34" s="28"/>
      <c r="E34" s="29" t="n">
        <f aca="false">'Task Breakdown'!I223</f>
        <v>0</v>
      </c>
      <c r="F34" s="29" t="n">
        <f aca="false">'Task Breakdown'!J223</f>
        <v>0</v>
      </c>
      <c r="G34" s="29" t="n">
        <f aca="false">'Task Breakdown'!K223</f>
        <v>0</v>
      </c>
      <c r="H34" s="29" t="n">
        <f aca="false">'Task Breakdown'!L223</f>
        <v>0</v>
      </c>
      <c r="I34" s="29" t="n">
        <f aca="false">'Task Breakdown'!M223</f>
        <v>8</v>
      </c>
      <c r="J34" s="29" t="n">
        <f aca="false">'Task Breakdown'!N223</f>
        <v>0</v>
      </c>
      <c r="K34" s="29" t="n">
        <f aca="false">'Task Breakdown'!O223</f>
        <v>0</v>
      </c>
      <c r="L34" s="29" t="n">
        <f aca="false">'Task Breakdown'!P223</f>
        <v>0</v>
      </c>
      <c r="M34" s="29" t="n">
        <f aca="false">'Task Breakdown'!Q223</f>
        <v>0</v>
      </c>
      <c r="N34" s="29" t="n">
        <f aca="false">'Task Breakdown'!R223</f>
        <v>0</v>
      </c>
      <c r="O34" s="29" t="n">
        <f aca="false">'Task Breakdown'!S223</f>
        <v>0</v>
      </c>
      <c r="P34" s="29" t="n">
        <f aca="false">'Task Breakdown'!T223</f>
        <v>0</v>
      </c>
      <c r="Q34" s="30" t="n">
        <f aca="false">SUM(E34:P34)</f>
        <v>8</v>
      </c>
      <c r="R34" s="31" t="n">
        <f aca="false">IF($Q$199&gt;0,Q34/$Q$199,0)</f>
        <v>0.00147031795625804</v>
      </c>
    </row>
    <row r="35" customFormat="false" ht="15" hidden="false" customHeight="false" outlineLevel="0" collapsed="false">
      <c r="A35" s="26" t="str">
        <f aca="false">'Task Breakdown'!A224</f>
        <v>PS-4.03.07</v>
      </c>
      <c r="B35" s="27" t="str">
        <f aca="false">'Task Breakdown'!G224</f>
        <v>Promote through dev / test / prod and release</v>
      </c>
      <c r="C35" s="28"/>
      <c r="D35" s="28"/>
      <c r="E35" s="29" t="n">
        <f aca="false">'Task Breakdown'!I224</f>
        <v>0</v>
      </c>
      <c r="F35" s="29" t="n">
        <f aca="false">'Task Breakdown'!J224</f>
        <v>0</v>
      </c>
      <c r="G35" s="29" t="n">
        <f aca="false">'Task Breakdown'!K224</f>
        <v>5</v>
      </c>
      <c r="H35" s="29" t="n">
        <f aca="false">'Task Breakdown'!L224</f>
        <v>0</v>
      </c>
      <c r="I35" s="29" t="n">
        <f aca="false">'Task Breakdown'!M224</f>
        <v>0</v>
      </c>
      <c r="J35" s="29" t="n">
        <f aca="false">'Task Breakdown'!N224</f>
        <v>0</v>
      </c>
      <c r="K35" s="29" t="n">
        <f aca="false">'Task Breakdown'!O224</f>
        <v>0</v>
      </c>
      <c r="L35" s="29" t="n">
        <f aca="false">'Task Breakdown'!P224</f>
        <v>0</v>
      </c>
      <c r="M35" s="29" t="n">
        <f aca="false">'Task Breakdown'!Q224</f>
        <v>0</v>
      </c>
      <c r="N35" s="29" t="n">
        <f aca="false">'Task Breakdown'!R224</f>
        <v>0</v>
      </c>
      <c r="O35" s="29" t="n">
        <f aca="false">'Task Breakdown'!S224</f>
        <v>0</v>
      </c>
      <c r="P35" s="29" t="n">
        <f aca="false">'Task Breakdown'!T224</f>
        <v>0</v>
      </c>
      <c r="Q35" s="30" t="n">
        <f aca="false">SUM(E35:P35)</f>
        <v>5</v>
      </c>
      <c r="R35" s="31" t="n">
        <f aca="false">IF($Q$199&gt;0,Q35/$Q$199,0)</f>
        <v>0.000918948722661276</v>
      </c>
    </row>
    <row r="36" customFormat="false" ht="15" hidden="false" customHeight="false" outlineLevel="0" collapsed="false">
      <c r="A36" s="26" t="str">
        <f aca="false">'Task Breakdown'!A225</f>
        <v>PS-4.03.08</v>
      </c>
      <c r="B36" s="27" t="str">
        <f aca="false">'Task Breakdown'!G225</f>
        <v>Documentation, runbook and knowledge transfer</v>
      </c>
      <c r="C36" s="28"/>
      <c r="D36" s="28"/>
      <c r="E36" s="29" t="n">
        <f aca="false">'Task Breakdown'!I225</f>
        <v>0</v>
      </c>
      <c r="F36" s="29" t="n">
        <f aca="false">'Task Breakdown'!J225</f>
        <v>0</v>
      </c>
      <c r="G36" s="29" t="n">
        <f aca="false">'Task Breakdown'!K225</f>
        <v>0</v>
      </c>
      <c r="H36" s="29" t="n">
        <f aca="false">'Task Breakdown'!L225</f>
        <v>0</v>
      </c>
      <c r="I36" s="29" t="n">
        <f aca="false">'Task Breakdown'!M225</f>
        <v>0</v>
      </c>
      <c r="J36" s="29" t="n">
        <f aca="false">'Task Breakdown'!N225</f>
        <v>5</v>
      </c>
      <c r="K36" s="29" t="n">
        <f aca="false">'Task Breakdown'!O225</f>
        <v>0</v>
      </c>
      <c r="L36" s="29" t="n">
        <f aca="false">'Task Breakdown'!P225</f>
        <v>0</v>
      </c>
      <c r="M36" s="29" t="n">
        <f aca="false">'Task Breakdown'!Q225</f>
        <v>0</v>
      </c>
      <c r="N36" s="29" t="n">
        <f aca="false">'Task Breakdown'!R225</f>
        <v>0</v>
      </c>
      <c r="O36" s="29" t="n">
        <f aca="false">'Task Breakdown'!S225</f>
        <v>0</v>
      </c>
      <c r="P36" s="29" t="n">
        <f aca="false">'Task Breakdown'!T225</f>
        <v>0</v>
      </c>
      <c r="Q36" s="30" t="n">
        <f aca="false">SUM(E36:P36)</f>
        <v>5</v>
      </c>
      <c r="R36" s="31" t="n">
        <f aca="false">IF($Q$199&gt;0,Q36/$Q$199,0)</f>
        <v>0.000918948722661276</v>
      </c>
    </row>
    <row r="37" customFormat="false" ht="15" hidden="false" customHeight="false" outlineLevel="0" collapsed="false">
      <c r="A37" s="26" t="str">
        <f aca="false">'Task Breakdown'!A226</f>
        <v>PS-4.03.09</v>
      </c>
      <c r="B37" s="27" t="str">
        <f aca="false">'Task Breakdown'!G226</f>
        <v>Defect fixing and rework after testing</v>
      </c>
      <c r="C37" s="28"/>
      <c r="D37" s="28"/>
      <c r="E37" s="29" t="n">
        <f aca="false">'Task Breakdown'!I226</f>
        <v>0</v>
      </c>
      <c r="F37" s="29" t="n">
        <f aca="false">'Task Breakdown'!J226</f>
        <v>0</v>
      </c>
      <c r="G37" s="29" t="n">
        <f aca="false">'Task Breakdown'!K226</f>
        <v>0</v>
      </c>
      <c r="H37" s="29" t="n">
        <f aca="false">'Task Breakdown'!L226</f>
        <v>0</v>
      </c>
      <c r="I37" s="29" t="n">
        <f aca="false">'Task Breakdown'!M226</f>
        <v>0</v>
      </c>
      <c r="J37" s="29" t="n">
        <f aca="false">'Task Breakdown'!N226</f>
        <v>11</v>
      </c>
      <c r="K37" s="29" t="n">
        <f aca="false">'Task Breakdown'!O226</f>
        <v>0</v>
      </c>
      <c r="L37" s="29" t="n">
        <f aca="false">'Task Breakdown'!P226</f>
        <v>0</v>
      </c>
      <c r="M37" s="29" t="n">
        <f aca="false">'Task Breakdown'!Q226</f>
        <v>0</v>
      </c>
      <c r="N37" s="29" t="n">
        <f aca="false">'Task Breakdown'!R226</f>
        <v>0</v>
      </c>
      <c r="O37" s="29" t="n">
        <f aca="false">'Task Breakdown'!S226</f>
        <v>0</v>
      </c>
      <c r="P37" s="29" t="n">
        <f aca="false">'Task Breakdown'!T226</f>
        <v>0</v>
      </c>
      <c r="Q37" s="30" t="n">
        <f aca="false">SUM(E37:P37)</f>
        <v>11</v>
      </c>
      <c r="R37" s="31" t="n">
        <f aca="false">IF($Q$199&gt;0,Q37/$Q$199,0)</f>
        <v>0.00202168718985481</v>
      </c>
    </row>
    <row r="38" customFormat="false" ht="15" hidden="false" customHeight="false" outlineLevel="0" collapsed="false">
      <c r="A38" s="23" t="s">
        <v>310</v>
      </c>
      <c r="B38" s="23" t="s">
        <v>311</v>
      </c>
      <c r="C38" s="23" t="s">
        <v>42</v>
      </c>
      <c r="D38" s="23" t="s">
        <v>312</v>
      </c>
      <c r="E38" s="24" t="n">
        <f aca="false">SUM(E39:E49)</f>
        <v>0</v>
      </c>
      <c r="F38" s="24" t="n">
        <f aca="false">SUM(F39:F49)</f>
        <v>36</v>
      </c>
      <c r="G38" s="24" t="n">
        <f aca="false">SUM(G39:G49)</f>
        <v>155</v>
      </c>
      <c r="H38" s="24" t="n">
        <f aca="false">SUM(H39:H49)</f>
        <v>0</v>
      </c>
      <c r="I38" s="24" t="n">
        <f aca="false">SUM(I39:I49)</f>
        <v>0</v>
      </c>
      <c r="J38" s="24" t="n">
        <f aca="false">SUM(J39:J49)</f>
        <v>0</v>
      </c>
      <c r="K38" s="24" t="n">
        <f aca="false">SUM(K39:K49)</f>
        <v>0</v>
      </c>
      <c r="L38" s="24" t="n">
        <f aca="false">SUM(L39:L49)</f>
        <v>0</v>
      </c>
      <c r="M38" s="24" t="n">
        <f aca="false">SUM(M39:M49)</f>
        <v>0</v>
      </c>
      <c r="N38" s="24" t="n">
        <f aca="false">SUM(N39:N49)</f>
        <v>0</v>
      </c>
      <c r="O38" s="24" t="n">
        <f aca="false">SUM(O39:O49)</f>
        <v>49</v>
      </c>
      <c r="P38" s="24" t="n">
        <f aca="false">SUM(P39:P49)</f>
        <v>0</v>
      </c>
      <c r="Q38" s="24" t="n">
        <f aca="false">SUM(Q39:Q49)</f>
        <v>240</v>
      </c>
      <c r="R38" s="25" t="n">
        <f aca="false">IF($Q$199&gt;0,Q38/$Q$199,0)</f>
        <v>0.0441095386877412</v>
      </c>
    </row>
    <row r="39" customFormat="false" ht="15" hidden="false" customHeight="false" outlineLevel="0" collapsed="false">
      <c r="A39" s="26" t="str">
        <f aca="false">'Task Breakdown'!A227</f>
        <v>PS-4.04.01</v>
      </c>
      <c r="B39" s="27" t="str">
        <f aca="false">'Task Breakdown'!G227</f>
        <v>Define RPO / RTO per component</v>
      </c>
      <c r="C39" s="28"/>
      <c r="D39" s="28"/>
      <c r="E39" s="29" t="n">
        <f aca="false">'Task Breakdown'!I227</f>
        <v>0</v>
      </c>
      <c r="F39" s="29" t="n">
        <f aca="false">'Task Breakdown'!J227</f>
        <v>18</v>
      </c>
      <c r="G39" s="29" t="n">
        <f aca="false">'Task Breakdown'!K227</f>
        <v>0</v>
      </c>
      <c r="H39" s="29" t="n">
        <f aca="false">'Task Breakdown'!L227</f>
        <v>0</v>
      </c>
      <c r="I39" s="29" t="n">
        <f aca="false">'Task Breakdown'!M227</f>
        <v>0</v>
      </c>
      <c r="J39" s="29" t="n">
        <f aca="false">'Task Breakdown'!N227</f>
        <v>0</v>
      </c>
      <c r="K39" s="29" t="n">
        <f aca="false">'Task Breakdown'!O227</f>
        <v>0</v>
      </c>
      <c r="L39" s="29" t="n">
        <f aca="false">'Task Breakdown'!P227</f>
        <v>0</v>
      </c>
      <c r="M39" s="29" t="n">
        <f aca="false">'Task Breakdown'!Q227</f>
        <v>0</v>
      </c>
      <c r="N39" s="29" t="n">
        <f aca="false">'Task Breakdown'!R227</f>
        <v>0</v>
      </c>
      <c r="O39" s="29" t="n">
        <f aca="false">'Task Breakdown'!S227</f>
        <v>0</v>
      </c>
      <c r="P39" s="29" t="n">
        <f aca="false">'Task Breakdown'!T227</f>
        <v>0</v>
      </c>
      <c r="Q39" s="30" t="n">
        <f aca="false">SUM(E39:P39)</f>
        <v>18</v>
      </c>
      <c r="R39" s="31" t="n">
        <f aca="false">IF($Q$199&gt;0,Q39/$Q$199,0)</f>
        <v>0.00330821540158059</v>
      </c>
    </row>
    <row r="40" customFormat="false" ht="15" hidden="false" customHeight="false" outlineLevel="0" collapsed="false">
      <c r="A40" s="26" t="str">
        <f aca="false">'Task Breakdown'!A228</f>
        <v>PS-4.04.02</v>
      </c>
      <c r="B40" s="27" t="str">
        <f aca="false">'Task Breakdown'!G228</f>
        <v>Configure database backups and point-in-time restore</v>
      </c>
      <c r="C40" s="28"/>
      <c r="D40" s="28"/>
      <c r="E40" s="29" t="n">
        <f aca="false">'Task Breakdown'!I228</f>
        <v>0</v>
      </c>
      <c r="F40" s="29" t="n">
        <f aca="false">'Task Breakdown'!J228</f>
        <v>0</v>
      </c>
      <c r="G40" s="29" t="n">
        <f aca="false">'Task Breakdown'!K228</f>
        <v>25</v>
      </c>
      <c r="H40" s="29" t="n">
        <f aca="false">'Task Breakdown'!L228</f>
        <v>0</v>
      </c>
      <c r="I40" s="29" t="n">
        <f aca="false">'Task Breakdown'!M228</f>
        <v>0</v>
      </c>
      <c r="J40" s="29" t="n">
        <f aca="false">'Task Breakdown'!N228</f>
        <v>0</v>
      </c>
      <c r="K40" s="29" t="n">
        <f aca="false">'Task Breakdown'!O228</f>
        <v>0</v>
      </c>
      <c r="L40" s="29" t="n">
        <f aca="false">'Task Breakdown'!P228</f>
        <v>0</v>
      </c>
      <c r="M40" s="29" t="n">
        <f aca="false">'Task Breakdown'!Q228</f>
        <v>0</v>
      </c>
      <c r="N40" s="29" t="n">
        <f aca="false">'Task Breakdown'!R228</f>
        <v>0</v>
      </c>
      <c r="O40" s="29" t="n">
        <f aca="false">'Task Breakdown'!S228</f>
        <v>0</v>
      </c>
      <c r="P40" s="29" t="n">
        <f aca="false">'Task Breakdown'!T228</f>
        <v>0</v>
      </c>
      <c r="Q40" s="30" t="n">
        <f aca="false">SUM(E40:P40)</f>
        <v>25</v>
      </c>
      <c r="R40" s="31" t="n">
        <f aca="false">IF($Q$199&gt;0,Q40/$Q$199,0)</f>
        <v>0.00459474361330638</v>
      </c>
    </row>
    <row r="41" customFormat="false" ht="15" hidden="false" customHeight="false" outlineLevel="0" collapsed="false">
      <c r="A41" s="26" t="str">
        <f aca="false">'Task Breakdown'!A229</f>
        <v>PS-4.04.03</v>
      </c>
      <c r="B41" s="27" t="str">
        <f aca="false">'Task Breakdown'!G229</f>
        <v>Configure storage geo-redundancy and soft delete</v>
      </c>
      <c r="C41" s="28"/>
      <c r="D41" s="28"/>
      <c r="E41" s="29" t="n">
        <f aca="false">'Task Breakdown'!I229</f>
        <v>0</v>
      </c>
      <c r="F41" s="29" t="n">
        <f aca="false">'Task Breakdown'!J229</f>
        <v>0</v>
      </c>
      <c r="G41" s="29" t="n">
        <f aca="false">'Task Breakdown'!K229</f>
        <v>18</v>
      </c>
      <c r="H41" s="29" t="n">
        <f aca="false">'Task Breakdown'!L229</f>
        <v>0</v>
      </c>
      <c r="I41" s="29" t="n">
        <f aca="false">'Task Breakdown'!M229</f>
        <v>0</v>
      </c>
      <c r="J41" s="29" t="n">
        <f aca="false">'Task Breakdown'!N229</f>
        <v>0</v>
      </c>
      <c r="K41" s="29" t="n">
        <f aca="false">'Task Breakdown'!O229</f>
        <v>0</v>
      </c>
      <c r="L41" s="29" t="n">
        <f aca="false">'Task Breakdown'!P229</f>
        <v>0</v>
      </c>
      <c r="M41" s="29" t="n">
        <f aca="false">'Task Breakdown'!Q229</f>
        <v>0</v>
      </c>
      <c r="N41" s="29" t="n">
        <f aca="false">'Task Breakdown'!R229</f>
        <v>0</v>
      </c>
      <c r="O41" s="29" t="n">
        <f aca="false">'Task Breakdown'!S229</f>
        <v>0</v>
      </c>
      <c r="P41" s="29" t="n">
        <f aca="false">'Task Breakdown'!T229</f>
        <v>0</v>
      </c>
      <c r="Q41" s="30" t="n">
        <f aca="false">SUM(E41:P41)</f>
        <v>18</v>
      </c>
      <c r="R41" s="31" t="n">
        <f aca="false">IF($Q$199&gt;0,Q41/$Q$199,0)</f>
        <v>0.00330821540158059</v>
      </c>
    </row>
    <row r="42" customFormat="false" ht="15" hidden="false" customHeight="false" outlineLevel="0" collapsed="false">
      <c r="A42" s="26" t="str">
        <f aca="false">'Task Breakdown'!A230</f>
        <v>PS-4.04.04</v>
      </c>
      <c r="B42" s="27" t="str">
        <f aca="false">'Task Breakdown'!G230</f>
        <v>Back up AI Search indexes and configuration as code</v>
      </c>
      <c r="C42" s="28"/>
      <c r="D42" s="28"/>
      <c r="E42" s="29" t="n">
        <f aca="false">'Task Breakdown'!I230</f>
        <v>0</v>
      </c>
      <c r="F42" s="29" t="n">
        <f aca="false">'Task Breakdown'!J230</f>
        <v>0</v>
      </c>
      <c r="G42" s="29" t="n">
        <f aca="false">'Task Breakdown'!K230</f>
        <v>31</v>
      </c>
      <c r="H42" s="29" t="n">
        <f aca="false">'Task Breakdown'!L230</f>
        <v>0</v>
      </c>
      <c r="I42" s="29" t="n">
        <f aca="false">'Task Breakdown'!M230</f>
        <v>0</v>
      </c>
      <c r="J42" s="29" t="n">
        <f aca="false">'Task Breakdown'!N230</f>
        <v>0</v>
      </c>
      <c r="K42" s="29" t="n">
        <f aca="false">'Task Breakdown'!O230</f>
        <v>0</v>
      </c>
      <c r="L42" s="29" t="n">
        <f aca="false">'Task Breakdown'!P230</f>
        <v>0</v>
      </c>
      <c r="M42" s="29" t="n">
        <f aca="false">'Task Breakdown'!Q230</f>
        <v>0</v>
      </c>
      <c r="N42" s="29" t="n">
        <f aca="false">'Task Breakdown'!R230</f>
        <v>0</v>
      </c>
      <c r="O42" s="29" t="n">
        <f aca="false">'Task Breakdown'!S230</f>
        <v>0</v>
      </c>
      <c r="P42" s="29" t="n">
        <f aca="false">'Task Breakdown'!T230</f>
        <v>0</v>
      </c>
      <c r="Q42" s="30" t="n">
        <f aca="false">SUM(E42:P42)</f>
        <v>31</v>
      </c>
      <c r="R42" s="31" t="n">
        <f aca="false">IF($Q$199&gt;0,Q42/$Q$199,0)</f>
        <v>0.00569748208049991</v>
      </c>
    </row>
    <row r="43" customFormat="false" ht="15" hidden="false" customHeight="false" outlineLevel="0" collapsed="false">
      <c r="A43" s="26" t="str">
        <f aca="false">'Task Breakdown'!A231</f>
        <v>PS-4.04.05</v>
      </c>
      <c r="B43" s="27" t="str">
        <f aca="false">'Task Breakdown'!G231</f>
        <v>Plan secondary-region deployment</v>
      </c>
      <c r="C43" s="28"/>
      <c r="D43" s="28"/>
      <c r="E43" s="29" t="n">
        <f aca="false">'Task Breakdown'!I231</f>
        <v>0</v>
      </c>
      <c r="F43" s="29" t="n">
        <f aca="false">'Task Breakdown'!J231</f>
        <v>6</v>
      </c>
      <c r="G43" s="29" t="n">
        <f aca="false">'Task Breakdown'!K231</f>
        <v>31</v>
      </c>
      <c r="H43" s="29" t="n">
        <f aca="false">'Task Breakdown'!L231</f>
        <v>0</v>
      </c>
      <c r="I43" s="29" t="n">
        <f aca="false">'Task Breakdown'!M231</f>
        <v>0</v>
      </c>
      <c r="J43" s="29" t="n">
        <f aca="false">'Task Breakdown'!N231</f>
        <v>0</v>
      </c>
      <c r="K43" s="29" t="n">
        <f aca="false">'Task Breakdown'!O231</f>
        <v>0</v>
      </c>
      <c r="L43" s="29" t="n">
        <f aca="false">'Task Breakdown'!P231</f>
        <v>0</v>
      </c>
      <c r="M43" s="29" t="n">
        <f aca="false">'Task Breakdown'!Q231</f>
        <v>0</v>
      </c>
      <c r="N43" s="29" t="n">
        <f aca="false">'Task Breakdown'!R231</f>
        <v>0</v>
      </c>
      <c r="O43" s="29" t="n">
        <f aca="false">'Task Breakdown'!S231</f>
        <v>0</v>
      </c>
      <c r="P43" s="29" t="n">
        <f aca="false">'Task Breakdown'!T231</f>
        <v>0</v>
      </c>
      <c r="Q43" s="30" t="n">
        <f aca="false">SUM(E43:P43)</f>
        <v>37</v>
      </c>
      <c r="R43" s="31" t="n">
        <f aca="false">IF($Q$199&gt;0,Q43/$Q$199,0)</f>
        <v>0.00680022054769344</v>
      </c>
    </row>
    <row r="44" customFormat="false" ht="15" hidden="false" customHeight="false" outlineLevel="0" collapsed="false">
      <c r="A44" s="26" t="str">
        <f aca="false">'Task Breakdown'!A232</f>
        <v>PS-4.04.06</v>
      </c>
      <c r="B44" s="27" t="str">
        <f aca="false">'Task Breakdown'!G232</f>
        <v>Write DR runbook</v>
      </c>
      <c r="C44" s="28"/>
      <c r="D44" s="28"/>
      <c r="E44" s="29" t="n">
        <f aca="false">'Task Breakdown'!I232</f>
        <v>0</v>
      </c>
      <c r="F44" s="29" t="n">
        <f aca="false">'Task Breakdown'!J232</f>
        <v>0</v>
      </c>
      <c r="G44" s="29" t="n">
        <f aca="false">'Task Breakdown'!K232</f>
        <v>18</v>
      </c>
      <c r="H44" s="29" t="n">
        <f aca="false">'Task Breakdown'!L232</f>
        <v>0</v>
      </c>
      <c r="I44" s="29" t="n">
        <f aca="false">'Task Breakdown'!M232</f>
        <v>0</v>
      </c>
      <c r="J44" s="29" t="n">
        <f aca="false">'Task Breakdown'!N232</f>
        <v>0</v>
      </c>
      <c r="K44" s="29" t="n">
        <f aca="false">'Task Breakdown'!O232</f>
        <v>0</v>
      </c>
      <c r="L44" s="29" t="n">
        <f aca="false">'Task Breakdown'!P232</f>
        <v>0</v>
      </c>
      <c r="M44" s="29" t="n">
        <f aca="false">'Task Breakdown'!Q232</f>
        <v>0</v>
      </c>
      <c r="N44" s="29" t="n">
        <f aca="false">'Task Breakdown'!R232</f>
        <v>0</v>
      </c>
      <c r="O44" s="29" t="n">
        <f aca="false">'Task Breakdown'!S232</f>
        <v>0</v>
      </c>
      <c r="P44" s="29" t="n">
        <f aca="false">'Task Breakdown'!T232</f>
        <v>0</v>
      </c>
      <c r="Q44" s="30" t="n">
        <f aca="false">SUM(E44:P44)</f>
        <v>18</v>
      </c>
      <c r="R44" s="31" t="n">
        <f aca="false">IF($Q$199&gt;0,Q44/$Q$199,0)</f>
        <v>0.00330821540158059</v>
      </c>
    </row>
    <row r="45" customFormat="false" ht="15" hidden="false" customHeight="false" outlineLevel="0" collapsed="false">
      <c r="A45" s="26" t="str">
        <f aca="false">'Task Breakdown'!A233</f>
        <v>PS-4.04.07</v>
      </c>
      <c r="B45" s="27" t="str">
        <f aca="false">'Task Breakdown'!G233</f>
        <v>Run DR drill</v>
      </c>
      <c r="C45" s="28"/>
      <c r="D45" s="28"/>
      <c r="E45" s="29" t="n">
        <f aca="false">'Task Breakdown'!I233</f>
        <v>0</v>
      </c>
      <c r="F45" s="29" t="n">
        <f aca="false">'Task Breakdown'!J233</f>
        <v>0</v>
      </c>
      <c r="G45" s="29" t="n">
        <f aca="false">'Task Breakdown'!K233</f>
        <v>0</v>
      </c>
      <c r="H45" s="29" t="n">
        <f aca="false">'Task Breakdown'!L233</f>
        <v>0</v>
      </c>
      <c r="I45" s="29" t="n">
        <f aca="false">'Task Breakdown'!M233</f>
        <v>0</v>
      </c>
      <c r="J45" s="29" t="n">
        <f aca="false">'Task Breakdown'!N233</f>
        <v>0</v>
      </c>
      <c r="K45" s="29" t="n">
        <f aca="false">'Task Breakdown'!O233</f>
        <v>0</v>
      </c>
      <c r="L45" s="29" t="n">
        <f aca="false">'Task Breakdown'!P233</f>
        <v>0</v>
      </c>
      <c r="M45" s="29" t="n">
        <f aca="false">'Task Breakdown'!Q233</f>
        <v>0</v>
      </c>
      <c r="N45" s="29" t="n">
        <f aca="false">'Task Breakdown'!R233</f>
        <v>0</v>
      </c>
      <c r="O45" s="29" t="n">
        <f aca="false">'Task Breakdown'!S233</f>
        <v>49</v>
      </c>
      <c r="P45" s="29" t="n">
        <f aca="false">'Task Breakdown'!T233</f>
        <v>0</v>
      </c>
      <c r="Q45" s="30" t="n">
        <f aca="false">SUM(E45:P45)</f>
        <v>49</v>
      </c>
      <c r="R45" s="31" t="n">
        <f aca="false">IF($Q$199&gt;0,Q45/$Q$199,0)</f>
        <v>0.0090056974820805</v>
      </c>
    </row>
    <row r="46" customFormat="false" ht="15" hidden="false" customHeight="false" outlineLevel="0" collapsed="false">
      <c r="A46" s="26" t="str">
        <f aca="false">'Task Breakdown'!A234</f>
        <v>PS-4.04.08</v>
      </c>
      <c r="B46" s="27" t="str">
        <f aca="false">'Task Breakdown'!G234</f>
        <v>Detailed design and design review</v>
      </c>
      <c r="C46" s="28"/>
      <c r="D46" s="28"/>
      <c r="E46" s="29" t="n">
        <f aca="false">'Task Breakdown'!I234</f>
        <v>0</v>
      </c>
      <c r="F46" s="29" t="n">
        <f aca="false">'Task Breakdown'!J234</f>
        <v>12</v>
      </c>
      <c r="G46" s="29" t="n">
        <f aca="false">'Task Breakdown'!K234</f>
        <v>0</v>
      </c>
      <c r="H46" s="29" t="n">
        <f aca="false">'Task Breakdown'!L234</f>
        <v>0</v>
      </c>
      <c r="I46" s="29" t="n">
        <f aca="false">'Task Breakdown'!M234</f>
        <v>0</v>
      </c>
      <c r="J46" s="29" t="n">
        <f aca="false">'Task Breakdown'!N234</f>
        <v>0</v>
      </c>
      <c r="K46" s="29" t="n">
        <f aca="false">'Task Breakdown'!O234</f>
        <v>0</v>
      </c>
      <c r="L46" s="29" t="n">
        <f aca="false">'Task Breakdown'!P234</f>
        <v>0</v>
      </c>
      <c r="M46" s="29" t="n">
        <f aca="false">'Task Breakdown'!Q234</f>
        <v>0</v>
      </c>
      <c r="N46" s="29" t="n">
        <f aca="false">'Task Breakdown'!R234</f>
        <v>0</v>
      </c>
      <c r="O46" s="29" t="n">
        <f aca="false">'Task Breakdown'!S234</f>
        <v>0</v>
      </c>
      <c r="P46" s="29" t="n">
        <f aca="false">'Task Breakdown'!T234</f>
        <v>0</v>
      </c>
      <c r="Q46" s="30" t="n">
        <f aca="false">SUM(E46:P46)</f>
        <v>12</v>
      </c>
      <c r="R46" s="31" t="n">
        <f aca="false">IF($Q$199&gt;0,Q46/$Q$199,0)</f>
        <v>0.00220547693438706</v>
      </c>
    </row>
    <row r="47" customFormat="false" ht="15" hidden="false" customHeight="false" outlineLevel="0" collapsed="false">
      <c r="A47" s="26" t="str">
        <f aca="false">'Task Breakdown'!A235</f>
        <v>PS-4.04.09</v>
      </c>
      <c r="B47" s="27" t="str">
        <f aca="false">'Task Breakdown'!G235</f>
        <v>Promote through dev / test / prod and release</v>
      </c>
      <c r="C47" s="28"/>
      <c r="D47" s="28"/>
      <c r="E47" s="29" t="n">
        <f aca="false">'Task Breakdown'!I235</f>
        <v>0</v>
      </c>
      <c r="F47" s="29" t="n">
        <f aca="false">'Task Breakdown'!J235</f>
        <v>0</v>
      </c>
      <c r="G47" s="29" t="n">
        <f aca="false">'Task Breakdown'!K235</f>
        <v>8</v>
      </c>
      <c r="H47" s="29" t="n">
        <f aca="false">'Task Breakdown'!L235</f>
        <v>0</v>
      </c>
      <c r="I47" s="29" t="n">
        <f aca="false">'Task Breakdown'!M235</f>
        <v>0</v>
      </c>
      <c r="J47" s="29" t="n">
        <f aca="false">'Task Breakdown'!N235</f>
        <v>0</v>
      </c>
      <c r="K47" s="29" t="n">
        <f aca="false">'Task Breakdown'!O235</f>
        <v>0</v>
      </c>
      <c r="L47" s="29" t="n">
        <f aca="false">'Task Breakdown'!P235</f>
        <v>0</v>
      </c>
      <c r="M47" s="29" t="n">
        <f aca="false">'Task Breakdown'!Q235</f>
        <v>0</v>
      </c>
      <c r="N47" s="29" t="n">
        <f aca="false">'Task Breakdown'!R235</f>
        <v>0</v>
      </c>
      <c r="O47" s="29" t="n">
        <f aca="false">'Task Breakdown'!S235</f>
        <v>0</v>
      </c>
      <c r="P47" s="29" t="n">
        <f aca="false">'Task Breakdown'!T235</f>
        <v>0</v>
      </c>
      <c r="Q47" s="30" t="n">
        <f aca="false">SUM(E47:P47)</f>
        <v>8</v>
      </c>
      <c r="R47" s="31" t="n">
        <f aca="false">IF($Q$199&gt;0,Q47/$Q$199,0)</f>
        <v>0.00147031795625804</v>
      </c>
    </row>
    <row r="48" customFormat="false" ht="15" hidden="false" customHeight="false" outlineLevel="0" collapsed="false">
      <c r="A48" s="26" t="str">
        <f aca="false">'Task Breakdown'!A236</f>
        <v>PS-4.04.10</v>
      </c>
      <c r="B48" s="27" t="str">
        <f aca="false">'Task Breakdown'!G236</f>
        <v>Documentation, runbook and knowledge transfer</v>
      </c>
      <c r="C48" s="28"/>
      <c r="D48" s="28"/>
      <c r="E48" s="29" t="n">
        <f aca="false">'Task Breakdown'!I236</f>
        <v>0</v>
      </c>
      <c r="F48" s="29" t="n">
        <f aca="false">'Task Breakdown'!J236</f>
        <v>0</v>
      </c>
      <c r="G48" s="29" t="n">
        <f aca="false">'Task Breakdown'!K236</f>
        <v>8</v>
      </c>
      <c r="H48" s="29" t="n">
        <f aca="false">'Task Breakdown'!L236</f>
        <v>0</v>
      </c>
      <c r="I48" s="29" t="n">
        <f aca="false">'Task Breakdown'!M236</f>
        <v>0</v>
      </c>
      <c r="J48" s="29" t="n">
        <f aca="false">'Task Breakdown'!N236</f>
        <v>0</v>
      </c>
      <c r="K48" s="29" t="n">
        <f aca="false">'Task Breakdown'!O236</f>
        <v>0</v>
      </c>
      <c r="L48" s="29" t="n">
        <f aca="false">'Task Breakdown'!P236</f>
        <v>0</v>
      </c>
      <c r="M48" s="29" t="n">
        <f aca="false">'Task Breakdown'!Q236</f>
        <v>0</v>
      </c>
      <c r="N48" s="29" t="n">
        <f aca="false">'Task Breakdown'!R236</f>
        <v>0</v>
      </c>
      <c r="O48" s="29" t="n">
        <f aca="false">'Task Breakdown'!S236</f>
        <v>0</v>
      </c>
      <c r="P48" s="29" t="n">
        <f aca="false">'Task Breakdown'!T236</f>
        <v>0</v>
      </c>
      <c r="Q48" s="30" t="n">
        <f aca="false">SUM(E48:P48)</f>
        <v>8</v>
      </c>
      <c r="R48" s="31" t="n">
        <f aca="false">IF($Q$199&gt;0,Q48/$Q$199,0)</f>
        <v>0.00147031795625804</v>
      </c>
    </row>
    <row r="49" customFormat="false" ht="15" hidden="false" customHeight="false" outlineLevel="0" collapsed="false">
      <c r="A49" s="26" t="str">
        <f aca="false">'Task Breakdown'!A237</f>
        <v>PS-4.04.11</v>
      </c>
      <c r="B49" s="27" t="str">
        <f aca="false">'Task Breakdown'!G237</f>
        <v>Defect fixing and rework after testing</v>
      </c>
      <c r="C49" s="28"/>
      <c r="D49" s="28"/>
      <c r="E49" s="29" t="n">
        <f aca="false">'Task Breakdown'!I237</f>
        <v>0</v>
      </c>
      <c r="F49" s="29" t="n">
        <f aca="false">'Task Breakdown'!J237</f>
        <v>0</v>
      </c>
      <c r="G49" s="29" t="n">
        <f aca="false">'Task Breakdown'!K237</f>
        <v>16</v>
      </c>
      <c r="H49" s="29" t="n">
        <f aca="false">'Task Breakdown'!L237</f>
        <v>0</v>
      </c>
      <c r="I49" s="29" t="n">
        <f aca="false">'Task Breakdown'!M237</f>
        <v>0</v>
      </c>
      <c r="J49" s="29" t="n">
        <f aca="false">'Task Breakdown'!N237</f>
        <v>0</v>
      </c>
      <c r="K49" s="29" t="n">
        <f aca="false">'Task Breakdown'!O237</f>
        <v>0</v>
      </c>
      <c r="L49" s="29" t="n">
        <f aca="false">'Task Breakdown'!P237</f>
        <v>0</v>
      </c>
      <c r="M49" s="29" t="n">
        <f aca="false">'Task Breakdown'!Q237</f>
        <v>0</v>
      </c>
      <c r="N49" s="29" t="n">
        <f aca="false">'Task Breakdown'!R237</f>
        <v>0</v>
      </c>
      <c r="O49" s="29" t="n">
        <f aca="false">'Task Breakdown'!S237</f>
        <v>0</v>
      </c>
      <c r="P49" s="29" t="n">
        <f aca="false">'Task Breakdown'!T237</f>
        <v>0</v>
      </c>
      <c r="Q49" s="30" t="n">
        <f aca="false">SUM(E49:P49)</f>
        <v>16</v>
      </c>
      <c r="R49" s="31" t="n">
        <f aca="false">IF($Q$199&gt;0,Q49/$Q$199,0)</f>
        <v>0.00294063591251608</v>
      </c>
    </row>
    <row r="50" customFormat="false" ht="15" hidden="false" customHeight="false" outlineLevel="0" collapsed="false">
      <c r="A50" s="23" t="s">
        <v>313</v>
      </c>
      <c r="B50" s="23" t="s">
        <v>314</v>
      </c>
      <c r="C50" s="23" t="s">
        <v>42</v>
      </c>
      <c r="D50" s="23" t="s">
        <v>315</v>
      </c>
      <c r="E50" s="24" t="n">
        <f aca="false">SUM(E51:E59)</f>
        <v>0</v>
      </c>
      <c r="F50" s="24" t="n">
        <f aca="false">SUM(F51:F59)</f>
        <v>4</v>
      </c>
      <c r="G50" s="24" t="n">
        <f aca="false">SUM(G51:G59)</f>
        <v>72</v>
      </c>
      <c r="H50" s="24" t="n">
        <f aca="false">SUM(H51:H59)</f>
        <v>10</v>
      </c>
      <c r="I50" s="24" t="n">
        <f aca="false">SUM(I51:I59)</f>
        <v>0</v>
      </c>
      <c r="J50" s="24" t="n">
        <f aca="false">SUM(J51:J59)</f>
        <v>0</v>
      </c>
      <c r="K50" s="24" t="n">
        <f aca="false">SUM(K51:K59)</f>
        <v>0</v>
      </c>
      <c r="L50" s="24" t="n">
        <f aca="false">SUM(L51:L59)</f>
        <v>0</v>
      </c>
      <c r="M50" s="24" t="n">
        <f aca="false">SUM(M51:M59)</f>
        <v>0</v>
      </c>
      <c r="N50" s="24" t="n">
        <f aca="false">SUM(N51:N59)</f>
        <v>0</v>
      </c>
      <c r="O50" s="24" t="n">
        <f aca="false">SUM(O51:O59)</f>
        <v>0</v>
      </c>
      <c r="P50" s="24" t="n">
        <f aca="false">SUM(P51:P59)</f>
        <v>0</v>
      </c>
      <c r="Q50" s="24" t="n">
        <f aca="false">SUM(Q51:Q59)</f>
        <v>86</v>
      </c>
      <c r="R50" s="25" t="n">
        <f aca="false">IF($Q$199&gt;0,Q50/$Q$199,0)</f>
        <v>0.0158059180297739</v>
      </c>
    </row>
    <row r="51" customFormat="false" ht="15" hidden="false" customHeight="false" outlineLevel="0" collapsed="false">
      <c r="A51" s="26" t="str">
        <f aca="false">'Task Breakdown'!A238</f>
        <v>PS-4.05.01</v>
      </c>
      <c r="B51" s="27" t="str">
        <f aca="false">'Task Breakdown'!G238</f>
        <v>Define SLOs and SLIs per service</v>
      </c>
      <c r="C51" s="28"/>
      <c r="D51" s="28"/>
      <c r="E51" s="29" t="n">
        <f aca="false">'Task Breakdown'!I238</f>
        <v>0</v>
      </c>
      <c r="F51" s="29" t="n">
        <f aca="false">'Task Breakdown'!J238</f>
        <v>0</v>
      </c>
      <c r="G51" s="29" t="n">
        <f aca="false">'Task Breakdown'!K238</f>
        <v>15</v>
      </c>
      <c r="H51" s="29" t="n">
        <f aca="false">'Task Breakdown'!L238</f>
        <v>0</v>
      </c>
      <c r="I51" s="29" t="n">
        <f aca="false">'Task Breakdown'!M238</f>
        <v>0</v>
      </c>
      <c r="J51" s="29" t="n">
        <f aca="false">'Task Breakdown'!N238</f>
        <v>0</v>
      </c>
      <c r="K51" s="29" t="n">
        <f aca="false">'Task Breakdown'!O238</f>
        <v>0</v>
      </c>
      <c r="L51" s="29" t="n">
        <f aca="false">'Task Breakdown'!P238</f>
        <v>0</v>
      </c>
      <c r="M51" s="29" t="n">
        <f aca="false">'Task Breakdown'!Q238</f>
        <v>0</v>
      </c>
      <c r="N51" s="29" t="n">
        <f aca="false">'Task Breakdown'!R238</f>
        <v>0</v>
      </c>
      <c r="O51" s="29" t="n">
        <f aca="false">'Task Breakdown'!S238</f>
        <v>0</v>
      </c>
      <c r="P51" s="29" t="n">
        <f aca="false">'Task Breakdown'!T238</f>
        <v>0</v>
      </c>
      <c r="Q51" s="30" t="n">
        <f aca="false">SUM(E51:P51)</f>
        <v>15</v>
      </c>
      <c r="R51" s="31" t="n">
        <f aca="false">IF($Q$199&gt;0,Q51/$Q$199,0)</f>
        <v>0.00275684616798383</v>
      </c>
    </row>
    <row r="52" customFormat="false" ht="15" hidden="false" customHeight="false" outlineLevel="0" collapsed="false">
      <c r="A52" s="26" t="str">
        <f aca="false">'Task Breakdown'!A239</f>
        <v>PS-4.05.02</v>
      </c>
      <c r="B52" s="27" t="str">
        <f aca="false">'Task Breakdown'!G239</f>
        <v>Create alert rules and action groups</v>
      </c>
      <c r="C52" s="28"/>
      <c r="D52" s="28"/>
      <c r="E52" s="29" t="n">
        <f aca="false">'Task Breakdown'!I239</f>
        <v>0</v>
      </c>
      <c r="F52" s="29" t="n">
        <f aca="false">'Task Breakdown'!J239</f>
        <v>0</v>
      </c>
      <c r="G52" s="29" t="n">
        <f aca="false">'Task Breakdown'!K239</f>
        <v>20</v>
      </c>
      <c r="H52" s="29" t="n">
        <f aca="false">'Task Breakdown'!L239</f>
        <v>0</v>
      </c>
      <c r="I52" s="29" t="n">
        <f aca="false">'Task Breakdown'!M239</f>
        <v>0</v>
      </c>
      <c r="J52" s="29" t="n">
        <f aca="false">'Task Breakdown'!N239</f>
        <v>0</v>
      </c>
      <c r="K52" s="29" t="n">
        <f aca="false">'Task Breakdown'!O239</f>
        <v>0</v>
      </c>
      <c r="L52" s="29" t="n">
        <f aca="false">'Task Breakdown'!P239</f>
        <v>0</v>
      </c>
      <c r="M52" s="29" t="n">
        <f aca="false">'Task Breakdown'!Q239</f>
        <v>0</v>
      </c>
      <c r="N52" s="29" t="n">
        <f aca="false">'Task Breakdown'!R239</f>
        <v>0</v>
      </c>
      <c r="O52" s="29" t="n">
        <f aca="false">'Task Breakdown'!S239</f>
        <v>0</v>
      </c>
      <c r="P52" s="29" t="n">
        <f aca="false">'Task Breakdown'!T239</f>
        <v>0</v>
      </c>
      <c r="Q52" s="30" t="n">
        <f aca="false">SUM(E52:P52)</f>
        <v>20</v>
      </c>
      <c r="R52" s="31" t="n">
        <f aca="false">IF($Q$199&gt;0,Q52/$Q$199,0)</f>
        <v>0.0036757948906451</v>
      </c>
    </row>
    <row r="53" customFormat="false" ht="15" hidden="false" customHeight="false" outlineLevel="0" collapsed="false">
      <c r="A53" s="26" t="str">
        <f aca="false">'Task Breakdown'!A240</f>
        <v>PS-4.05.03</v>
      </c>
      <c r="B53" s="27" t="str">
        <f aca="false">'Task Breakdown'!G240</f>
        <v>Integrate alerts with Teams / PagerDuty</v>
      </c>
      <c r="C53" s="28"/>
      <c r="D53" s="28"/>
      <c r="E53" s="29" t="n">
        <f aca="false">'Task Breakdown'!I240</f>
        <v>0</v>
      </c>
      <c r="F53" s="29" t="n">
        <f aca="false">'Task Breakdown'!J240</f>
        <v>0</v>
      </c>
      <c r="G53" s="29" t="n">
        <f aca="false">'Task Breakdown'!K240</f>
        <v>10</v>
      </c>
      <c r="H53" s="29" t="n">
        <f aca="false">'Task Breakdown'!L240</f>
        <v>0</v>
      </c>
      <c r="I53" s="29" t="n">
        <f aca="false">'Task Breakdown'!M240</f>
        <v>0</v>
      </c>
      <c r="J53" s="29" t="n">
        <f aca="false">'Task Breakdown'!N240</f>
        <v>0</v>
      </c>
      <c r="K53" s="29" t="n">
        <f aca="false">'Task Breakdown'!O240</f>
        <v>0</v>
      </c>
      <c r="L53" s="29" t="n">
        <f aca="false">'Task Breakdown'!P240</f>
        <v>0</v>
      </c>
      <c r="M53" s="29" t="n">
        <f aca="false">'Task Breakdown'!Q240</f>
        <v>0</v>
      </c>
      <c r="N53" s="29" t="n">
        <f aca="false">'Task Breakdown'!R240</f>
        <v>0</v>
      </c>
      <c r="O53" s="29" t="n">
        <f aca="false">'Task Breakdown'!S240</f>
        <v>0</v>
      </c>
      <c r="P53" s="29" t="n">
        <f aca="false">'Task Breakdown'!T240</f>
        <v>0</v>
      </c>
      <c r="Q53" s="30" t="n">
        <f aca="false">SUM(E53:P53)</f>
        <v>10</v>
      </c>
      <c r="R53" s="31" t="n">
        <f aca="false">IF($Q$199&gt;0,Q53/$Q$199,0)</f>
        <v>0.00183789744532255</v>
      </c>
    </row>
    <row r="54" customFormat="false" ht="15" hidden="false" customHeight="false" outlineLevel="0" collapsed="false">
      <c r="A54" s="26" t="str">
        <f aca="false">'Task Breakdown'!A241</f>
        <v>PS-4.05.04</v>
      </c>
      <c r="B54" s="27" t="str">
        <f aca="false">'Task Breakdown'!G241</f>
        <v>Write on-call runbooks</v>
      </c>
      <c r="C54" s="28"/>
      <c r="D54" s="28"/>
      <c r="E54" s="29" t="n">
        <f aca="false">'Task Breakdown'!I241</f>
        <v>0</v>
      </c>
      <c r="F54" s="29" t="n">
        <f aca="false">'Task Breakdown'!J241</f>
        <v>0</v>
      </c>
      <c r="G54" s="29" t="n">
        <f aca="false">'Task Breakdown'!K241</f>
        <v>15</v>
      </c>
      <c r="H54" s="29" t="n">
        <f aca="false">'Task Breakdown'!L241</f>
        <v>0</v>
      </c>
      <c r="I54" s="29" t="n">
        <f aca="false">'Task Breakdown'!M241</f>
        <v>0</v>
      </c>
      <c r="J54" s="29" t="n">
        <f aca="false">'Task Breakdown'!N241</f>
        <v>0</v>
      </c>
      <c r="K54" s="29" t="n">
        <f aca="false">'Task Breakdown'!O241</f>
        <v>0</v>
      </c>
      <c r="L54" s="29" t="n">
        <f aca="false">'Task Breakdown'!P241</f>
        <v>0</v>
      </c>
      <c r="M54" s="29" t="n">
        <f aca="false">'Task Breakdown'!Q241</f>
        <v>0</v>
      </c>
      <c r="N54" s="29" t="n">
        <f aca="false">'Task Breakdown'!R241</f>
        <v>0</v>
      </c>
      <c r="O54" s="29" t="n">
        <f aca="false">'Task Breakdown'!S241</f>
        <v>0</v>
      </c>
      <c r="P54" s="29" t="n">
        <f aca="false">'Task Breakdown'!T241</f>
        <v>0</v>
      </c>
      <c r="Q54" s="30" t="n">
        <f aca="false">SUM(E54:P54)</f>
        <v>15</v>
      </c>
      <c r="R54" s="31" t="n">
        <f aca="false">IF($Q$199&gt;0,Q54/$Q$199,0)</f>
        <v>0.00275684616798383</v>
      </c>
    </row>
    <row r="55" customFormat="false" ht="15" hidden="false" customHeight="false" outlineLevel="0" collapsed="false">
      <c r="A55" s="26" t="str">
        <f aca="false">'Task Breakdown'!A242</f>
        <v>PS-4.05.05</v>
      </c>
      <c r="B55" s="27" t="str">
        <f aca="false">'Task Breakdown'!G242</f>
        <v>Set up security alerting from Defender / Sentinel</v>
      </c>
      <c r="C55" s="28"/>
      <c r="D55" s="28"/>
      <c r="E55" s="29" t="n">
        <f aca="false">'Task Breakdown'!I242</f>
        <v>0</v>
      </c>
      <c r="F55" s="29" t="n">
        <f aca="false">'Task Breakdown'!J242</f>
        <v>0</v>
      </c>
      <c r="G55" s="29" t="n">
        <f aca="false">'Task Breakdown'!K242</f>
        <v>0</v>
      </c>
      <c r="H55" s="29" t="n">
        <f aca="false">'Task Breakdown'!L242</f>
        <v>10</v>
      </c>
      <c r="I55" s="29" t="n">
        <f aca="false">'Task Breakdown'!M242</f>
        <v>0</v>
      </c>
      <c r="J55" s="29" t="n">
        <f aca="false">'Task Breakdown'!N242</f>
        <v>0</v>
      </c>
      <c r="K55" s="29" t="n">
        <f aca="false">'Task Breakdown'!O242</f>
        <v>0</v>
      </c>
      <c r="L55" s="29" t="n">
        <f aca="false">'Task Breakdown'!P242</f>
        <v>0</v>
      </c>
      <c r="M55" s="29" t="n">
        <f aca="false">'Task Breakdown'!Q242</f>
        <v>0</v>
      </c>
      <c r="N55" s="29" t="n">
        <f aca="false">'Task Breakdown'!R242</f>
        <v>0</v>
      </c>
      <c r="O55" s="29" t="n">
        <f aca="false">'Task Breakdown'!S242</f>
        <v>0</v>
      </c>
      <c r="P55" s="29" t="n">
        <f aca="false">'Task Breakdown'!T242</f>
        <v>0</v>
      </c>
      <c r="Q55" s="30" t="n">
        <f aca="false">SUM(E55:P55)</f>
        <v>10</v>
      </c>
      <c r="R55" s="31" t="n">
        <f aca="false">IF($Q$199&gt;0,Q55/$Q$199,0)</f>
        <v>0.00183789744532255</v>
      </c>
    </row>
    <row r="56" customFormat="false" ht="15" hidden="false" customHeight="false" outlineLevel="0" collapsed="false">
      <c r="A56" s="26" t="str">
        <f aca="false">'Task Breakdown'!A243</f>
        <v>PS-4.05.06</v>
      </c>
      <c r="B56" s="27" t="str">
        <f aca="false">'Task Breakdown'!G243</f>
        <v>Detailed design and design review</v>
      </c>
      <c r="C56" s="28"/>
      <c r="D56" s="28"/>
      <c r="E56" s="29" t="n">
        <f aca="false">'Task Breakdown'!I243</f>
        <v>0</v>
      </c>
      <c r="F56" s="29" t="n">
        <f aca="false">'Task Breakdown'!J243</f>
        <v>4</v>
      </c>
      <c r="G56" s="29" t="n">
        <f aca="false">'Task Breakdown'!K243</f>
        <v>0</v>
      </c>
      <c r="H56" s="29" t="n">
        <f aca="false">'Task Breakdown'!L243</f>
        <v>0</v>
      </c>
      <c r="I56" s="29" t="n">
        <f aca="false">'Task Breakdown'!M243</f>
        <v>0</v>
      </c>
      <c r="J56" s="29" t="n">
        <f aca="false">'Task Breakdown'!N243</f>
        <v>0</v>
      </c>
      <c r="K56" s="29" t="n">
        <f aca="false">'Task Breakdown'!O243</f>
        <v>0</v>
      </c>
      <c r="L56" s="29" t="n">
        <f aca="false">'Task Breakdown'!P243</f>
        <v>0</v>
      </c>
      <c r="M56" s="29" t="n">
        <f aca="false">'Task Breakdown'!Q243</f>
        <v>0</v>
      </c>
      <c r="N56" s="29" t="n">
        <f aca="false">'Task Breakdown'!R243</f>
        <v>0</v>
      </c>
      <c r="O56" s="29" t="n">
        <f aca="false">'Task Breakdown'!S243</f>
        <v>0</v>
      </c>
      <c r="P56" s="29" t="n">
        <f aca="false">'Task Breakdown'!T243</f>
        <v>0</v>
      </c>
      <c r="Q56" s="30" t="n">
        <f aca="false">SUM(E56:P56)</f>
        <v>4</v>
      </c>
      <c r="R56" s="31" t="n">
        <f aca="false">IF($Q$199&gt;0,Q56/$Q$199,0)</f>
        <v>0.00073515897812902</v>
      </c>
    </row>
    <row r="57" customFormat="false" ht="15" hidden="false" customHeight="false" outlineLevel="0" collapsed="false">
      <c r="A57" s="26" t="str">
        <f aca="false">'Task Breakdown'!A244</f>
        <v>PS-4.05.07</v>
      </c>
      <c r="B57" s="27" t="str">
        <f aca="false">'Task Breakdown'!G244</f>
        <v>Promote through dev / test / prod and release</v>
      </c>
      <c r="C57" s="28"/>
      <c r="D57" s="28"/>
      <c r="E57" s="29" t="n">
        <f aca="false">'Task Breakdown'!I244</f>
        <v>0</v>
      </c>
      <c r="F57" s="29" t="n">
        <f aca="false">'Task Breakdown'!J244</f>
        <v>0</v>
      </c>
      <c r="G57" s="29" t="n">
        <f aca="false">'Task Breakdown'!K244</f>
        <v>3</v>
      </c>
      <c r="H57" s="29" t="n">
        <f aca="false">'Task Breakdown'!L244</f>
        <v>0</v>
      </c>
      <c r="I57" s="29" t="n">
        <f aca="false">'Task Breakdown'!M244</f>
        <v>0</v>
      </c>
      <c r="J57" s="29" t="n">
        <f aca="false">'Task Breakdown'!N244</f>
        <v>0</v>
      </c>
      <c r="K57" s="29" t="n">
        <f aca="false">'Task Breakdown'!O244</f>
        <v>0</v>
      </c>
      <c r="L57" s="29" t="n">
        <f aca="false">'Task Breakdown'!P244</f>
        <v>0</v>
      </c>
      <c r="M57" s="29" t="n">
        <f aca="false">'Task Breakdown'!Q244</f>
        <v>0</v>
      </c>
      <c r="N57" s="29" t="n">
        <f aca="false">'Task Breakdown'!R244</f>
        <v>0</v>
      </c>
      <c r="O57" s="29" t="n">
        <f aca="false">'Task Breakdown'!S244</f>
        <v>0</v>
      </c>
      <c r="P57" s="29" t="n">
        <f aca="false">'Task Breakdown'!T244</f>
        <v>0</v>
      </c>
      <c r="Q57" s="30" t="n">
        <f aca="false">SUM(E57:P57)</f>
        <v>3</v>
      </c>
      <c r="R57" s="31" t="n">
        <f aca="false">IF($Q$199&gt;0,Q57/$Q$199,0)</f>
        <v>0.000551369233596765</v>
      </c>
    </row>
    <row r="58" customFormat="false" ht="15" hidden="false" customHeight="false" outlineLevel="0" collapsed="false">
      <c r="A58" s="26" t="str">
        <f aca="false">'Task Breakdown'!A245</f>
        <v>PS-4.05.08</v>
      </c>
      <c r="B58" s="27" t="str">
        <f aca="false">'Task Breakdown'!G245</f>
        <v>Documentation, runbook and knowledge transfer</v>
      </c>
      <c r="C58" s="28"/>
      <c r="D58" s="28"/>
      <c r="E58" s="29" t="n">
        <f aca="false">'Task Breakdown'!I245</f>
        <v>0</v>
      </c>
      <c r="F58" s="29" t="n">
        <f aca="false">'Task Breakdown'!J245</f>
        <v>0</v>
      </c>
      <c r="G58" s="29" t="n">
        <f aca="false">'Task Breakdown'!K245</f>
        <v>3</v>
      </c>
      <c r="H58" s="29" t="n">
        <f aca="false">'Task Breakdown'!L245</f>
        <v>0</v>
      </c>
      <c r="I58" s="29" t="n">
        <f aca="false">'Task Breakdown'!M245</f>
        <v>0</v>
      </c>
      <c r="J58" s="29" t="n">
        <f aca="false">'Task Breakdown'!N245</f>
        <v>0</v>
      </c>
      <c r="K58" s="29" t="n">
        <f aca="false">'Task Breakdown'!O245</f>
        <v>0</v>
      </c>
      <c r="L58" s="29" t="n">
        <f aca="false">'Task Breakdown'!P245</f>
        <v>0</v>
      </c>
      <c r="M58" s="29" t="n">
        <f aca="false">'Task Breakdown'!Q245</f>
        <v>0</v>
      </c>
      <c r="N58" s="29" t="n">
        <f aca="false">'Task Breakdown'!R245</f>
        <v>0</v>
      </c>
      <c r="O58" s="29" t="n">
        <f aca="false">'Task Breakdown'!S245</f>
        <v>0</v>
      </c>
      <c r="P58" s="29" t="n">
        <f aca="false">'Task Breakdown'!T245</f>
        <v>0</v>
      </c>
      <c r="Q58" s="30" t="n">
        <f aca="false">SUM(E58:P58)</f>
        <v>3</v>
      </c>
      <c r="R58" s="31" t="n">
        <f aca="false">IF($Q$199&gt;0,Q58/$Q$199,0)</f>
        <v>0.000551369233596765</v>
      </c>
    </row>
    <row r="59" customFormat="false" ht="15" hidden="false" customHeight="false" outlineLevel="0" collapsed="false">
      <c r="A59" s="26" t="str">
        <f aca="false">'Task Breakdown'!A246</f>
        <v>PS-4.05.09</v>
      </c>
      <c r="B59" s="27" t="str">
        <f aca="false">'Task Breakdown'!G246</f>
        <v>Defect fixing and rework after testing</v>
      </c>
      <c r="C59" s="28"/>
      <c r="D59" s="28"/>
      <c r="E59" s="29" t="n">
        <f aca="false">'Task Breakdown'!I246</f>
        <v>0</v>
      </c>
      <c r="F59" s="29" t="n">
        <f aca="false">'Task Breakdown'!J246</f>
        <v>0</v>
      </c>
      <c r="G59" s="29" t="n">
        <f aca="false">'Task Breakdown'!K246</f>
        <v>6</v>
      </c>
      <c r="H59" s="29" t="n">
        <f aca="false">'Task Breakdown'!L246</f>
        <v>0</v>
      </c>
      <c r="I59" s="29" t="n">
        <f aca="false">'Task Breakdown'!M246</f>
        <v>0</v>
      </c>
      <c r="J59" s="29" t="n">
        <f aca="false">'Task Breakdown'!N246</f>
        <v>0</v>
      </c>
      <c r="K59" s="29" t="n">
        <f aca="false">'Task Breakdown'!O246</f>
        <v>0</v>
      </c>
      <c r="L59" s="29" t="n">
        <f aca="false">'Task Breakdown'!P246</f>
        <v>0</v>
      </c>
      <c r="M59" s="29" t="n">
        <f aca="false">'Task Breakdown'!Q246</f>
        <v>0</v>
      </c>
      <c r="N59" s="29" t="n">
        <f aca="false">'Task Breakdown'!R246</f>
        <v>0</v>
      </c>
      <c r="O59" s="29" t="n">
        <f aca="false">'Task Breakdown'!S246</f>
        <v>0</v>
      </c>
      <c r="P59" s="29" t="n">
        <f aca="false">'Task Breakdown'!T246</f>
        <v>0</v>
      </c>
      <c r="Q59" s="30" t="n">
        <f aca="false">SUM(E59:P59)</f>
        <v>6</v>
      </c>
      <c r="R59" s="31" t="n">
        <f aca="false">IF($Q$199&gt;0,Q59/$Q$199,0)</f>
        <v>0.00110273846719353</v>
      </c>
    </row>
    <row r="60" customFormat="false" ht="15" hidden="false" customHeight="false" outlineLevel="0" collapsed="false">
      <c r="A60" s="23" t="s">
        <v>316</v>
      </c>
      <c r="B60" s="23" t="s">
        <v>317</v>
      </c>
      <c r="C60" s="23" t="s">
        <v>42</v>
      </c>
      <c r="D60" s="23" t="s">
        <v>318</v>
      </c>
      <c r="E60" s="24" t="n">
        <f aca="false">SUM(E61:E71)</f>
        <v>0</v>
      </c>
      <c r="F60" s="24" t="n">
        <f aca="false">SUM(F61:F71)</f>
        <v>93</v>
      </c>
      <c r="G60" s="24" t="n">
        <f aca="false">SUM(G61:G71)</f>
        <v>236</v>
      </c>
      <c r="H60" s="24" t="n">
        <f aca="false">SUM(H61:H71)</f>
        <v>99</v>
      </c>
      <c r="I60" s="24" t="n">
        <f aca="false">SUM(I61:I71)</f>
        <v>0</v>
      </c>
      <c r="J60" s="24" t="n">
        <f aca="false">SUM(J61:J71)</f>
        <v>0</v>
      </c>
      <c r="K60" s="24" t="n">
        <f aca="false">SUM(K61:K71)</f>
        <v>65</v>
      </c>
      <c r="L60" s="24" t="n">
        <f aca="false">SUM(L61:L71)</f>
        <v>0</v>
      </c>
      <c r="M60" s="24" t="n">
        <f aca="false">SUM(M61:M71)</f>
        <v>0</v>
      </c>
      <c r="N60" s="24" t="n">
        <f aca="false">SUM(N61:N71)</f>
        <v>0</v>
      </c>
      <c r="O60" s="24" t="n">
        <f aca="false">SUM(O61:O71)</f>
        <v>65</v>
      </c>
      <c r="P60" s="24" t="n">
        <f aca="false">SUM(P61:P71)</f>
        <v>0</v>
      </c>
      <c r="Q60" s="24" t="n">
        <f aca="false">SUM(Q61:Q71)</f>
        <v>558</v>
      </c>
      <c r="R60" s="25" t="n">
        <f aca="false">IF($Q$199&gt;0,Q60/$Q$199,0)</f>
        <v>0.102554677448998</v>
      </c>
    </row>
    <row r="61" customFormat="false" ht="15" hidden="false" customHeight="false" outlineLevel="0" collapsed="false">
      <c r="A61" s="26" t="str">
        <f aca="false">'Task Breakdown'!A247</f>
        <v>PS-4.06.01</v>
      </c>
      <c r="B61" s="27" t="str">
        <f aca="false">'Task Breakdown'!G247</f>
        <v>Assess plant network zones (ISA-95 / Purdue) and OT security rules</v>
      </c>
      <c r="C61" s="28"/>
      <c r="D61" s="28"/>
      <c r="E61" s="29" t="n">
        <f aca="false">'Task Breakdown'!I247</f>
        <v>0</v>
      </c>
      <c r="F61" s="29" t="n">
        <f aca="false">'Task Breakdown'!J247</f>
        <v>33</v>
      </c>
      <c r="G61" s="29" t="n">
        <f aca="false">'Task Breakdown'!K247</f>
        <v>0</v>
      </c>
      <c r="H61" s="29" t="n">
        <f aca="false">'Task Breakdown'!L247</f>
        <v>33</v>
      </c>
      <c r="I61" s="29" t="n">
        <f aca="false">'Task Breakdown'!M247</f>
        <v>0</v>
      </c>
      <c r="J61" s="29" t="n">
        <f aca="false">'Task Breakdown'!N247</f>
        <v>0</v>
      </c>
      <c r="K61" s="29" t="n">
        <f aca="false">'Task Breakdown'!O247</f>
        <v>0</v>
      </c>
      <c r="L61" s="29" t="n">
        <f aca="false">'Task Breakdown'!P247</f>
        <v>0</v>
      </c>
      <c r="M61" s="29" t="n">
        <f aca="false">'Task Breakdown'!Q247</f>
        <v>0</v>
      </c>
      <c r="N61" s="29" t="n">
        <f aca="false">'Task Breakdown'!R247</f>
        <v>0</v>
      </c>
      <c r="O61" s="29" t="n">
        <f aca="false">'Task Breakdown'!S247</f>
        <v>0</v>
      </c>
      <c r="P61" s="29" t="n">
        <f aca="false">'Task Breakdown'!T247</f>
        <v>0</v>
      </c>
      <c r="Q61" s="30" t="n">
        <f aca="false">SUM(E61:P61)</f>
        <v>66</v>
      </c>
      <c r="R61" s="31" t="n">
        <f aca="false">IF($Q$199&gt;0,Q61/$Q$199,0)</f>
        <v>0.0121301231391288</v>
      </c>
    </row>
    <row r="62" customFormat="false" ht="15" hidden="false" customHeight="false" outlineLevel="0" collapsed="false">
      <c r="A62" s="26" t="str">
        <f aca="false">'Task Breakdown'!A248</f>
        <v>PS-4.06.02</v>
      </c>
      <c r="B62" s="27" t="str">
        <f aca="false">'Task Breakdown'!G248</f>
        <v>Design plant-to-cloud pattern (Azure Arc, IoT Edge, self-hosted gateway)</v>
      </c>
      <c r="C62" s="28"/>
      <c r="D62" s="28"/>
      <c r="E62" s="29" t="n">
        <f aca="false">'Task Breakdown'!I248</f>
        <v>0</v>
      </c>
      <c r="F62" s="29" t="n">
        <f aca="false">'Task Breakdown'!J248</f>
        <v>33</v>
      </c>
      <c r="G62" s="29" t="n">
        <f aca="false">'Task Breakdown'!K248</f>
        <v>0</v>
      </c>
      <c r="H62" s="29" t="n">
        <f aca="false">'Task Breakdown'!L248</f>
        <v>0</v>
      </c>
      <c r="I62" s="29" t="n">
        <f aca="false">'Task Breakdown'!M248</f>
        <v>0</v>
      </c>
      <c r="J62" s="29" t="n">
        <f aca="false">'Task Breakdown'!N248</f>
        <v>0</v>
      </c>
      <c r="K62" s="29" t="n">
        <f aca="false">'Task Breakdown'!O248</f>
        <v>0</v>
      </c>
      <c r="L62" s="29" t="n">
        <f aca="false">'Task Breakdown'!P248</f>
        <v>0</v>
      </c>
      <c r="M62" s="29" t="n">
        <f aca="false">'Task Breakdown'!Q248</f>
        <v>0</v>
      </c>
      <c r="N62" s="29" t="n">
        <f aca="false">'Task Breakdown'!R248</f>
        <v>0</v>
      </c>
      <c r="O62" s="29" t="n">
        <f aca="false">'Task Breakdown'!S248</f>
        <v>0</v>
      </c>
      <c r="P62" s="29" t="n">
        <f aca="false">'Task Breakdown'!T248</f>
        <v>0</v>
      </c>
      <c r="Q62" s="30" t="n">
        <f aca="false">SUM(E62:P62)</f>
        <v>33</v>
      </c>
      <c r="R62" s="31" t="n">
        <f aca="false">IF($Q$199&gt;0,Q62/$Q$199,0)</f>
        <v>0.00606506156956442</v>
      </c>
    </row>
    <row r="63" customFormat="false" ht="15" hidden="false" customHeight="false" outlineLevel="0" collapsed="false">
      <c r="A63" s="26" t="str">
        <f aca="false">'Task Breakdown'!A249</f>
        <v>PS-4.06.03</v>
      </c>
      <c r="B63" s="27" t="str">
        <f aca="false">'Task Breakdown'!G249</f>
        <v>Deploy edge gateway at the pilot plant</v>
      </c>
      <c r="C63" s="28"/>
      <c r="D63" s="28"/>
      <c r="E63" s="29" t="n">
        <f aca="false">'Task Breakdown'!I249</f>
        <v>0</v>
      </c>
      <c r="F63" s="29" t="n">
        <f aca="false">'Task Breakdown'!J249</f>
        <v>0</v>
      </c>
      <c r="G63" s="29" t="n">
        <f aca="false">'Task Breakdown'!K249</f>
        <v>65</v>
      </c>
      <c r="H63" s="29" t="n">
        <f aca="false">'Task Breakdown'!L249</f>
        <v>0</v>
      </c>
      <c r="I63" s="29" t="n">
        <f aca="false">'Task Breakdown'!M249</f>
        <v>0</v>
      </c>
      <c r="J63" s="29" t="n">
        <f aca="false">'Task Breakdown'!N249</f>
        <v>0</v>
      </c>
      <c r="K63" s="29" t="n">
        <f aca="false">'Task Breakdown'!O249</f>
        <v>0</v>
      </c>
      <c r="L63" s="29" t="n">
        <f aca="false">'Task Breakdown'!P249</f>
        <v>0</v>
      </c>
      <c r="M63" s="29" t="n">
        <f aca="false">'Task Breakdown'!Q249</f>
        <v>0</v>
      </c>
      <c r="N63" s="29" t="n">
        <f aca="false">'Task Breakdown'!R249</f>
        <v>0</v>
      </c>
      <c r="O63" s="29" t="n">
        <f aca="false">'Task Breakdown'!S249</f>
        <v>0</v>
      </c>
      <c r="P63" s="29" t="n">
        <f aca="false">'Task Breakdown'!T249</f>
        <v>0</v>
      </c>
      <c r="Q63" s="30" t="n">
        <f aca="false">SUM(E63:P63)</f>
        <v>65</v>
      </c>
      <c r="R63" s="31" t="n">
        <f aca="false">IF($Q$199&gt;0,Q63/$Q$199,0)</f>
        <v>0.0119463333945966</v>
      </c>
    </row>
    <row r="64" customFormat="false" ht="15" hidden="false" customHeight="false" outlineLevel="0" collapsed="false">
      <c r="A64" s="26" t="str">
        <f aca="false">'Task Breakdown'!A250</f>
        <v>PS-4.06.04</v>
      </c>
      <c r="B64" s="27" t="str">
        <f aca="false">'Task Breakdown'!G250</f>
        <v>Configure outbound-only secure connectivity and certificates</v>
      </c>
      <c r="C64" s="28"/>
      <c r="D64" s="28"/>
      <c r="E64" s="29" t="n">
        <f aca="false">'Task Breakdown'!I250</f>
        <v>0</v>
      </c>
      <c r="F64" s="29" t="n">
        <f aca="false">'Task Breakdown'!J250</f>
        <v>0</v>
      </c>
      <c r="G64" s="29" t="n">
        <f aca="false">'Task Breakdown'!K250</f>
        <v>49</v>
      </c>
      <c r="H64" s="29" t="n">
        <f aca="false">'Task Breakdown'!L250</f>
        <v>33</v>
      </c>
      <c r="I64" s="29" t="n">
        <f aca="false">'Task Breakdown'!M250</f>
        <v>0</v>
      </c>
      <c r="J64" s="29" t="n">
        <f aca="false">'Task Breakdown'!N250</f>
        <v>0</v>
      </c>
      <c r="K64" s="29" t="n">
        <f aca="false">'Task Breakdown'!O250</f>
        <v>0</v>
      </c>
      <c r="L64" s="29" t="n">
        <f aca="false">'Task Breakdown'!P250</f>
        <v>0</v>
      </c>
      <c r="M64" s="29" t="n">
        <f aca="false">'Task Breakdown'!Q250</f>
        <v>0</v>
      </c>
      <c r="N64" s="29" t="n">
        <f aca="false">'Task Breakdown'!R250</f>
        <v>0</v>
      </c>
      <c r="O64" s="29" t="n">
        <f aca="false">'Task Breakdown'!S250</f>
        <v>0</v>
      </c>
      <c r="P64" s="29" t="n">
        <f aca="false">'Task Breakdown'!T250</f>
        <v>0</v>
      </c>
      <c r="Q64" s="30" t="n">
        <f aca="false">SUM(E64:P64)</f>
        <v>82</v>
      </c>
      <c r="R64" s="31" t="n">
        <f aca="false">IF($Q$199&gt;0,Q64/$Q$199,0)</f>
        <v>0.0150707590516449</v>
      </c>
    </row>
    <row r="65" customFormat="false" ht="15" hidden="false" customHeight="false" outlineLevel="0" collapsed="false">
      <c r="A65" s="26" t="str">
        <f aca="false">'Task Breakdown'!A251</f>
        <v>PS-4.06.05</v>
      </c>
      <c r="B65" s="27" t="str">
        <f aca="false">'Task Breakdown'!G251</f>
        <v>Connect MES and AVEVA PI data feeds</v>
      </c>
      <c r="C65" s="28"/>
      <c r="D65" s="28"/>
      <c r="E65" s="29" t="n">
        <f aca="false">'Task Breakdown'!I251</f>
        <v>0</v>
      </c>
      <c r="F65" s="29" t="n">
        <f aca="false">'Task Breakdown'!J251</f>
        <v>0</v>
      </c>
      <c r="G65" s="29" t="n">
        <f aca="false">'Task Breakdown'!K251</f>
        <v>0</v>
      </c>
      <c r="H65" s="29" t="n">
        <f aca="false">'Task Breakdown'!L251</f>
        <v>0</v>
      </c>
      <c r="I65" s="29" t="n">
        <f aca="false">'Task Breakdown'!M251</f>
        <v>0</v>
      </c>
      <c r="J65" s="29" t="n">
        <f aca="false">'Task Breakdown'!N251</f>
        <v>0</v>
      </c>
      <c r="K65" s="29" t="n">
        <f aca="false">'Task Breakdown'!O251</f>
        <v>65</v>
      </c>
      <c r="L65" s="29" t="n">
        <f aca="false">'Task Breakdown'!P251</f>
        <v>0</v>
      </c>
      <c r="M65" s="29" t="n">
        <f aca="false">'Task Breakdown'!Q251</f>
        <v>0</v>
      </c>
      <c r="N65" s="29" t="n">
        <f aca="false">'Task Breakdown'!R251</f>
        <v>0</v>
      </c>
      <c r="O65" s="29" t="n">
        <f aca="false">'Task Breakdown'!S251</f>
        <v>0</v>
      </c>
      <c r="P65" s="29" t="n">
        <f aca="false">'Task Breakdown'!T251</f>
        <v>0</v>
      </c>
      <c r="Q65" s="30" t="n">
        <f aca="false">SUM(E65:P65)</f>
        <v>65</v>
      </c>
      <c r="R65" s="31" t="n">
        <f aca="false">IF($Q$199&gt;0,Q65/$Q$199,0)</f>
        <v>0.0119463333945966</v>
      </c>
    </row>
    <row r="66" customFormat="false" ht="15" hidden="false" customHeight="false" outlineLevel="0" collapsed="false">
      <c r="A66" s="26" t="str">
        <f aca="false">'Task Breakdown'!A252</f>
        <v>PS-4.06.06</v>
      </c>
      <c r="B66" s="27" t="str">
        <f aca="false">'Task Breakdown'!G252</f>
        <v>OT security review</v>
      </c>
      <c r="C66" s="28"/>
      <c r="D66" s="28"/>
      <c r="E66" s="29" t="n">
        <f aca="false">'Task Breakdown'!I252</f>
        <v>0</v>
      </c>
      <c r="F66" s="29" t="n">
        <f aca="false">'Task Breakdown'!J252</f>
        <v>0</v>
      </c>
      <c r="G66" s="29" t="n">
        <f aca="false">'Task Breakdown'!K252</f>
        <v>0</v>
      </c>
      <c r="H66" s="29" t="n">
        <f aca="false">'Task Breakdown'!L252</f>
        <v>33</v>
      </c>
      <c r="I66" s="29" t="n">
        <f aca="false">'Task Breakdown'!M252</f>
        <v>0</v>
      </c>
      <c r="J66" s="29" t="n">
        <f aca="false">'Task Breakdown'!N252</f>
        <v>0</v>
      </c>
      <c r="K66" s="29" t="n">
        <f aca="false">'Task Breakdown'!O252</f>
        <v>0</v>
      </c>
      <c r="L66" s="29" t="n">
        <f aca="false">'Task Breakdown'!P252</f>
        <v>0</v>
      </c>
      <c r="M66" s="29" t="n">
        <f aca="false">'Task Breakdown'!Q252</f>
        <v>0</v>
      </c>
      <c r="N66" s="29" t="n">
        <f aca="false">'Task Breakdown'!R252</f>
        <v>0</v>
      </c>
      <c r="O66" s="29" t="n">
        <f aca="false">'Task Breakdown'!S252</f>
        <v>0</v>
      </c>
      <c r="P66" s="29" t="n">
        <f aca="false">'Task Breakdown'!T252</f>
        <v>0</v>
      </c>
      <c r="Q66" s="30" t="n">
        <f aca="false">SUM(E66:P66)</f>
        <v>33</v>
      </c>
      <c r="R66" s="31" t="n">
        <f aca="false">IF($Q$199&gt;0,Q66/$Q$199,0)</f>
        <v>0.00606506156956442</v>
      </c>
    </row>
    <row r="67" customFormat="false" ht="15" hidden="false" customHeight="false" outlineLevel="0" collapsed="false">
      <c r="A67" s="26" t="str">
        <f aca="false">'Task Breakdown'!A253</f>
        <v>PS-4.06.07</v>
      </c>
      <c r="B67" s="27" t="str">
        <f aca="false">'Task Breakdown'!G253</f>
        <v>Failover and latency testing</v>
      </c>
      <c r="C67" s="28"/>
      <c r="D67" s="28"/>
      <c r="E67" s="29" t="n">
        <f aca="false">'Task Breakdown'!I253</f>
        <v>0</v>
      </c>
      <c r="F67" s="29" t="n">
        <f aca="false">'Task Breakdown'!J253</f>
        <v>0</v>
      </c>
      <c r="G67" s="29" t="n">
        <f aca="false">'Task Breakdown'!K253</f>
        <v>49</v>
      </c>
      <c r="H67" s="29" t="n">
        <f aca="false">'Task Breakdown'!L253</f>
        <v>0</v>
      </c>
      <c r="I67" s="29" t="n">
        <f aca="false">'Task Breakdown'!M253</f>
        <v>0</v>
      </c>
      <c r="J67" s="29" t="n">
        <f aca="false">'Task Breakdown'!N253</f>
        <v>0</v>
      </c>
      <c r="K67" s="29" t="n">
        <f aca="false">'Task Breakdown'!O253</f>
        <v>0</v>
      </c>
      <c r="L67" s="29" t="n">
        <f aca="false">'Task Breakdown'!P253</f>
        <v>0</v>
      </c>
      <c r="M67" s="29" t="n">
        <f aca="false">'Task Breakdown'!Q253</f>
        <v>0</v>
      </c>
      <c r="N67" s="29" t="n">
        <f aca="false">'Task Breakdown'!R253</f>
        <v>0</v>
      </c>
      <c r="O67" s="29" t="n">
        <f aca="false">'Task Breakdown'!S253</f>
        <v>65</v>
      </c>
      <c r="P67" s="29" t="n">
        <f aca="false">'Task Breakdown'!T253</f>
        <v>0</v>
      </c>
      <c r="Q67" s="30" t="n">
        <f aca="false">SUM(E67:P67)</f>
        <v>114</v>
      </c>
      <c r="R67" s="31" t="n">
        <f aca="false">IF($Q$199&gt;0,Q67/$Q$199,0)</f>
        <v>0.0209520308766771</v>
      </c>
    </row>
    <row r="68" customFormat="false" ht="15" hidden="false" customHeight="false" outlineLevel="0" collapsed="false">
      <c r="A68" s="26" t="str">
        <f aca="false">'Task Breakdown'!A254</f>
        <v>PS-4.06.08</v>
      </c>
      <c r="B68" s="27" t="str">
        <f aca="false">'Task Breakdown'!G254</f>
        <v>Detailed design and design review</v>
      </c>
      <c r="C68" s="28"/>
      <c r="D68" s="28"/>
      <c r="E68" s="29" t="n">
        <f aca="false">'Task Breakdown'!I254</f>
        <v>0</v>
      </c>
      <c r="F68" s="29" t="n">
        <f aca="false">'Task Breakdown'!J254</f>
        <v>27</v>
      </c>
      <c r="G68" s="29" t="n">
        <f aca="false">'Task Breakdown'!K254</f>
        <v>0</v>
      </c>
      <c r="H68" s="29" t="n">
        <f aca="false">'Task Breakdown'!L254</f>
        <v>0</v>
      </c>
      <c r="I68" s="29" t="n">
        <f aca="false">'Task Breakdown'!M254</f>
        <v>0</v>
      </c>
      <c r="J68" s="29" t="n">
        <f aca="false">'Task Breakdown'!N254</f>
        <v>0</v>
      </c>
      <c r="K68" s="29" t="n">
        <f aca="false">'Task Breakdown'!O254</f>
        <v>0</v>
      </c>
      <c r="L68" s="29" t="n">
        <f aca="false">'Task Breakdown'!P254</f>
        <v>0</v>
      </c>
      <c r="M68" s="29" t="n">
        <f aca="false">'Task Breakdown'!Q254</f>
        <v>0</v>
      </c>
      <c r="N68" s="29" t="n">
        <f aca="false">'Task Breakdown'!R254</f>
        <v>0</v>
      </c>
      <c r="O68" s="29" t="n">
        <f aca="false">'Task Breakdown'!S254</f>
        <v>0</v>
      </c>
      <c r="P68" s="29" t="n">
        <f aca="false">'Task Breakdown'!T254</f>
        <v>0</v>
      </c>
      <c r="Q68" s="30" t="n">
        <f aca="false">SUM(E68:P68)</f>
        <v>27</v>
      </c>
      <c r="R68" s="31" t="n">
        <f aca="false">IF($Q$199&gt;0,Q68/$Q$199,0)</f>
        <v>0.00496232310237089</v>
      </c>
    </row>
    <row r="69" customFormat="false" ht="15" hidden="false" customHeight="false" outlineLevel="0" collapsed="false">
      <c r="A69" s="26" t="str">
        <f aca="false">'Task Breakdown'!A255</f>
        <v>PS-4.06.09</v>
      </c>
      <c r="B69" s="27" t="str">
        <f aca="false">'Task Breakdown'!G255</f>
        <v>Promote through dev / test / prod and release</v>
      </c>
      <c r="C69" s="28"/>
      <c r="D69" s="28"/>
      <c r="E69" s="29" t="n">
        <f aca="false">'Task Breakdown'!I255</f>
        <v>0</v>
      </c>
      <c r="F69" s="29" t="n">
        <f aca="false">'Task Breakdown'!J255</f>
        <v>0</v>
      </c>
      <c r="G69" s="29" t="n">
        <f aca="false">'Task Breakdown'!K255</f>
        <v>18</v>
      </c>
      <c r="H69" s="29" t="n">
        <f aca="false">'Task Breakdown'!L255</f>
        <v>0</v>
      </c>
      <c r="I69" s="29" t="n">
        <f aca="false">'Task Breakdown'!M255</f>
        <v>0</v>
      </c>
      <c r="J69" s="29" t="n">
        <f aca="false">'Task Breakdown'!N255</f>
        <v>0</v>
      </c>
      <c r="K69" s="29" t="n">
        <f aca="false">'Task Breakdown'!O255</f>
        <v>0</v>
      </c>
      <c r="L69" s="29" t="n">
        <f aca="false">'Task Breakdown'!P255</f>
        <v>0</v>
      </c>
      <c r="M69" s="29" t="n">
        <f aca="false">'Task Breakdown'!Q255</f>
        <v>0</v>
      </c>
      <c r="N69" s="29" t="n">
        <f aca="false">'Task Breakdown'!R255</f>
        <v>0</v>
      </c>
      <c r="O69" s="29" t="n">
        <f aca="false">'Task Breakdown'!S255</f>
        <v>0</v>
      </c>
      <c r="P69" s="29" t="n">
        <f aca="false">'Task Breakdown'!T255</f>
        <v>0</v>
      </c>
      <c r="Q69" s="30" t="n">
        <f aca="false">SUM(E69:P69)</f>
        <v>18</v>
      </c>
      <c r="R69" s="31" t="n">
        <f aca="false">IF($Q$199&gt;0,Q69/$Q$199,0)</f>
        <v>0.00330821540158059</v>
      </c>
    </row>
    <row r="70" customFormat="false" ht="15" hidden="false" customHeight="false" outlineLevel="0" collapsed="false">
      <c r="A70" s="26" t="str">
        <f aca="false">'Task Breakdown'!A256</f>
        <v>PS-4.06.10</v>
      </c>
      <c r="B70" s="27" t="str">
        <f aca="false">'Task Breakdown'!G256</f>
        <v>Documentation, runbook and knowledge transfer</v>
      </c>
      <c r="C70" s="28"/>
      <c r="D70" s="28"/>
      <c r="E70" s="29" t="n">
        <f aca="false">'Task Breakdown'!I256</f>
        <v>0</v>
      </c>
      <c r="F70" s="29" t="n">
        <f aca="false">'Task Breakdown'!J256</f>
        <v>0</v>
      </c>
      <c r="G70" s="29" t="n">
        <f aca="false">'Task Breakdown'!K256</f>
        <v>18</v>
      </c>
      <c r="H70" s="29" t="n">
        <f aca="false">'Task Breakdown'!L256</f>
        <v>0</v>
      </c>
      <c r="I70" s="29" t="n">
        <f aca="false">'Task Breakdown'!M256</f>
        <v>0</v>
      </c>
      <c r="J70" s="29" t="n">
        <f aca="false">'Task Breakdown'!N256</f>
        <v>0</v>
      </c>
      <c r="K70" s="29" t="n">
        <f aca="false">'Task Breakdown'!O256</f>
        <v>0</v>
      </c>
      <c r="L70" s="29" t="n">
        <f aca="false">'Task Breakdown'!P256</f>
        <v>0</v>
      </c>
      <c r="M70" s="29" t="n">
        <f aca="false">'Task Breakdown'!Q256</f>
        <v>0</v>
      </c>
      <c r="N70" s="29" t="n">
        <f aca="false">'Task Breakdown'!R256</f>
        <v>0</v>
      </c>
      <c r="O70" s="29" t="n">
        <f aca="false">'Task Breakdown'!S256</f>
        <v>0</v>
      </c>
      <c r="P70" s="29" t="n">
        <f aca="false">'Task Breakdown'!T256</f>
        <v>0</v>
      </c>
      <c r="Q70" s="30" t="n">
        <f aca="false">SUM(E70:P70)</f>
        <v>18</v>
      </c>
      <c r="R70" s="31" t="n">
        <f aca="false">IF($Q$199&gt;0,Q70/$Q$199,0)</f>
        <v>0.00330821540158059</v>
      </c>
    </row>
    <row r="71" customFormat="false" ht="15" hidden="false" customHeight="false" outlineLevel="0" collapsed="false">
      <c r="A71" s="26" t="str">
        <f aca="false">'Task Breakdown'!A257</f>
        <v>PS-4.06.11</v>
      </c>
      <c r="B71" s="27" t="str">
        <f aca="false">'Task Breakdown'!G257</f>
        <v>Defect fixing and rework after testing</v>
      </c>
      <c r="C71" s="28"/>
      <c r="D71" s="28"/>
      <c r="E71" s="29" t="n">
        <f aca="false">'Task Breakdown'!I257</f>
        <v>0</v>
      </c>
      <c r="F71" s="29" t="n">
        <f aca="false">'Task Breakdown'!J257</f>
        <v>0</v>
      </c>
      <c r="G71" s="29" t="n">
        <f aca="false">'Task Breakdown'!K257</f>
        <v>37</v>
      </c>
      <c r="H71" s="29" t="n">
        <f aca="false">'Task Breakdown'!L257</f>
        <v>0</v>
      </c>
      <c r="I71" s="29" t="n">
        <f aca="false">'Task Breakdown'!M257</f>
        <v>0</v>
      </c>
      <c r="J71" s="29" t="n">
        <f aca="false">'Task Breakdown'!N257</f>
        <v>0</v>
      </c>
      <c r="K71" s="29" t="n">
        <f aca="false">'Task Breakdown'!O257</f>
        <v>0</v>
      </c>
      <c r="L71" s="29" t="n">
        <f aca="false">'Task Breakdown'!P257</f>
        <v>0</v>
      </c>
      <c r="M71" s="29" t="n">
        <f aca="false">'Task Breakdown'!Q257</f>
        <v>0</v>
      </c>
      <c r="N71" s="29" t="n">
        <f aca="false">'Task Breakdown'!R257</f>
        <v>0</v>
      </c>
      <c r="O71" s="29" t="n">
        <f aca="false">'Task Breakdown'!S257</f>
        <v>0</v>
      </c>
      <c r="P71" s="29" t="n">
        <f aca="false">'Task Breakdown'!T257</f>
        <v>0</v>
      </c>
      <c r="Q71" s="30" t="n">
        <f aca="false">SUM(E71:P71)</f>
        <v>37</v>
      </c>
      <c r="R71" s="31" t="n">
        <f aca="false">IF($Q$199&gt;0,Q71/$Q$199,0)</f>
        <v>0.00680022054769344</v>
      </c>
    </row>
    <row r="72" customFormat="false" ht="23.85" hidden="false" customHeight="false" outlineLevel="0" collapsed="false">
      <c r="A72" s="23" t="s">
        <v>319</v>
      </c>
      <c r="B72" s="23" t="s">
        <v>320</v>
      </c>
      <c r="C72" s="23" t="s">
        <v>42</v>
      </c>
      <c r="D72" s="23" t="s">
        <v>321</v>
      </c>
      <c r="E72" s="24" t="n">
        <f aca="false">SUM(E73:E76)</f>
        <v>8</v>
      </c>
      <c r="F72" s="24" t="n">
        <f aca="false">SUM(F73:F76)</f>
        <v>8</v>
      </c>
      <c r="G72" s="24" t="n">
        <f aca="false">SUM(G73:G76)</f>
        <v>56</v>
      </c>
      <c r="H72" s="24" t="n">
        <f aca="false">SUM(H73:H76)</f>
        <v>0</v>
      </c>
      <c r="I72" s="24" t="n">
        <f aca="false">SUM(I73:I76)</f>
        <v>0</v>
      </c>
      <c r="J72" s="24" t="n">
        <f aca="false">SUM(J73:J76)</f>
        <v>16</v>
      </c>
      <c r="K72" s="24" t="n">
        <f aca="false">SUM(K73:K76)</f>
        <v>8</v>
      </c>
      <c r="L72" s="24" t="n">
        <f aca="false">SUM(L73:L76)</f>
        <v>0</v>
      </c>
      <c r="M72" s="24" t="n">
        <f aca="false">SUM(M73:M76)</f>
        <v>16</v>
      </c>
      <c r="N72" s="24" t="n">
        <f aca="false">SUM(N73:N76)</f>
        <v>0</v>
      </c>
      <c r="O72" s="24" t="n">
        <f aca="false">SUM(O73:O76)</f>
        <v>8</v>
      </c>
      <c r="P72" s="24" t="n">
        <f aca="false">SUM(P73:P76)</f>
        <v>0</v>
      </c>
      <c r="Q72" s="24" t="n">
        <f aca="false">SUM(Q73:Q76)</f>
        <v>120</v>
      </c>
      <c r="R72" s="25" t="n">
        <f aca="false">IF($Q$199&gt;0,Q72/$Q$199,0)</f>
        <v>0.0220547693438706</v>
      </c>
    </row>
    <row r="73" customFormat="false" ht="15" hidden="false" customHeight="false" outlineLevel="0" collapsed="false">
      <c r="A73" s="26" t="str">
        <f aca="false">'Task Breakdown'!A665</f>
        <v>PS-4.07.01</v>
      </c>
      <c r="B73" s="27" t="str">
        <f aca="false">'Task Breakdown'!G665</f>
        <v>Define L1 / L2 / L3 support model and SLAs</v>
      </c>
      <c r="C73" s="28"/>
      <c r="D73" s="28"/>
      <c r="E73" s="29" t="n">
        <f aca="false">'Task Breakdown'!I665</f>
        <v>8</v>
      </c>
      <c r="F73" s="29" t="n">
        <f aca="false">'Task Breakdown'!J665</f>
        <v>0</v>
      </c>
      <c r="G73" s="29" t="n">
        <f aca="false">'Task Breakdown'!K665</f>
        <v>8</v>
      </c>
      <c r="H73" s="29" t="n">
        <f aca="false">'Task Breakdown'!L665</f>
        <v>0</v>
      </c>
      <c r="I73" s="29" t="n">
        <f aca="false">'Task Breakdown'!M665</f>
        <v>0</v>
      </c>
      <c r="J73" s="29" t="n">
        <f aca="false">'Task Breakdown'!N665</f>
        <v>0</v>
      </c>
      <c r="K73" s="29" t="n">
        <f aca="false">'Task Breakdown'!O665</f>
        <v>0</v>
      </c>
      <c r="L73" s="29" t="n">
        <f aca="false">'Task Breakdown'!P665</f>
        <v>0</v>
      </c>
      <c r="M73" s="29" t="n">
        <f aca="false">'Task Breakdown'!Q665</f>
        <v>0</v>
      </c>
      <c r="N73" s="29" t="n">
        <f aca="false">'Task Breakdown'!R665</f>
        <v>0</v>
      </c>
      <c r="O73" s="29" t="n">
        <f aca="false">'Task Breakdown'!S665</f>
        <v>0</v>
      </c>
      <c r="P73" s="29" t="n">
        <f aca="false">'Task Breakdown'!T665</f>
        <v>0</v>
      </c>
      <c r="Q73" s="30" t="n">
        <f aca="false">SUM(E73:P73)</f>
        <v>16</v>
      </c>
      <c r="R73" s="31" t="n">
        <f aca="false">IF($Q$199&gt;0,Q73/$Q$199,0)</f>
        <v>0.00294063591251608</v>
      </c>
    </row>
    <row r="74" customFormat="false" ht="15" hidden="false" customHeight="false" outlineLevel="0" collapsed="false">
      <c r="A74" s="26" t="str">
        <f aca="false">'Task Breakdown'!A666</f>
        <v>PS-4.07.02</v>
      </c>
      <c r="B74" s="27" t="str">
        <f aca="false">'Task Breakdown'!G666</f>
        <v>Integrate alerts and incidents with ServiceNow</v>
      </c>
      <c r="C74" s="28"/>
      <c r="D74" s="28"/>
      <c r="E74" s="29" t="n">
        <f aca="false">'Task Breakdown'!I666</f>
        <v>0</v>
      </c>
      <c r="F74" s="29" t="n">
        <f aca="false">'Task Breakdown'!J666</f>
        <v>0</v>
      </c>
      <c r="G74" s="29" t="n">
        <f aca="false">'Task Breakdown'!K666</f>
        <v>24</v>
      </c>
      <c r="H74" s="29" t="n">
        <f aca="false">'Task Breakdown'!L666</f>
        <v>0</v>
      </c>
      <c r="I74" s="29" t="n">
        <f aca="false">'Task Breakdown'!M666</f>
        <v>0</v>
      </c>
      <c r="J74" s="29" t="n">
        <f aca="false">'Task Breakdown'!N666</f>
        <v>0</v>
      </c>
      <c r="K74" s="29" t="n">
        <f aca="false">'Task Breakdown'!O666</f>
        <v>0</v>
      </c>
      <c r="L74" s="29" t="n">
        <f aca="false">'Task Breakdown'!P666</f>
        <v>0</v>
      </c>
      <c r="M74" s="29" t="n">
        <f aca="false">'Task Breakdown'!Q666</f>
        <v>16</v>
      </c>
      <c r="N74" s="29" t="n">
        <f aca="false">'Task Breakdown'!R666</f>
        <v>0</v>
      </c>
      <c r="O74" s="29" t="n">
        <f aca="false">'Task Breakdown'!S666</f>
        <v>0</v>
      </c>
      <c r="P74" s="29" t="n">
        <f aca="false">'Task Breakdown'!T666</f>
        <v>0</v>
      </c>
      <c r="Q74" s="30" t="n">
        <f aca="false">SUM(E74:P74)</f>
        <v>40</v>
      </c>
      <c r="R74" s="31" t="n">
        <f aca="false">IF($Q$199&gt;0,Q74/$Q$199,0)</f>
        <v>0.0073515897812902</v>
      </c>
    </row>
    <row r="75" customFormat="false" ht="15" hidden="false" customHeight="false" outlineLevel="0" collapsed="false">
      <c r="A75" s="26" t="str">
        <f aca="false">'Task Breakdown'!A667</f>
        <v>PS-4.07.03</v>
      </c>
      <c r="B75" s="27" t="str">
        <f aca="false">'Task Breakdown'!G667</f>
        <v>Runbooks and knowledge-transfer sessions to run team</v>
      </c>
      <c r="C75" s="28"/>
      <c r="D75" s="28"/>
      <c r="E75" s="29" t="n">
        <f aca="false">'Task Breakdown'!I667</f>
        <v>0</v>
      </c>
      <c r="F75" s="29" t="n">
        <f aca="false">'Task Breakdown'!J667</f>
        <v>0</v>
      </c>
      <c r="G75" s="29" t="n">
        <f aca="false">'Task Breakdown'!K667</f>
        <v>24</v>
      </c>
      <c r="H75" s="29" t="n">
        <f aca="false">'Task Breakdown'!L667</f>
        <v>0</v>
      </c>
      <c r="I75" s="29" t="n">
        <f aca="false">'Task Breakdown'!M667</f>
        <v>0</v>
      </c>
      <c r="J75" s="29" t="n">
        <f aca="false">'Task Breakdown'!N667</f>
        <v>16</v>
      </c>
      <c r="K75" s="29" t="n">
        <f aca="false">'Task Breakdown'!O667</f>
        <v>8</v>
      </c>
      <c r="L75" s="29" t="n">
        <f aca="false">'Task Breakdown'!P667</f>
        <v>0</v>
      </c>
      <c r="M75" s="29" t="n">
        <f aca="false">'Task Breakdown'!Q667</f>
        <v>0</v>
      </c>
      <c r="N75" s="29" t="n">
        <f aca="false">'Task Breakdown'!R667</f>
        <v>0</v>
      </c>
      <c r="O75" s="29" t="n">
        <f aca="false">'Task Breakdown'!S667</f>
        <v>0</v>
      </c>
      <c r="P75" s="29" t="n">
        <f aca="false">'Task Breakdown'!T667</f>
        <v>0</v>
      </c>
      <c r="Q75" s="30" t="n">
        <f aca="false">SUM(E75:P75)</f>
        <v>48</v>
      </c>
      <c r="R75" s="31" t="n">
        <f aca="false">IF($Q$199&gt;0,Q75/$Q$199,0)</f>
        <v>0.00882190773754825</v>
      </c>
    </row>
    <row r="76" customFormat="false" ht="15" hidden="false" customHeight="false" outlineLevel="0" collapsed="false">
      <c r="A76" s="26" t="str">
        <f aca="false">'Task Breakdown'!A668</f>
        <v>PS-4.07.04</v>
      </c>
      <c r="B76" s="27" t="str">
        <f aca="false">'Task Breakdown'!G668</f>
        <v>Operational readiness review</v>
      </c>
      <c r="C76" s="28"/>
      <c r="D76" s="28"/>
      <c r="E76" s="29" t="n">
        <f aca="false">'Task Breakdown'!I668</f>
        <v>0</v>
      </c>
      <c r="F76" s="29" t="n">
        <f aca="false">'Task Breakdown'!J668</f>
        <v>8</v>
      </c>
      <c r="G76" s="29" t="n">
        <f aca="false">'Task Breakdown'!K668</f>
        <v>0</v>
      </c>
      <c r="H76" s="29" t="n">
        <f aca="false">'Task Breakdown'!L668</f>
        <v>0</v>
      </c>
      <c r="I76" s="29" t="n">
        <f aca="false">'Task Breakdown'!M668</f>
        <v>0</v>
      </c>
      <c r="J76" s="29" t="n">
        <f aca="false">'Task Breakdown'!N668</f>
        <v>0</v>
      </c>
      <c r="K76" s="29" t="n">
        <f aca="false">'Task Breakdown'!O668</f>
        <v>0</v>
      </c>
      <c r="L76" s="29" t="n">
        <f aca="false">'Task Breakdown'!P668</f>
        <v>0</v>
      </c>
      <c r="M76" s="29" t="n">
        <f aca="false">'Task Breakdown'!Q668</f>
        <v>0</v>
      </c>
      <c r="N76" s="29" t="n">
        <f aca="false">'Task Breakdown'!R668</f>
        <v>0</v>
      </c>
      <c r="O76" s="29" t="n">
        <f aca="false">'Task Breakdown'!S668</f>
        <v>8</v>
      </c>
      <c r="P76" s="29" t="n">
        <f aca="false">'Task Breakdown'!T668</f>
        <v>0</v>
      </c>
      <c r="Q76" s="30" t="n">
        <f aca="false">SUM(E76:P76)</f>
        <v>16</v>
      </c>
      <c r="R76" s="31" t="n">
        <f aca="false">IF($Q$199&gt;0,Q76/$Q$199,0)</f>
        <v>0.00294063591251608</v>
      </c>
    </row>
    <row r="77" customFormat="false" ht="15" hidden="false" customHeight="false" outlineLevel="0" collapsed="false">
      <c r="A77" s="9"/>
      <c r="B77" s="10" t="s">
        <v>119</v>
      </c>
      <c r="C77" s="9"/>
      <c r="D77" s="9"/>
      <c r="E77" s="32" t="n">
        <f aca="false">E6+E18+E28+E38+E50+E60+E72</f>
        <v>8</v>
      </c>
      <c r="F77" s="32" t="n">
        <f aca="false">F6+F18+F28+F38+F50+F60+F72</f>
        <v>141</v>
      </c>
      <c r="G77" s="32" t="n">
        <f aca="false">G6+G18+G28+G38+G50+G60+G72</f>
        <v>601</v>
      </c>
      <c r="H77" s="32" t="n">
        <f aca="false">H6+H18+H28+H38+H50+H60+H72</f>
        <v>109</v>
      </c>
      <c r="I77" s="32" t="n">
        <f aca="false">I6+I18+I28+I38+I50+I60+I72</f>
        <v>56</v>
      </c>
      <c r="J77" s="32" t="n">
        <f aca="false">J6+J18+J28+J38+J50+J60+J72</f>
        <v>354</v>
      </c>
      <c r="K77" s="32" t="n">
        <f aca="false">K6+K18+K28+K38+K50+K60+K72</f>
        <v>73</v>
      </c>
      <c r="L77" s="32" t="n">
        <f aca="false">L6+L18+L28+L38+L50+L60+L72</f>
        <v>0</v>
      </c>
      <c r="M77" s="32" t="n">
        <f aca="false">M6+M18+M28+M38+M50+M60+M72</f>
        <v>48</v>
      </c>
      <c r="N77" s="32" t="n">
        <f aca="false">N6+N18+N28+N38+N50+N60+N72</f>
        <v>40</v>
      </c>
      <c r="O77" s="32" t="n">
        <f aca="false">O6+O18+O28+O38+O50+O60+O72</f>
        <v>211</v>
      </c>
      <c r="P77" s="32" t="n">
        <f aca="false">P6+P18+P28+P38+P50+P60+P72</f>
        <v>0</v>
      </c>
      <c r="Q77" s="32" t="n">
        <f aca="false">Q6+Q18+Q28+Q38+Q50+Q60+Q72</f>
        <v>1641</v>
      </c>
      <c r="R77" s="33" t="n">
        <f aca="false">IF($Q$199&gt;0,Q77/$Q$199,0)</f>
        <v>0.301598970777431</v>
      </c>
    </row>
    <row r="79" customFormat="false" ht="15" hidden="false" customHeight="false" outlineLevel="0" collapsed="false">
      <c r="A79" s="21" t="s">
        <v>322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</row>
    <row r="80" customFormat="false" ht="15" hidden="false" customHeight="false" outlineLevel="0" collapsed="false">
      <c r="A80" s="23" t="s">
        <v>323</v>
      </c>
      <c r="B80" s="23" t="s">
        <v>324</v>
      </c>
      <c r="C80" s="23" t="s">
        <v>44</v>
      </c>
      <c r="D80" s="23" t="s">
        <v>325</v>
      </c>
      <c r="E80" s="24" t="n">
        <f aca="false">SUM(E81:E88)</f>
        <v>0</v>
      </c>
      <c r="F80" s="24" t="n">
        <f aca="false">SUM(F81:F88)</f>
        <v>0</v>
      </c>
      <c r="G80" s="24" t="n">
        <f aca="false">SUM(G81:G88)</f>
        <v>20</v>
      </c>
      <c r="H80" s="24" t="n">
        <f aca="false">SUM(H81:H88)</f>
        <v>0</v>
      </c>
      <c r="I80" s="24" t="n">
        <f aca="false">SUM(I81:I88)</f>
        <v>0</v>
      </c>
      <c r="J80" s="24" t="n">
        <f aca="false">SUM(J81:J88)</f>
        <v>32</v>
      </c>
      <c r="K80" s="24" t="n">
        <f aca="false">SUM(K81:K88)</f>
        <v>60</v>
      </c>
      <c r="L80" s="24" t="n">
        <f aca="false">SUM(L81:L88)</f>
        <v>6</v>
      </c>
      <c r="M80" s="24" t="n">
        <f aca="false">SUM(M81:M88)</f>
        <v>0</v>
      </c>
      <c r="N80" s="24" t="n">
        <f aca="false">SUM(N81:N88)</f>
        <v>0</v>
      </c>
      <c r="O80" s="24" t="n">
        <f aca="false">SUM(O81:O88)</f>
        <v>0</v>
      </c>
      <c r="P80" s="24" t="n">
        <f aca="false">SUM(P81:P88)</f>
        <v>0</v>
      </c>
      <c r="Q80" s="24" t="n">
        <f aca="false">SUM(Q81:Q88)</f>
        <v>118</v>
      </c>
      <c r="R80" s="25" t="n">
        <f aca="false">IF($Q$199&gt;0,Q80/$Q$199,0)</f>
        <v>0.0216871898548061</v>
      </c>
    </row>
    <row r="81" customFormat="false" ht="15" hidden="false" customHeight="false" outlineLevel="0" collapsed="false">
      <c r="A81" s="26" t="str">
        <f aca="false">'Task Breakdown'!A416</f>
        <v>DR-4.01.01</v>
      </c>
      <c r="B81" s="27" t="str">
        <f aca="false">'Task Breakdown'!G416</f>
        <v>Define freshness SLAs per source</v>
      </c>
      <c r="C81" s="28"/>
      <c r="D81" s="28"/>
      <c r="E81" s="29" t="n">
        <f aca="false">'Task Breakdown'!I416</f>
        <v>0</v>
      </c>
      <c r="F81" s="29" t="n">
        <f aca="false">'Task Breakdown'!J416</f>
        <v>0</v>
      </c>
      <c r="G81" s="29" t="n">
        <f aca="false">'Task Breakdown'!K416</f>
        <v>0</v>
      </c>
      <c r="H81" s="29" t="n">
        <f aca="false">'Task Breakdown'!L416</f>
        <v>0</v>
      </c>
      <c r="I81" s="29" t="n">
        <f aca="false">'Task Breakdown'!M416</f>
        <v>0</v>
      </c>
      <c r="J81" s="29" t="n">
        <f aca="false">'Task Breakdown'!N416</f>
        <v>0</v>
      </c>
      <c r="K81" s="29" t="n">
        <f aca="false">'Task Breakdown'!O416</f>
        <v>8</v>
      </c>
      <c r="L81" s="29" t="n">
        <f aca="false">'Task Breakdown'!P416</f>
        <v>0</v>
      </c>
      <c r="M81" s="29" t="n">
        <f aca="false">'Task Breakdown'!Q416</f>
        <v>0</v>
      </c>
      <c r="N81" s="29" t="n">
        <f aca="false">'Task Breakdown'!R416</f>
        <v>0</v>
      </c>
      <c r="O81" s="29" t="n">
        <f aca="false">'Task Breakdown'!S416</f>
        <v>0</v>
      </c>
      <c r="P81" s="29" t="n">
        <f aca="false">'Task Breakdown'!T416</f>
        <v>0</v>
      </c>
      <c r="Q81" s="30" t="n">
        <f aca="false">SUM(E81:P81)</f>
        <v>8</v>
      </c>
      <c r="R81" s="31" t="n">
        <f aca="false">IF($Q$199&gt;0,Q81/$Q$199,0)</f>
        <v>0.00147031795625804</v>
      </c>
    </row>
    <row r="82" customFormat="false" ht="15" hidden="false" customHeight="false" outlineLevel="0" collapsed="false">
      <c r="A82" s="26" t="str">
        <f aca="false">'Task Breakdown'!A417</f>
        <v>DR-4.01.02</v>
      </c>
      <c r="B82" s="27" t="str">
        <f aca="false">'Task Breakdown'!G417</f>
        <v>Schedule incremental re-indexing</v>
      </c>
      <c r="C82" s="28"/>
      <c r="D82" s="28"/>
      <c r="E82" s="29" t="n">
        <f aca="false">'Task Breakdown'!I417</f>
        <v>0</v>
      </c>
      <c r="F82" s="29" t="n">
        <f aca="false">'Task Breakdown'!J417</f>
        <v>0</v>
      </c>
      <c r="G82" s="29" t="n">
        <f aca="false">'Task Breakdown'!K417</f>
        <v>0</v>
      </c>
      <c r="H82" s="29" t="n">
        <f aca="false">'Task Breakdown'!L417</f>
        <v>0</v>
      </c>
      <c r="I82" s="29" t="n">
        <f aca="false">'Task Breakdown'!M417</f>
        <v>0</v>
      </c>
      <c r="J82" s="29" t="n">
        <f aca="false">'Task Breakdown'!N417</f>
        <v>16</v>
      </c>
      <c r="K82" s="29" t="n">
        <f aca="false">'Task Breakdown'!O417</f>
        <v>24</v>
      </c>
      <c r="L82" s="29" t="n">
        <f aca="false">'Task Breakdown'!P417</f>
        <v>0</v>
      </c>
      <c r="M82" s="29" t="n">
        <f aca="false">'Task Breakdown'!Q417</f>
        <v>0</v>
      </c>
      <c r="N82" s="29" t="n">
        <f aca="false">'Task Breakdown'!R417</f>
        <v>0</v>
      </c>
      <c r="O82" s="29" t="n">
        <f aca="false">'Task Breakdown'!S417</f>
        <v>0</v>
      </c>
      <c r="P82" s="29" t="n">
        <f aca="false">'Task Breakdown'!T417</f>
        <v>0</v>
      </c>
      <c r="Q82" s="30" t="n">
        <f aca="false">SUM(E82:P82)</f>
        <v>40</v>
      </c>
      <c r="R82" s="31" t="n">
        <f aca="false">IF($Q$199&gt;0,Q82/$Q$199,0)</f>
        <v>0.0073515897812902</v>
      </c>
    </row>
    <row r="83" customFormat="false" ht="15" hidden="false" customHeight="false" outlineLevel="0" collapsed="false">
      <c r="A83" s="26" t="str">
        <f aca="false">'Task Breakdown'!A418</f>
        <v>DR-4.01.03</v>
      </c>
      <c r="B83" s="27" t="str">
        <f aca="false">'Task Breakdown'!G418</f>
        <v>Freshness monitoring and alerts</v>
      </c>
      <c r="C83" s="28"/>
      <c r="D83" s="28"/>
      <c r="E83" s="29" t="n">
        <f aca="false">'Task Breakdown'!I418</f>
        <v>0</v>
      </c>
      <c r="F83" s="29" t="n">
        <f aca="false">'Task Breakdown'!J418</f>
        <v>0</v>
      </c>
      <c r="G83" s="29" t="n">
        <f aca="false">'Task Breakdown'!K418</f>
        <v>16</v>
      </c>
      <c r="H83" s="29" t="n">
        <f aca="false">'Task Breakdown'!L418</f>
        <v>0</v>
      </c>
      <c r="I83" s="29" t="n">
        <f aca="false">'Task Breakdown'!M418</f>
        <v>0</v>
      </c>
      <c r="J83" s="29" t="n">
        <f aca="false">'Task Breakdown'!N418</f>
        <v>0</v>
      </c>
      <c r="K83" s="29" t="n">
        <f aca="false">'Task Breakdown'!O418</f>
        <v>16</v>
      </c>
      <c r="L83" s="29" t="n">
        <f aca="false">'Task Breakdown'!P418</f>
        <v>0</v>
      </c>
      <c r="M83" s="29" t="n">
        <f aca="false">'Task Breakdown'!Q418</f>
        <v>0</v>
      </c>
      <c r="N83" s="29" t="n">
        <f aca="false">'Task Breakdown'!R418</f>
        <v>0</v>
      </c>
      <c r="O83" s="29" t="n">
        <f aca="false">'Task Breakdown'!S418</f>
        <v>0</v>
      </c>
      <c r="P83" s="29" t="n">
        <f aca="false">'Task Breakdown'!T418</f>
        <v>0</v>
      </c>
      <c r="Q83" s="30" t="n">
        <f aca="false">SUM(E83:P83)</f>
        <v>32</v>
      </c>
      <c r="R83" s="31" t="n">
        <f aca="false">IF($Q$199&gt;0,Q83/$Q$199,0)</f>
        <v>0.00588127182503216</v>
      </c>
    </row>
    <row r="84" customFormat="false" ht="15" hidden="false" customHeight="false" outlineLevel="0" collapsed="false">
      <c r="A84" s="26" t="str">
        <f aca="false">'Task Breakdown'!A419</f>
        <v>DR-4.01.04</v>
      </c>
      <c r="B84" s="27" t="str">
        <f aca="false">'Task Breakdown'!G419</f>
        <v>Re-embed content when models change</v>
      </c>
      <c r="C84" s="28"/>
      <c r="D84" s="28"/>
      <c r="E84" s="29" t="n">
        <f aca="false">'Task Breakdown'!I419</f>
        <v>0</v>
      </c>
      <c r="F84" s="29" t="n">
        <f aca="false">'Task Breakdown'!J419</f>
        <v>0</v>
      </c>
      <c r="G84" s="29" t="n">
        <f aca="false">'Task Breakdown'!K419</f>
        <v>0</v>
      </c>
      <c r="H84" s="29" t="n">
        <f aca="false">'Task Breakdown'!L419</f>
        <v>0</v>
      </c>
      <c r="I84" s="29" t="n">
        <f aca="false">'Task Breakdown'!M419</f>
        <v>0</v>
      </c>
      <c r="J84" s="29" t="n">
        <f aca="false">'Task Breakdown'!N419</f>
        <v>16</v>
      </c>
      <c r="K84" s="29" t="n">
        <f aca="false">'Task Breakdown'!O419</f>
        <v>0</v>
      </c>
      <c r="L84" s="29" t="n">
        <f aca="false">'Task Breakdown'!P419</f>
        <v>0</v>
      </c>
      <c r="M84" s="29" t="n">
        <f aca="false">'Task Breakdown'!Q419</f>
        <v>0</v>
      </c>
      <c r="N84" s="29" t="n">
        <f aca="false">'Task Breakdown'!R419</f>
        <v>0</v>
      </c>
      <c r="O84" s="29" t="n">
        <f aca="false">'Task Breakdown'!S419</f>
        <v>0</v>
      </c>
      <c r="P84" s="29" t="n">
        <f aca="false">'Task Breakdown'!T419</f>
        <v>0</v>
      </c>
      <c r="Q84" s="30" t="n">
        <f aca="false">SUM(E84:P84)</f>
        <v>16</v>
      </c>
      <c r="R84" s="31" t="n">
        <f aca="false">IF($Q$199&gt;0,Q84/$Q$199,0)</f>
        <v>0.00294063591251608</v>
      </c>
    </row>
    <row r="85" customFormat="false" ht="15" hidden="false" customHeight="false" outlineLevel="0" collapsed="false">
      <c r="A85" s="26" t="str">
        <f aca="false">'Task Breakdown'!A420</f>
        <v>DR-4.01.05</v>
      </c>
      <c r="B85" s="27" t="str">
        <f aca="false">'Task Breakdown'!G420</f>
        <v>Detailed design and design review</v>
      </c>
      <c r="C85" s="28"/>
      <c r="D85" s="28"/>
      <c r="E85" s="29" t="n">
        <f aca="false">'Task Breakdown'!I420</f>
        <v>0</v>
      </c>
      <c r="F85" s="29" t="n">
        <f aca="false">'Task Breakdown'!J420</f>
        <v>0</v>
      </c>
      <c r="G85" s="29" t="n">
        <f aca="false">'Task Breakdown'!K420</f>
        <v>0</v>
      </c>
      <c r="H85" s="29" t="n">
        <f aca="false">'Task Breakdown'!L420</f>
        <v>0</v>
      </c>
      <c r="I85" s="29" t="n">
        <f aca="false">'Task Breakdown'!M420</f>
        <v>0</v>
      </c>
      <c r="J85" s="29" t="n">
        <f aca="false">'Task Breakdown'!N420</f>
        <v>0</v>
      </c>
      <c r="K85" s="29" t="n">
        <f aca="false">'Task Breakdown'!O420</f>
        <v>0</v>
      </c>
      <c r="L85" s="29" t="n">
        <f aca="false">'Task Breakdown'!P420</f>
        <v>6</v>
      </c>
      <c r="M85" s="29" t="n">
        <f aca="false">'Task Breakdown'!Q420</f>
        <v>0</v>
      </c>
      <c r="N85" s="29" t="n">
        <f aca="false">'Task Breakdown'!R420</f>
        <v>0</v>
      </c>
      <c r="O85" s="29" t="n">
        <f aca="false">'Task Breakdown'!S420</f>
        <v>0</v>
      </c>
      <c r="P85" s="29" t="n">
        <f aca="false">'Task Breakdown'!T420</f>
        <v>0</v>
      </c>
      <c r="Q85" s="30" t="n">
        <f aca="false">SUM(E85:P85)</f>
        <v>6</v>
      </c>
      <c r="R85" s="31" t="n">
        <f aca="false">IF($Q$199&gt;0,Q85/$Q$199,0)</f>
        <v>0.00110273846719353</v>
      </c>
    </row>
    <row r="86" customFormat="false" ht="15" hidden="false" customHeight="false" outlineLevel="0" collapsed="false">
      <c r="A86" s="26" t="str">
        <f aca="false">'Task Breakdown'!A421</f>
        <v>DR-4.01.06</v>
      </c>
      <c r="B86" s="27" t="str">
        <f aca="false">'Task Breakdown'!G421</f>
        <v>Promote through dev / test / prod and release</v>
      </c>
      <c r="C86" s="28"/>
      <c r="D86" s="28"/>
      <c r="E86" s="29" t="n">
        <f aca="false">'Task Breakdown'!I421</f>
        <v>0</v>
      </c>
      <c r="F86" s="29" t="n">
        <f aca="false">'Task Breakdown'!J421</f>
        <v>0</v>
      </c>
      <c r="G86" s="29" t="n">
        <f aca="false">'Task Breakdown'!K421</f>
        <v>4</v>
      </c>
      <c r="H86" s="29" t="n">
        <f aca="false">'Task Breakdown'!L421</f>
        <v>0</v>
      </c>
      <c r="I86" s="29" t="n">
        <f aca="false">'Task Breakdown'!M421</f>
        <v>0</v>
      </c>
      <c r="J86" s="29" t="n">
        <f aca="false">'Task Breakdown'!N421</f>
        <v>0</v>
      </c>
      <c r="K86" s="29" t="n">
        <f aca="false">'Task Breakdown'!O421</f>
        <v>0</v>
      </c>
      <c r="L86" s="29" t="n">
        <f aca="false">'Task Breakdown'!P421</f>
        <v>0</v>
      </c>
      <c r="M86" s="29" t="n">
        <f aca="false">'Task Breakdown'!Q421</f>
        <v>0</v>
      </c>
      <c r="N86" s="29" t="n">
        <f aca="false">'Task Breakdown'!R421</f>
        <v>0</v>
      </c>
      <c r="O86" s="29" t="n">
        <f aca="false">'Task Breakdown'!S421</f>
        <v>0</v>
      </c>
      <c r="P86" s="29" t="n">
        <f aca="false">'Task Breakdown'!T421</f>
        <v>0</v>
      </c>
      <c r="Q86" s="30" t="n">
        <f aca="false">SUM(E86:P86)</f>
        <v>4</v>
      </c>
      <c r="R86" s="31" t="n">
        <f aca="false">IF($Q$199&gt;0,Q86/$Q$199,0)</f>
        <v>0.00073515897812902</v>
      </c>
    </row>
    <row r="87" customFormat="false" ht="15" hidden="false" customHeight="false" outlineLevel="0" collapsed="false">
      <c r="A87" s="26" t="str">
        <f aca="false">'Task Breakdown'!A422</f>
        <v>DR-4.01.07</v>
      </c>
      <c r="B87" s="27" t="str">
        <f aca="false">'Task Breakdown'!G422</f>
        <v>Documentation, runbook and knowledge transfer</v>
      </c>
      <c r="C87" s="28"/>
      <c r="D87" s="28"/>
      <c r="E87" s="29" t="n">
        <f aca="false">'Task Breakdown'!I422</f>
        <v>0</v>
      </c>
      <c r="F87" s="29" t="n">
        <f aca="false">'Task Breakdown'!J422</f>
        <v>0</v>
      </c>
      <c r="G87" s="29" t="n">
        <f aca="false">'Task Breakdown'!K422</f>
        <v>0</v>
      </c>
      <c r="H87" s="29" t="n">
        <f aca="false">'Task Breakdown'!L422</f>
        <v>0</v>
      </c>
      <c r="I87" s="29" t="n">
        <f aca="false">'Task Breakdown'!M422</f>
        <v>0</v>
      </c>
      <c r="J87" s="29" t="n">
        <f aca="false">'Task Breakdown'!N422</f>
        <v>0</v>
      </c>
      <c r="K87" s="29" t="n">
        <f aca="false">'Task Breakdown'!O422</f>
        <v>4</v>
      </c>
      <c r="L87" s="29" t="n">
        <f aca="false">'Task Breakdown'!P422</f>
        <v>0</v>
      </c>
      <c r="M87" s="29" t="n">
        <f aca="false">'Task Breakdown'!Q422</f>
        <v>0</v>
      </c>
      <c r="N87" s="29" t="n">
        <f aca="false">'Task Breakdown'!R422</f>
        <v>0</v>
      </c>
      <c r="O87" s="29" t="n">
        <f aca="false">'Task Breakdown'!S422</f>
        <v>0</v>
      </c>
      <c r="P87" s="29" t="n">
        <f aca="false">'Task Breakdown'!T422</f>
        <v>0</v>
      </c>
      <c r="Q87" s="30" t="n">
        <f aca="false">SUM(E87:P87)</f>
        <v>4</v>
      </c>
      <c r="R87" s="31" t="n">
        <f aca="false">IF($Q$199&gt;0,Q87/$Q$199,0)</f>
        <v>0.00073515897812902</v>
      </c>
    </row>
    <row r="88" customFormat="false" ht="15" hidden="false" customHeight="false" outlineLevel="0" collapsed="false">
      <c r="A88" s="26" t="str">
        <f aca="false">'Task Breakdown'!A423</f>
        <v>DR-4.01.08</v>
      </c>
      <c r="B88" s="27" t="str">
        <f aca="false">'Task Breakdown'!G423</f>
        <v>Defect fixing and rework after testing</v>
      </c>
      <c r="C88" s="28"/>
      <c r="D88" s="28"/>
      <c r="E88" s="29" t="n">
        <f aca="false">'Task Breakdown'!I423</f>
        <v>0</v>
      </c>
      <c r="F88" s="29" t="n">
        <f aca="false">'Task Breakdown'!J423</f>
        <v>0</v>
      </c>
      <c r="G88" s="29" t="n">
        <f aca="false">'Task Breakdown'!K423</f>
        <v>0</v>
      </c>
      <c r="H88" s="29" t="n">
        <f aca="false">'Task Breakdown'!L423</f>
        <v>0</v>
      </c>
      <c r="I88" s="29" t="n">
        <f aca="false">'Task Breakdown'!M423</f>
        <v>0</v>
      </c>
      <c r="J88" s="29" t="n">
        <f aca="false">'Task Breakdown'!N423</f>
        <v>0</v>
      </c>
      <c r="K88" s="29" t="n">
        <f aca="false">'Task Breakdown'!O423</f>
        <v>8</v>
      </c>
      <c r="L88" s="29" t="n">
        <f aca="false">'Task Breakdown'!P423</f>
        <v>0</v>
      </c>
      <c r="M88" s="29" t="n">
        <f aca="false">'Task Breakdown'!Q423</f>
        <v>0</v>
      </c>
      <c r="N88" s="29" t="n">
        <f aca="false">'Task Breakdown'!R423</f>
        <v>0</v>
      </c>
      <c r="O88" s="29" t="n">
        <f aca="false">'Task Breakdown'!S423</f>
        <v>0</v>
      </c>
      <c r="P88" s="29" t="n">
        <f aca="false">'Task Breakdown'!T423</f>
        <v>0</v>
      </c>
      <c r="Q88" s="30" t="n">
        <f aca="false">SUM(E88:P88)</f>
        <v>8</v>
      </c>
      <c r="R88" s="31" t="n">
        <f aca="false">IF($Q$199&gt;0,Q88/$Q$199,0)</f>
        <v>0.00147031795625804</v>
      </c>
    </row>
    <row r="89" customFormat="false" ht="15" hidden="false" customHeight="false" outlineLevel="0" collapsed="false">
      <c r="A89" s="23" t="s">
        <v>326</v>
      </c>
      <c r="B89" s="23" t="s">
        <v>327</v>
      </c>
      <c r="C89" s="23" t="s">
        <v>44</v>
      </c>
      <c r="D89" s="23" t="s">
        <v>328</v>
      </c>
      <c r="E89" s="24" t="n">
        <f aca="false">SUM(E90:E94)</f>
        <v>0</v>
      </c>
      <c r="F89" s="24" t="n">
        <f aca="false">SUM(F90:F94)</f>
        <v>0</v>
      </c>
      <c r="G89" s="24" t="n">
        <f aca="false">SUM(G90:G94)</f>
        <v>0</v>
      </c>
      <c r="H89" s="24" t="n">
        <f aca="false">SUM(H90:H94)</f>
        <v>0</v>
      </c>
      <c r="I89" s="24" t="n">
        <f aca="false">SUM(I90:I94)</f>
        <v>0</v>
      </c>
      <c r="J89" s="24" t="n">
        <f aca="false">SUM(J90:J94)</f>
        <v>0</v>
      </c>
      <c r="K89" s="24" t="n">
        <f aca="false">SUM(K90:K94)</f>
        <v>32</v>
      </c>
      <c r="L89" s="24" t="n">
        <f aca="false">SUM(L90:L94)</f>
        <v>76</v>
      </c>
      <c r="M89" s="24" t="n">
        <f aca="false">SUM(M90:M94)</f>
        <v>0</v>
      </c>
      <c r="N89" s="24" t="n">
        <f aca="false">SUM(N90:N94)</f>
        <v>0</v>
      </c>
      <c r="O89" s="24" t="n">
        <f aca="false">SUM(O90:O94)</f>
        <v>0</v>
      </c>
      <c r="P89" s="24" t="n">
        <f aca="false">SUM(P90:P94)</f>
        <v>0</v>
      </c>
      <c r="Q89" s="24" t="n">
        <f aca="false">SUM(Q90:Q94)</f>
        <v>108</v>
      </c>
      <c r="R89" s="25" t="n">
        <f aca="false">IF($Q$199&gt;0,Q89/$Q$199,0)</f>
        <v>0.0198492924094836</v>
      </c>
    </row>
    <row r="90" customFormat="false" ht="15" hidden="false" customHeight="false" outlineLevel="0" collapsed="false">
      <c r="A90" s="26" t="str">
        <f aca="false">'Task Breakdown'!A424</f>
        <v>DR-4.02.01</v>
      </c>
      <c r="B90" s="27" t="str">
        <f aca="false">'Task Breakdown'!G424</f>
        <v>Connect pipeline lineage (Data Factory / Fabric) to Purview</v>
      </c>
      <c r="C90" s="28"/>
      <c r="D90" s="28"/>
      <c r="E90" s="29" t="n">
        <f aca="false">'Task Breakdown'!I424</f>
        <v>0</v>
      </c>
      <c r="F90" s="29" t="n">
        <f aca="false">'Task Breakdown'!J424</f>
        <v>0</v>
      </c>
      <c r="G90" s="29" t="n">
        <f aca="false">'Task Breakdown'!K424</f>
        <v>0</v>
      </c>
      <c r="H90" s="29" t="n">
        <f aca="false">'Task Breakdown'!L424</f>
        <v>0</v>
      </c>
      <c r="I90" s="29" t="n">
        <f aca="false">'Task Breakdown'!M424</f>
        <v>0</v>
      </c>
      <c r="J90" s="29" t="n">
        <f aca="false">'Task Breakdown'!N424</f>
        <v>0</v>
      </c>
      <c r="K90" s="29" t="n">
        <f aca="false">'Task Breakdown'!O424</f>
        <v>24</v>
      </c>
      <c r="L90" s="29" t="n">
        <f aca="false">'Task Breakdown'!P424</f>
        <v>0</v>
      </c>
      <c r="M90" s="29" t="n">
        <f aca="false">'Task Breakdown'!Q424</f>
        <v>0</v>
      </c>
      <c r="N90" s="29" t="n">
        <f aca="false">'Task Breakdown'!R424</f>
        <v>0</v>
      </c>
      <c r="O90" s="29" t="n">
        <f aca="false">'Task Breakdown'!S424</f>
        <v>0</v>
      </c>
      <c r="P90" s="29" t="n">
        <f aca="false">'Task Breakdown'!T424</f>
        <v>0</v>
      </c>
      <c r="Q90" s="30" t="n">
        <f aca="false">SUM(E90:P90)</f>
        <v>24</v>
      </c>
      <c r="R90" s="31" t="n">
        <f aca="false">IF($Q$199&gt;0,Q90/$Q$199,0)</f>
        <v>0.00441095386877412</v>
      </c>
    </row>
    <row r="91" customFormat="false" ht="15" hidden="false" customHeight="false" outlineLevel="0" collapsed="false">
      <c r="A91" s="26" t="str">
        <f aca="false">'Task Breakdown'!A425</f>
        <v>DR-4.02.02</v>
      </c>
      <c r="B91" s="27" t="str">
        <f aca="false">'Task Breakdown'!G425</f>
        <v>Add lineage from indexes and agents back to sources</v>
      </c>
      <c r="C91" s="28"/>
      <c r="D91" s="28"/>
      <c r="E91" s="29" t="n">
        <f aca="false">'Task Breakdown'!I425</f>
        <v>0</v>
      </c>
      <c r="F91" s="29" t="n">
        <f aca="false">'Task Breakdown'!J425</f>
        <v>0</v>
      </c>
      <c r="G91" s="29" t="n">
        <f aca="false">'Task Breakdown'!K425</f>
        <v>0</v>
      </c>
      <c r="H91" s="29" t="n">
        <f aca="false">'Task Breakdown'!L425</f>
        <v>0</v>
      </c>
      <c r="I91" s="29" t="n">
        <f aca="false">'Task Breakdown'!M425</f>
        <v>0</v>
      </c>
      <c r="J91" s="29" t="n">
        <f aca="false">'Task Breakdown'!N425</f>
        <v>0</v>
      </c>
      <c r="K91" s="29" t="n">
        <f aca="false">'Task Breakdown'!O425</f>
        <v>8</v>
      </c>
      <c r="L91" s="29" t="n">
        <f aca="false">'Task Breakdown'!P425</f>
        <v>33</v>
      </c>
      <c r="M91" s="29" t="n">
        <f aca="false">'Task Breakdown'!Q425</f>
        <v>0</v>
      </c>
      <c r="N91" s="29" t="n">
        <f aca="false">'Task Breakdown'!R425</f>
        <v>0</v>
      </c>
      <c r="O91" s="29" t="n">
        <f aca="false">'Task Breakdown'!S425</f>
        <v>0</v>
      </c>
      <c r="P91" s="29" t="n">
        <f aca="false">'Task Breakdown'!T425</f>
        <v>0</v>
      </c>
      <c r="Q91" s="30" t="n">
        <f aca="false">SUM(E91:P91)</f>
        <v>41</v>
      </c>
      <c r="R91" s="31" t="n">
        <f aca="false">IF($Q$199&gt;0,Q91/$Q$199,0)</f>
        <v>0.00753537952582246</v>
      </c>
    </row>
    <row r="92" customFormat="false" ht="15" hidden="false" customHeight="false" outlineLevel="0" collapsed="false">
      <c r="A92" s="26" t="str">
        <f aca="false">'Task Breakdown'!A426</f>
        <v>DR-4.02.03</v>
      </c>
      <c r="B92" s="27" t="str">
        <f aca="false">'Task Breakdown'!G426</f>
        <v>Publish lineage views for auditors</v>
      </c>
      <c r="C92" s="28"/>
      <c r="D92" s="28"/>
      <c r="E92" s="29" t="n">
        <f aca="false">'Task Breakdown'!I426</f>
        <v>0</v>
      </c>
      <c r="F92" s="29" t="n">
        <f aca="false">'Task Breakdown'!J426</f>
        <v>0</v>
      </c>
      <c r="G92" s="29" t="n">
        <f aca="false">'Task Breakdown'!K426</f>
        <v>0</v>
      </c>
      <c r="H92" s="29" t="n">
        <f aca="false">'Task Breakdown'!L426</f>
        <v>0</v>
      </c>
      <c r="I92" s="29" t="n">
        <f aca="false">'Task Breakdown'!M426</f>
        <v>0</v>
      </c>
      <c r="J92" s="29" t="n">
        <f aca="false">'Task Breakdown'!N426</f>
        <v>0</v>
      </c>
      <c r="K92" s="29" t="n">
        <f aca="false">'Task Breakdown'!O426</f>
        <v>0</v>
      </c>
      <c r="L92" s="29" t="n">
        <f aca="false">'Task Breakdown'!P426</f>
        <v>33</v>
      </c>
      <c r="M92" s="29" t="n">
        <f aca="false">'Task Breakdown'!Q426</f>
        <v>0</v>
      </c>
      <c r="N92" s="29" t="n">
        <f aca="false">'Task Breakdown'!R426</f>
        <v>0</v>
      </c>
      <c r="O92" s="29" t="n">
        <f aca="false">'Task Breakdown'!S426</f>
        <v>0</v>
      </c>
      <c r="P92" s="29" t="n">
        <f aca="false">'Task Breakdown'!T426</f>
        <v>0</v>
      </c>
      <c r="Q92" s="30" t="n">
        <f aca="false">SUM(E92:P92)</f>
        <v>33</v>
      </c>
      <c r="R92" s="31" t="n">
        <f aca="false">IF($Q$199&gt;0,Q92/$Q$199,0)</f>
        <v>0.00606506156956442</v>
      </c>
    </row>
    <row r="93" customFormat="false" ht="15" hidden="false" customHeight="false" outlineLevel="0" collapsed="false">
      <c r="A93" s="26" t="str">
        <f aca="false">'Task Breakdown'!A427</f>
        <v>DR-4.02.04</v>
      </c>
      <c r="B93" s="27" t="str">
        <f aca="false">'Task Breakdown'!G427</f>
        <v>Detailed design and design review</v>
      </c>
      <c r="C93" s="28"/>
      <c r="D93" s="28"/>
      <c r="E93" s="29" t="n">
        <f aca="false">'Task Breakdown'!I427</f>
        <v>0</v>
      </c>
      <c r="F93" s="29" t="n">
        <f aca="false">'Task Breakdown'!J427</f>
        <v>0</v>
      </c>
      <c r="G93" s="29" t="n">
        <f aca="false">'Task Breakdown'!K427</f>
        <v>0</v>
      </c>
      <c r="H93" s="29" t="n">
        <f aca="false">'Task Breakdown'!L427</f>
        <v>0</v>
      </c>
      <c r="I93" s="29" t="n">
        <f aca="false">'Task Breakdown'!M427</f>
        <v>0</v>
      </c>
      <c r="J93" s="29" t="n">
        <f aca="false">'Task Breakdown'!N427</f>
        <v>0</v>
      </c>
      <c r="K93" s="29" t="n">
        <f aca="false">'Task Breakdown'!O427</f>
        <v>0</v>
      </c>
      <c r="L93" s="29" t="n">
        <f aca="false">'Task Breakdown'!P427</f>
        <v>6</v>
      </c>
      <c r="M93" s="29" t="n">
        <f aca="false">'Task Breakdown'!Q427</f>
        <v>0</v>
      </c>
      <c r="N93" s="29" t="n">
        <f aca="false">'Task Breakdown'!R427</f>
        <v>0</v>
      </c>
      <c r="O93" s="29" t="n">
        <f aca="false">'Task Breakdown'!S427</f>
        <v>0</v>
      </c>
      <c r="P93" s="29" t="n">
        <f aca="false">'Task Breakdown'!T427</f>
        <v>0</v>
      </c>
      <c r="Q93" s="30" t="n">
        <f aca="false">SUM(E93:P93)</f>
        <v>6</v>
      </c>
      <c r="R93" s="31" t="n">
        <f aca="false">IF($Q$199&gt;0,Q93/$Q$199,0)</f>
        <v>0.00110273846719353</v>
      </c>
    </row>
    <row r="94" customFormat="false" ht="15" hidden="false" customHeight="false" outlineLevel="0" collapsed="false">
      <c r="A94" s="26" t="str">
        <f aca="false">'Task Breakdown'!A428</f>
        <v>DR-4.02.05</v>
      </c>
      <c r="B94" s="27" t="str">
        <f aca="false">'Task Breakdown'!G428</f>
        <v>Documentation, runbook and knowledge transfer</v>
      </c>
      <c r="C94" s="28"/>
      <c r="D94" s="28"/>
      <c r="E94" s="29" t="n">
        <f aca="false">'Task Breakdown'!I428</f>
        <v>0</v>
      </c>
      <c r="F94" s="29" t="n">
        <f aca="false">'Task Breakdown'!J428</f>
        <v>0</v>
      </c>
      <c r="G94" s="29" t="n">
        <f aca="false">'Task Breakdown'!K428</f>
        <v>0</v>
      </c>
      <c r="H94" s="29" t="n">
        <f aca="false">'Task Breakdown'!L428</f>
        <v>0</v>
      </c>
      <c r="I94" s="29" t="n">
        <f aca="false">'Task Breakdown'!M428</f>
        <v>0</v>
      </c>
      <c r="J94" s="29" t="n">
        <f aca="false">'Task Breakdown'!N428</f>
        <v>0</v>
      </c>
      <c r="K94" s="29" t="n">
        <f aca="false">'Task Breakdown'!O428</f>
        <v>0</v>
      </c>
      <c r="L94" s="29" t="n">
        <f aca="false">'Task Breakdown'!P428</f>
        <v>4</v>
      </c>
      <c r="M94" s="29" t="n">
        <f aca="false">'Task Breakdown'!Q428</f>
        <v>0</v>
      </c>
      <c r="N94" s="29" t="n">
        <f aca="false">'Task Breakdown'!R428</f>
        <v>0</v>
      </c>
      <c r="O94" s="29" t="n">
        <f aca="false">'Task Breakdown'!S428</f>
        <v>0</v>
      </c>
      <c r="P94" s="29" t="n">
        <f aca="false">'Task Breakdown'!T428</f>
        <v>0</v>
      </c>
      <c r="Q94" s="30" t="n">
        <f aca="false">SUM(E94:P94)</f>
        <v>4</v>
      </c>
      <c r="R94" s="31" t="n">
        <f aca="false">IF($Q$199&gt;0,Q94/$Q$199,0)</f>
        <v>0.00073515897812902</v>
      </c>
    </row>
    <row r="95" customFormat="false" ht="15" hidden="false" customHeight="false" outlineLevel="0" collapsed="false">
      <c r="A95" s="23" t="s">
        <v>329</v>
      </c>
      <c r="B95" s="23" t="s">
        <v>330</v>
      </c>
      <c r="C95" s="23" t="s">
        <v>44</v>
      </c>
      <c r="D95" s="23" t="s">
        <v>331</v>
      </c>
      <c r="E95" s="24" t="n">
        <f aca="false">SUM(E96:E100)</f>
        <v>0</v>
      </c>
      <c r="F95" s="24" t="n">
        <f aca="false">SUM(F96:F100)</f>
        <v>0</v>
      </c>
      <c r="G95" s="24" t="n">
        <f aca="false">SUM(G96:G100)</f>
        <v>16</v>
      </c>
      <c r="H95" s="24" t="n">
        <f aca="false">SUM(H96:H100)</f>
        <v>16</v>
      </c>
      <c r="I95" s="24" t="n">
        <f aca="false">SUM(I96:I100)</f>
        <v>0</v>
      </c>
      <c r="J95" s="24" t="n">
        <f aca="false">SUM(J96:J100)</f>
        <v>0</v>
      </c>
      <c r="K95" s="24" t="n">
        <f aca="false">SUM(K96:K100)</f>
        <v>0</v>
      </c>
      <c r="L95" s="24" t="n">
        <f aca="false">SUM(L96:L100)</f>
        <v>39</v>
      </c>
      <c r="M95" s="24" t="n">
        <f aca="false">SUM(M96:M100)</f>
        <v>0</v>
      </c>
      <c r="N95" s="24" t="n">
        <f aca="false">SUM(N96:N100)</f>
        <v>0</v>
      </c>
      <c r="O95" s="24" t="n">
        <f aca="false">SUM(O96:O100)</f>
        <v>0</v>
      </c>
      <c r="P95" s="24" t="n">
        <f aca="false">SUM(P96:P100)</f>
        <v>0</v>
      </c>
      <c r="Q95" s="24" t="n">
        <f aca="false">SUM(Q96:Q100)</f>
        <v>71</v>
      </c>
      <c r="R95" s="25" t="n">
        <f aca="false">IF($Q$199&gt;0,Q95/$Q$199,0)</f>
        <v>0.0130490718617901</v>
      </c>
    </row>
    <row r="96" customFormat="false" ht="15" hidden="false" customHeight="false" outlineLevel="0" collapsed="false">
      <c r="A96" s="26" t="str">
        <f aca="false">'Task Breakdown'!A429</f>
        <v>DR-4.03.01</v>
      </c>
      <c r="B96" s="27" t="str">
        <f aca="false">'Task Breakdown'!G429</f>
        <v>Define retention per data class and legal holds</v>
      </c>
      <c r="C96" s="28"/>
      <c r="D96" s="28"/>
      <c r="E96" s="29" t="n">
        <f aca="false">'Task Breakdown'!I429</f>
        <v>0</v>
      </c>
      <c r="F96" s="29" t="n">
        <f aca="false">'Task Breakdown'!J429</f>
        <v>0</v>
      </c>
      <c r="G96" s="29" t="n">
        <f aca="false">'Task Breakdown'!K429</f>
        <v>0</v>
      </c>
      <c r="H96" s="29" t="n">
        <f aca="false">'Task Breakdown'!L429</f>
        <v>8</v>
      </c>
      <c r="I96" s="29" t="n">
        <f aca="false">'Task Breakdown'!M429</f>
        <v>0</v>
      </c>
      <c r="J96" s="29" t="n">
        <f aca="false">'Task Breakdown'!N429</f>
        <v>0</v>
      </c>
      <c r="K96" s="29" t="n">
        <f aca="false">'Task Breakdown'!O429</f>
        <v>0</v>
      </c>
      <c r="L96" s="29" t="n">
        <f aca="false">'Task Breakdown'!P429</f>
        <v>24</v>
      </c>
      <c r="M96" s="29" t="n">
        <f aca="false">'Task Breakdown'!Q429</f>
        <v>0</v>
      </c>
      <c r="N96" s="29" t="n">
        <f aca="false">'Task Breakdown'!R429</f>
        <v>0</v>
      </c>
      <c r="O96" s="29" t="n">
        <f aca="false">'Task Breakdown'!S429</f>
        <v>0</v>
      </c>
      <c r="P96" s="29" t="n">
        <f aca="false">'Task Breakdown'!T429</f>
        <v>0</v>
      </c>
      <c r="Q96" s="30" t="n">
        <f aca="false">SUM(E96:P96)</f>
        <v>32</v>
      </c>
      <c r="R96" s="31" t="n">
        <f aca="false">IF($Q$199&gt;0,Q96/$Q$199,0)</f>
        <v>0.00588127182503216</v>
      </c>
    </row>
    <row r="97" customFormat="false" ht="15" hidden="false" customHeight="false" outlineLevel="0" collapsed="false">
      <c r="A97" s="26" t="str">
        <f aca="false">'Task Breakdown'!A430</f>
        <v>DR-4.03.02</v>
      </c>
      <c r="B97" s="27" t="str">
        <f aca="false">'Task Breakdown'!G430</f>
        <v>Configure lifecycle and deletion policies</v>
      </c>
      <c r="C97" s="28"/>
      <c r="D97" s="28"/>
      <c r="E97" s="29" t="n">
        <f aca="false">'Task Breakdown'!I430</f>
        <v>0</v>
      </c>
      <c r="F97" s="29" t="n">
        <f aca="false">'Task Breakdown'!J430</f>
        <v>0</v>
      </c>
      <c r="G97" s="29" t="n">
        <f aca="false">'Task Breakdown'!K430</f>
        <v>16</v>
      </c>
      <c r="H97" s="29" t="n">
        <f aca="false">'Task Breakdown'!L430</f>
        <v>0</v>
      </c>
      <c r="I97" s="29" t="n">
        <f aca="false">'Task Breakdown'!M430</f>
        <v>0</v>
      </c>
      <c r="J97" s="29" t="n">
        <f aca="false">'Task Breakdown'!N430</f>
        <v>0</v>
      </c>
      <c r="K97" s="29" t="n">
        <f aca="false">'Task Breakdown'!O430</f>
        <v>0</v>
      </c>
      <c r="L97" s="29" t="n">
        <f aca="false">'Task Breakdown'!P430</f>
        <v>0</v>
      </c>
      <c r="M97" s="29" t="n">
        <f aca="false">'Task Breakdown'!Q430</f>
        <v>0</v>
      </c>
      <c r="N97" s="29" t="n">
        <f aca="false">'Task Breakdown'!R430</f>
        <v>0</v>
      </c>
      <c r="O97" s="29" t="n">
        <f aca="false">'Task Breakdown'!S430</f>
        <v>0</v>
      </c>
      <c r="P97" s="29" t="n">
        <f aca="false">'Task Breakdown'!T430</f>
        <v>0</v>
      </c>
      <c r="Q97" s="30" t="n">
        <f aca="false">SUM(E97:P97)</f>
        <v>16</v>
      </c>
      <c r="R97" s="31" t="n">
        <f aca="false">IF($Q$199&gt;0,Q97/$Q$199,0)</f>
        <v>0.00294063591251608</v>
      </c>
    </row>
    <row r="98" customFormat="false" ht="15" hidden="false" customHeight="false" outlineLevel="0" collapsed="false">
      <c r="A98" s="26" t="str">
        <f aca="false">'Task Breakdown'!A431</f>
        <v>DR-4.03.03</v>
      </c>
      <c r="B98" s="27" t="str">
        <f aca="false">'Task Breakdown'!G431</f>
        <v>Apply retention to logs and conversation history</v>
      </c>
      <c r="C98" s="28"/>
      <c r="D98" s="28"/>
      <c r="E98" s="29" t="n">
        <f aca="false">'Task Breakdown'!I431</f>
        <v>0</v>
      </c>
      <c r="F98" s="29" t="n">
        <f aca="false">'Task Breakdown'!J431</f>
        <v>0</v>
      </c>
      <c r="G98" s="29" t="n">
        <f aca="false">'Task Breakdown'!K431</f>
        <v>0</v>
      </c>
      <c r="H98" s="29" t="n">
        <f aca="false">'Task Breakdown'!L431</f>
        <v>8</v>
      </c>
      <c r="I98" s="29" t="n">
        <f aca="false">'Task Breakdown'!M431</f>
        <v>0</v>
      </c>
      <c r="J98" s="29" t="n">
        <f aca="false">'Task Breakdown'!N431</f>
        <v>0</v>
      </c>
      <c r="K98" s="29" t="n">
        <f aca="false">'Task Breakdown'!O431</f>
        <v>0</v>
      </c>
      <c r="L98" s="29" t="n">
        <f aca="false">'Task Breakdown'!P431</f>
        <v>8</v>
      </c>
      <c r="M98" s="29" t="n">
        <f aca="false">'Task Breakdown'!Q431</f>
        <v>0</v>
      </c>
      <c r="N98" s="29" t="n">
        <f aca="false">'Task Breakdown'!R431</f>
        <v>0</v>
      </c>
      <c r="O98" s="29" t="n">
        <f aca="false">'Task Breakdown'!S431</f>
        <v>0</v>
      </c>
      <c r="P98" s="29" t="n">
        <f aca="false">'Task Breakdown'!T431</f>
        <v>0</v>
      </c>
      <c r="Q98" s="30" t="n">
        <f aca="false">SUM(E98:P98)</f>
        <v>16</v>
      </c>
      <c r="R98" s="31" t="n">
        <f aca="false">IF($Q$199&gt;0,Q98/$Q$199,0)</f>
        <v>0.00294063591251608</v>
      </c>
    </row>
    <row r="99" customFormat="false" ht="15" hidden="false" customHeight="false" outlineLevel="0" collapsed="false">
      <c r="A99" s="26" t="str">
        <f aca="false">'Task Breakdown'!A432</f>
        <v>DR-4.03.04</v>
      </c>
      <c r="B99" s="27" t="str">
        <f aca="false">'Task Breakdown'!G432</f>
        <v>Detailed design and design review</v>
      </c>
      <c r="C99" s="28"/>
      <c r="D99" s="28"/>
      <c r="E99" s="29" t="n">
        <f aca="false">'Task Breakdown'!I432</f>
        <v>0</v>
      </c>
      <c r="F99" s="29" t="n">
        <f aca="false">'Task Breakdown'!J432</f>
        <v>0</v>
      </c>
      <c r="G99" s="29" t="n">
        <f aca="false">'Task Breakdown'!K432</f>
        <v>0</v>
      </c>
      <c r="H99" s="29" t="n">
        <f aca="false">'Task Breakdown'!L432</f>
        <v>0</v>
      </c>
      <c r="I99" s="29" t="n">
        <f aca="false">'Task Breakdown'!M432</f>
        <v>0</v>
      </c>
      <c r="J99" s="29" t="n">
        <f aca="false">'Task Breakdown'!N432</f>
        <v>0</v>
      </c>
      <c r="K99" s="29" t="n">
        <f aca="false">'Task Breakdown'!O432</f>
        <v>0</v>
      </c>
      <c r="L99" s="29" t="n">
        <f aca="false">'Task Breakdown'!P432</f>
        <v>4</v>
      </c>
      <c r="M99" s="29" t="n">
        <f aca="false">'Task Breakdown'!Q432</f>
        <v>0</v>
      </c>
      <c r="N99" s="29" t="n">
        <f aca="false">'Task Breakdown'!R432</f>
        <v>0</v>
      </c>
      <c r="O99" s="29" t="n">
        <f aca="false">'Task Breakdown'!S432</f>
        <v>0</v>
      </c>
      <c r="P99" s="29" t="n">
        <f aca="false">'Task Breakdown'!T432</f>
        <v>0</v>
      </c>
      <c r="Q99" s="30" t="n">
        <f aca="false">SUM(E99:P99)</f>
        <v>4</v>
      </c>
      <c r="R99" s="31" t="n">
        <f aca="false">IF($Q$199&gt;0,Q99/$Q$199,0)</f>
        <v>0.00073515897812902</v>
      </c>
    </row>
    <row r="100" customFormat="false" ht="15" hidden="false" customHeight="false" outlineLevel="0" collapsed="false">
      <c r="A100" s="26" t="str">
        <f aca="false">'Task Breakdown'!A433</f>
        <v>DR-4.03.05</v>
      </c>
      <c r="B100" s="27" t="str">
        <f aca="false">'Task Breakdown'!G433</f>
        <v>Documentation, runbook and knowledge transfer</v>
      </c>
      <c r="C100" s="28"/>
      <c r="D100" s="28"/>
      <c r="E100" s="29" t="n">
        <f aca="false">'Task Breakdown'!I433</f>
        <v>0</v>
      </c>
      <c r="F100" s="29" t="n">
        <f aca="false">'Task Breakdown'!J433</f>
        <v>0</v>
      </c>
      <c r="G100" s="29" t="n">
        <f aca="false">'Task Breakdown'!K433</f>
        <v>0</v>
      </c>
      <c r="H100" s="29" t="n">
        <f aca="false">'Task Breakdown'!L433</f>
        <v>0</v>
      </c>
      <c r="I100" s="29" t="n">
        <f aca="false">'Task Breakdown'!M433</f>
        <v>0</v>
      </c>
      <c r="J100" s="29" t="n">
        <f aca="false">'Task Breakdown'!N433</f>
        <v>0</v>
      </c>
      <c r="K100" s="29" t="n">
        <f aca="false">'Task Breakdown'!O433</f>
        <v>0</v>
      </c>
      <c r="L100" s="29" t="n">
        <f aca="false">'Task Breakdown'!P433</f>
        <v>3</v>
      </c>
      <c r="M100" s="29" t="n">
        <f aca="false">'Task Breakdown'!Q433</f>
        <v>0</v>
      </c>
      <c r="N100" s="29" t="n">
        <f aca="false">'Task Breakdown'!R433</f>
        <v>0</v>
      </c>
      <c r="O100" s="29" t="n">
        <f aca="false">'Task Breakdown'!S433</f>
        <v>0</v>
      </c>
      <c r="P100" s="29" t="n">
        <f aca="false">'Task Breakdown'!T433</f>
        <v>0</v>
      </c>
      <c r="Q100" s="30" t="n">
        <f aca="false">SUM(E100:P100)</f>
        <v>3</v>
      </c>
      <c r="R100" s="31" t="n">
        <f aca="false">IF($Q$199&gt;0,Q100/$Q$199,0)</f>
        <v>0.000551369233596765</v>
      </c>
    </row>
    <row r="101" customFormat="false" ht="15" hidden="false" customHeight="false" outlineLevel="0" collapsed="false">
      <c r="A101" s="23" t="s">
        <v>332</v>
      </c>
      <c r="B101" s="23" t="s">
        <v>333</v>
      </c>
      <c r="C101" s="23" t="s">
        <v>42</v>
      </c>
      <c r="D101" s="23" t="s">
        <v>334</v>
      </c>
      <c r="E101" s="24" t="n">
        <f aca="false">SUM(E102:E108)</f>
        <v>0</v>
      </c>
      <c r="F101" s="24" t="n">
        <f aca="false">SUM(F102:F108)</f>
        <v>4</v>
      </c>
      <c r="G101" s="24" t="n">
        <f aca="false">SUM(G102:G108)</f>
        <v>59</v>
      </c>
      <c r="H101" s="24" t="n">
        <f aca="false">SUM(H102:H108)</f>
        <v>0</v>
      </c>
      <c r="I101" s="24" t="n">
        <f aca="false">SUM(I102:I108)</f>
        <v>0</v>
      </c>
      <c r="J101" s="24" t="n">
        <f aca="false">SUM(J102:J108)</f>
        <v>0</v>
      </c>
      <c r="K101" s="24" t="n">
        <f aca="false">SUM(K102:K108)</f>
        <v>0</v>
      </c>
      <c r="L101" s="24" t="n">
        <f aca="false">SUM(L102:L108)</f>
        <v>0</v>
      </c>
      <c r="M101" s="24" t="n">
        <f aca="false">SUM(M102:M108)</f>
        <v>0</v>
      </c>
      <c r="N101" s="24" t="n">
        <f aca="false">SUM(N102:N108)</f>
        <v>0</v>
      </c>
      <c r="O101" s="24" t="n">
        <f aca="false">SUM(O102:O108)</f>
        <v>16</v>
      </c>
      <c r="P101" s="24" t="n">
        <f aca="false">SUM(P102:P108)</f>
        <v>0</v>
      </c>
      <c r="Q101" s="24" t="n">
        <f aca="false">SUM(Q102:Q108)</f>
        <v>79</v>
      </c>
      <c r="R101" s="25" t="n">
        <f aca="false">IF($Q$199&gt;0,Q101/$Q$199,0)</f>
        <v>0.0145193898180482</v>
      </c>
    </row>
    <row r="102" customFormat="false" ht="15" hidden="false" customHeight="false" outlineLevel="0" collapsed="false">
      <c r="A102" s="26" t="str">
        <f aca="false">'Task Breakdown'!A434</f>
        <v>DR-4.04.01</v>
      </c>
      <c r="B102" s="27" t="str">
        <f aca="false">'Task Breakdown'!G434</f>
        <v>Automate AI Search index export / rebuild scripts</v>
      </c>
      <c r="C102" s="28"/>
      <c r="D102" s="28"/>
      <c r="E102" s="29" t="n">
        <f aca="false">'Task Breakdown'!I434</f>
        <v>0</v>
      </c>
      <c r="F102" s="29" t="n">
        <f aca="false">'Task Breakdown'!J434</f>
        <v>0</v>
      </c>
      <c r="G102" s="29" t="n">
        <f aca="false">'Task Breakdown'!K434</f>
        <v>24</v>
      </c>
      <c r="H102" s="29" t="n">
        <f aca="false">'Task Breakdown'!L434</f>
        <v>0</v>
      </c>
      <c r="I102" s="29" t="n">
        <f aca="false">'Task Breakdown'!M434</f>
        <v>0</v>
      </c>
      <c r="J102" s="29" t="n">
        <f aca="false">'Task Breakdown'!N434</f>
        <v>0</v>
      </c>
      <c r="K102" s="29" t="n">
        <f aca="false">'Task Breakdown'!O434</f>
        <v>0</v>
      </c>
      <c r="L102" s="29" t="n">
        <f aca="false">'Task Breakdown'!P434</f>
        <v>0</v>
      </c>
      <c r="M102" s="29" t="n">
        <f aca="false">'Task Breakdown'!Q434</f>
        <v>0</v>
      </c>
      <c r="N102" s="29" t="n">
        <f aca="false">'Task Breakdown'!R434</f>
        <v>0</v>
      </c>
      <c r="O102" s="29" t="n">
        <f aca="false">'Task Breakdown'!S434</f>
        <v>0</v>
      </c>
      <c r="P102" s="29" t="n">
        <f aca="false">'Task Breakdown'!T434</f>
        <v>0</v>
      </c>
      <c r="Q102" s="30" t="n">
        <f aca="false">SUM(E102:P102)</f>
        <v>24</v>
      </c>
      <c r="R102" s="31" t="n">
        <f aca="false">IF($Q$199&gt;0,Q102/$Q$199,0)</f>
        <v>0.00441095386877412</v>
      </c>
    </row>
    <row r="103" customFormat="false" ht="15" hidden="false" customHeight="false" outlineLevel="0" collapsed="false">
      <c r="A103" s="26" t="str">
        <f aca="false">'Task Breakdown'!A435</f>
        <v>DR-4.04.02</v>
      </c>
      <c r="B103" s="27" t="str">
        <f aca="false">'Task Breakdown'!G435</f>
        <v>Set storage and database backup schedules</v>
      </c>
      <c r="C103" s="28"/>
      <c r="D103" s="28"/>
      <c r="E103" s="29" t="n">
        <f aca="false">'Task Breakdown'!I435</f>
        <v>0</v>
      </c>
      <c r="F103" s="29" t="n">
        <f aca="false">'Task Breakdown'!J435</f>
        <v>0</v>
      </c>
      <c r="G103" s="29" t="n">
        <f aca="false">'Task Breakdown'!K435</f>
        <v>16</v>
      </c>
      <c r="H103" s="29" t="n">
        <f aca="false">'Task Breakdown'!L435</f>
        <v>0</v>
      </c>
      <c r="I103" s="29" t="n">
        <f aca="false">'Task Breakdown'!M435</f>
        <v>0</v>
      </c>
      <c r="J103" s="29" t="n">
        <f aca="false">'Task Breakdown'!N435</f>
        <v>0</v>
      </c>
      <c r="K103" s="29" t="n">
        <f aca="false">'Task Breakdown'!O435</f>
        <v>0</v>
      </c>
      <c r="L103" s="29" t="n">
        <f aca="false">'Task Breakdown'!P435</f>
        <v>0</v>
      </c>
      <c r="M103" s="29" t="n">
        <f aca="false">'Task Breakdown'!Q435</f>
        <v>0</v>
      </c>
      <c r="N103" s="29" t="n">
        <f aca="false">'Task Breakdown'!R435</f>
        <v>0</v>
      </c>
      <c r="O103" s="29" t="n">
        <f aca="false">'Task Breakdown'!S435</f>
        <v>0</v>
      </c>
      <c r="P103" s="29" t="n">
        <f aca="false">'Task Breakdown'!T435</f>
        <v>0</v>
      </c>
      <c r="Q103" s="30" t="n">
        <f aca="false">SUM(E103:P103)</f>
        <v>16</v>
      </c>
      <c r="R103" s="31" t="n">
        <f aca="false">IF($Q$199&gt;0,Q103/$Q$199,0)</f>
        <v>0.00294063591251608</v>
      </c>
    </row>
    <row r="104" customFormat="false" ht="15" hidden="false" customHeight="false" outlineLevel="0" collapsed="false">
      <c r="A104" s="26" t="str">
        <f aca="false">'Task Breakdown'!A436</f>
        <v>DR-4.04.03</v>
      </c>
      <c r="B104" s="27" t="str">
        <f aca="false">'Task Breakdown'!G436</f>
        <v>Restore test</v>
      </c>
      <c r="C104" s="28"/>
      <c r="D104" s="28"/>
      <c r="E104" s="29" t="n">
        <f aca="false">'Task Breakdown'!I436</f>
        <v>0</v>
      </c>
      <c r="F104" s="29" t="n">
        <f aca="false">'Task Breakdown'!J436</f>
        <v>0</v>
      </c>
      <c r="G104" s="29" t="n">
        <f aca="false">'Task Breakdown'!K436</f>
        <v>8</v>
      </c>
      <c r="H104" s="29" t="n">
        <f aca="false">'Task Breakdown'!L436</f>
        <v>0</v>
      </c>
      <c r="I104" s="29" t="n">
        <f aca="false">'Task Breakdown'!M436</f>
        <v>0</v>
      </c>
      <c r="J104" s="29" t="n">
        <f aca="false">'Task Breakdown'!N436</f>
        <v>0</v>
      </c>
      <c r="K104" s="29" t="n">
        <f aca="false">'Task Breakdown'!O436</f>
        <v>0</v>
      </c>
      <c r="L104" s="29" t="n">
        <f aca="false">'Task Breakdown'!P436</f>
        <v>0</v>
      </c>
      <c r="M104" s="29" t="n">
        <f aca="false">'Task Breakdown'!Q436</f>
        <v>0</v>
      </c>
      <c r="N104" s="29" t="n">
        <f aca="false">'Task Breakdown'!R436</f>
        <v>0</v>
      </c>
      <c r="O104" s="29" t="n">
        <f aca="false">'Task Breakdown'!S436</f>
        <v>16</v>
      </c>
      <c r="P104" s="29" t="n">
        <f aca="false">'Task Breakdown'!T436</f>
        <v>0</v>
      </c>
      <c r="Q104" s="30" t="n">
        <f aca="false">SUM(E104:P104)</f>
        <v>24</v>
      </c>
      <c r="R104" s="31" t="n">
        <f aca="false">IF($Q$199&gt;0,Q104/$Q$199,0)</f>
        <v>0.00441095386877412</v>
      </c>
    </row>
    <row r="105" customFormat="false" ht="15" hidden="false" customHeight="false" outlineLevel="0" collapsed="false">
      <c r="A105" s="26" t="str">
        <f aca="false">'Task Breakdown'!A437</f>
        <v>DR-4.04.04</v>
      </c>
      <c r="B105" s="27" t="str">
        <f aca="false">'Task Breakdown'!G437</f>
        <v>Detailed design and design review</v>
      </c>
      <c r="C105" s="28"/>
      <c r="D105" s="28"/>
      <c r="E105" s="29" t="n">
        <f aca="false">'Task Breakdown'!I437</f>
        <v>0</v>
      </c>
      <c r="F105" s="29" t="n">
        <f aca="false">'Task Breakdown'!J437</f>
        <v>4</v>
      </c>
      <c r="G105" s="29" t="n">
        <f aca="false">'Task Breakdown'!K437</f>
        <v>0</v>
      </c>
      <c r="H105" s="29" t="n">
        <f aca="false">'Task Breakdown'!L437</f>
        <v>0</v>
      </c>
      <c r="I105" s="29" t="n">
        <f aca="false">'Task Breakdown'!M437</f>
        <v>0</v>
      </c>
      <c r="J105" s="29" t="n">
        <f aca="false">'Task Breakdown'!N437</f>
        <v>0</v>
      </c>
      <c r="K105" s="29" t="n">
        <f aca="false">'Task Breakdown'!O437</f>
        <v>0</v>
      </c>
      <c r="L105" s="29" t="n">
        <f aca="false">'Task Breakdown'!P437</f>
        <v>0</v>
      </c>
      <c r="M105" s="29" t="n">
        <f aca="false">'Task Breakdown'!Q437</f>
        <v>0</v>
      </c>
      <c r="N105" s="29" t="n">
        <f aca="false">'Task Breakdown'!R437</f>
        <v>0</v>
      </c>
      <c r="O105" s="29" t="n">
        <f aca="false">'Task Breakdown'!S437</f>
        <v>0</v>
      </c>
      <c r="P105" s="29" t="n">
        <f aca="false">'Task Breakdown'!T437</f>
        <v>0</v>
      </c>
      <c r="Q105" s="30" t="n">
        <f aca="false">SUM(E105:P105)</f>
        <v>4</v>
      </c>
      <c r="R105" s="31" t="n">
        <f aca="false">IF($Q$199&gt;0,Q105/$Q$199,0)</f>
        <v>0.00073515897812902</v>
      </c>
    </row>
    <row r="106" customFormat="false" ht="15" hidden="false" customHeight="false" outlineLevel="0" collapsed="false">
      <c r="A106" s="26" t="str">
        <f aca="false">'Task Breakdown'!A438</f>
        <v>DR-4.04.05</v>
      </c>
      <c r="B106" s="27" t="str">
        <f aca="false">'Task Breakdown'!G438</f>
        <v>Promote through dev / test / prod and release</v>
      </c>
      <c r="C106" s="28"/>
      <c r="D106" s="28"/>
      <c r="E106" s="29" t="n">
        <f aca="false">'Task Breakdown'!I438</f>
        <v>0</v>
      </c>
      <c r="F106" s="29" t="n">
        <f aca="false">'Task Breakdown'!J438</f>
        <v>0</v>
      </c>
      <c r="G106" s="29" t="n">
        <f aca="false">'Task Breakdown'!K438</f>
        <v>3</v>
      </c>
      <c r="H106" s="29" t="n">
        <f aca="false">'Task Breakdown'!L438</f>
        <v>0</v>
      </c>
      <c r="I106" s="29" t="n">
        <f aca="false">'Task Breakdown'!M438</f>
        <v>0</v>
      </c>
      <c r="J106" s="29" t="n">
        <f aca="false">'Task Breakdown'!N438</f>
        <v>0</v>
      </c>
      <c r="K106" s="29" t="n">
        <f aca="false">'Task Breakdown'!O438</f>
        <v>0</v>
      </c>
      <c r="L106" s="29" t="n">
        <f aca="false">'Task Breakdown'!P438</f>
        <v>0</v>
      </c>
      <c r="M106" s="29" t="n">
        <f aca="false">'Task Breakdown'!Q438</f>
        <v>0</v>
      </c>
      <c r="N106" s="29" t="n">
        <f aca="false">'Task Breakdown'!R438</f>
        <v>0</v>
      </c>
      <c r="O106" s="29" t="n">
        <f aca="false">'Task Breakdown'!S438</f>
        <v>0</v>
      </c>
      <c r="P106" s="29" t="n">
        <f aca="false">'Task Breakdown'!T438</f>
        <v>0</v>
      </c>
      <c r="Q106" s="30" t="n">
        <f aca="false">SUM(E106:P106)</f>
        <v>3</v>
      </c>
      <c r="R106" s="31" t="n">
        <f aca="false">IF($Q$199&gt;0,Q106/$Q$199,0)</f>
        <v>0.000551369233596765</v>
      </c>
    </row>
    <row r="107" customFormat="false" ht="15" hidden="false" customHeight="false" outlineLevel="0" collapsed="false">
      <c r="A107" s="26" t="str">
        <f aca="false">'Task Breakdown'!A439</f>
        <v>DR-4.04.06</v>
      </c>
      <c r="B107" s="27" t="str">
        <f aca="false">'Task Breakdown'!G439</f>
        <v>Documentation, runbook and knowledge transfer</v>
      </c>
      <c r="C107" s="28"/>
      <c r="D107" s="28"/>
      <c r="E107" s="29" t="n">
        <f aca="false">'Task Breakdown'!I439</f>
        <v>0</v>
      </c>
      <c r="F107" s="29" t="n">
        <f aca="false">'Task Breakdown'!J439</f>
        <v>0</v>
      </c>
      <c r="G107" s="29" t="n">
        <f aca="false">'Task Breakdown'!K439</f>
        <v>3</v>
      </c>
      <c r="H107" s="29" t="n">
        <f aca="false">'Task Breakdown'!L439</f>
        <v>0</v>
      </c>
      <c r="I107" s="29" t="n">
        <f aca="false">'Task Breakdown'!M439</f>
        <v>0</v>
      </c>
      <c r="J107" s="29" t="n">
        <f aca="false">'Task Breakdown'!N439</f>
        <v>0</v>
      </c>
      <c r="K107" s="29" t="n">
        <f aca="false">'Task Breakdown'!O439</f>
        <v>0</v>
      </c>
      <c r="L107" s="29" t="n">
        <f aca="false">'Task Breakdown'!P439</f>
        <v>0</v>
      </c>
      <c r="M107" s="29" t="n">
        <f aca="false">'Task Breakdown'!Q439</f>
        <v>0</v>
      </c>
      <c r="N107" s="29" t="n">
        <f aca="false">'Task Breakdown'!R439</f>
        <v>0</v>
      </c>
      <c r="O107" s="29" t="n">
        <f aca="false">'Task Breakdown'!S439</f>
        <v>0</v>
      </c>
      <c r="P107" s="29" t="n">
        <f aca="false">'Task Breakdown'!T439</f>
        <v>0</v>
      </c>
      <c r="Q107" s="30" t="n">
        <f aca="false">SUM(E107:P107)</f>
        <v>3</v>
      </c>
      <c r="R107" s="31" t="n">
        <f aca="false">IF($Q$199&gt;0,Q107/$Q$199,0)</f>
        <v>0.000551369233596765</v>
      </c>
    </row>
    <row r="108" customFormat="false" ht="15" hidden="false" customHeight="false" outlineLevel="0" collapsed="false">
      <c r="A108" s="26" t="str">
        <f aca="false">'Task Breakdown'!A440</f>
        <v>DR-4.04.07</v>
      </c>
      <c r="B108" s="27" t="str">
        <f aca="false">'Task Breakdown'!G440</f>
        <v>Defect fixing and rework after testing</v>
      </c>
      <c r="C108" s="28"/>
      <c r="D108" s="28"/>
      <c r="E108" s="29" t="n">
        <f aca="false">'Task Breakdown'!I440</f>
        <v>0</v>
      </c>
      <c r="F108" s="29" t="n">
        <f aca="false">'Task Breakdown'!J440</f>
        <v>0</v>
      </c>
      <c r="G108" s="29" t="n">
        <f aca="false">'Task Breakdown'!K440</f>
        <v>5</v>
      </c>
      <c r="H108" s="29" t="n">
        <f aca="false">'Task Breakdown'!L440</f>
        <v>0</v>
      </c>
      <c r="I108" s="29" t="n">
        <f aca="false">'Task Breakdown'!M440</f>
        <v>0</v>
      </c>
      <c r="J108" s="29" t="n">
        <f aca="false">'Task Breakdown'!N440</f>
        <v>0</v>
      </c>
      <c r="K108" s="29" t="n">
        <f aca="false">'Task Breakdown'!O440</f>
        <v>0</v>
      </c>
      <c r="L108" s="29" t="n">
        <f aca="false">'Task Breakdown'!P440</f>
        <v>0</v>
      </c>
      <c r="M108" s="29" t="n">
        <f aca="false">'Task Breakdown'!Q440</f>
        <v>0</v>
      </c>
      <c r="N108" s="29" t="n">
        <f aca="false">'Task Breakdown'!R440</f>
        <v>0</v>
      </c>
      <c r="O108" s="29" t="n">
        <f aca="false">'Task Breakdown'!S440</f>
        <v>0</v>
      </c>
      <c r="P108" s="29" t="n">
        <f aca="false">'Task Breakdown'!T440</f>
        <v>0</v>
      </c>
      <c r="Q108" s="30" t="n">
        <f aca="false">SUM(E108:P108)</f>
        <v>5</v>
      </c>
      <c r="R108" s="31" t="n">
        <f aca="false">IF($Q$199&gt;0,Q108/$Q$199,0)</f>
        <v>0.000918948722661276</v>
      </c>
    </row>
    <row r="109" customFormat="false" ht="15" hidden="false" customHeight="false" outlineLevel="0" collapsed="false">
      <c r="A109" s="23" t="s">
        <v>335</v>
      </c>
      <c r="B109" s="23" t="s">
        <v>336</v>
      </c>
      <c r="C109" s="23" t="s">
        <v>43</v>
      </c>
      <c r="D109" s="23" t="s">
        <v>337</v>
      </c>
      <c r="E109" s="24" t="n">
        <f aca="false">SUM(E110:E116)</f>
        <v>0</v>
      </c>
      <c r="F109" s="24" t="n">
        <f aca="false">SUM(F110:F116)</f>
        <v>0</v>
      </c>
      <c r="G109" s="24" t="n">
        <f aca="false">SUM(G110:G116)</f>
        <v>3</v>
      </c>
      <c r="H109" s="24" t="n">
        <f aca="false">SUM(H110:H116)</f>
        <v>0</v>
      </c>
      <c r="I109" s="24" t="n">
        <f aca="false">SUM(I110:I116)</f>
        <v>5</v>
      </c>
      <c r="J109" s="24" t="n">
        <f aca="false">SUM(J110:J116)</f>
        <v>58</v>
      </c>
      <c r="K109" s="24" t="n">
        <f aca="false">SUM(K110:K116)</f>
        <v>32</v>
      </c>
      <c r="L109" s="24" t="n">
        <f aca="false">SUM(L110:L116)</f>
        <v>0</v>
      </c>
      <c r="M109" s="24" t="n">
        <f aca="false">SUM(M110:M116)</f>
        <v>0</v>
      </c>
      <c r="N109" s="24" t="n">
        <f aca="false">SUM(N110:N116)</f>
        <v>0</v>
      </c>
      <c r="O109" s="24" t="n">
        <f aca="false">SUM(O110:O116)</f>
        <v>0</v>
      </c>
      <c r="P109" s="24" t="n">
        <f aca="false">SUM(P110:P116)</f>
        <v>0</v>
      </c>
      <c r="Q109" s="24" t="n">
        <f aca="false">SUM(Q110:Q116)</f>
        <v>98</v>
      </c>
      <c r="R109" s="25" t="n">
        <f aca="false">IF($Q$199&gt;0,Q109/$Q$199,0)</f>
        <v>0.018011394964161</v>
      </c>
    </row>
    <row r="110" customFormat="false" ht="15" hidden="false" customHeight="false" outlineLevel="0" collapsed="false">
      <c r="A110" s="26" t="str">
        <f aca="false">'Task Breakdown'!A441</f>
        <v>DR-4.05.01</v>
      </c>
      <c r="B110" s="27" t="str">
        <f aca="false">'Task Breakdown'!G441</f>
        <v>Define drift signals (data, embeddings, answer quality)</v>
      </c>
      <c r="C110" s="28"/>
      <c r="D110" s="28"/>
      <c r="E110" s="29" t="n">
        <f aca="false">'Task Breakdown'!I441</f>
        <v>0</v>
      </c>
      <c r="F110" s="29" t="n">
        <f aca="false">'Task Breakdown'!J441</f>
        <v>0</v>
      </c>
      <c r="G110" s="29" t="n">
        <f aca="false">'Task Breakdown'!K441</f>
        <v>0</v>
      </c>
      <c r="H110" s="29" t="n">
        <f aca="false">'Task Breakdown'!L441</f>
        <v>0</v>
      </c>
      <c r="I110" s="29" t="n">
        <f aca="false">'Task Breakdown'!M441</f>
        <v>0</v>
      </c>
      <c r="J110" s="29" t="n">
        <f aca="false">'Task Breakdown'!N441</f>
        <v>12</v>
      </c>
      <c r="K110" s="29" t="n">
        <f aca="false">'Task Breakdown'!O441</f>
        <v>0</v>
      </c>
      <c r="L110" s="29" t="n">
        <f aca="false">'Task Breakdown'!P441</f>
        <v>0</v>
      </c>
      <c r="M110" s="29" t="n">
        <f aca="false">'Task Breakdown'!Q441</f>
        <v>0</v>
      </c>
      <c r="N110" s="29" t="n">
        <f aca="false">'Task Breakdown'!R441</f>
        <v>0</v>
      </c>
      <c r="O110" s="29" t="n">
        <f aca="false">'Task Breakdown'!S441</f>
        <v>0</v>
      </c>
      <c r="P110" s="29" t="n">
        <f aca="false">'Task Breakdown'!T441</f>
        <v>0</v>
      </c>
      <c r="Q110" s="30" t="n">
        <f aca="false">SUM(E110:P110)</f>
        <v>12</v>
      </c>
      <c r="R110" s="31" t="n">
        <f aca="false">IF($Q$199&gt;0,Q110/$Q$199,0)</f>
        <v>0.00220547693438706</v>
      </c>
    </row>
    <row r="111" customFormat="false" ht="15" hidden="false" customHeight="false" outlineLevel="0" collapsed="false">
      <c r="A111" s="26" t="str">
        <f aca="false">'Task Breakdown'!A442</f>
        <v>DR-4.05.02</v>
      </c>
      <c r="B111" s="27" t="str">
        <f aca="false">'Task Breakdown'!G442</f>
        <v>Build drift jobs and dashboards</v>
      </c>
      <c r="C111" s="28"/>
      <c r="D111" s="28"/>
      <c r="E111" s="29" t="n">
        <f aca="false">'Task Breakdown'!I442</f>
        <v>0</v>
      </c>
      <c r="F111" s="29" t="n">
        <f aca="false">'Task Breakdown'!J442</f>
        <v>0</v>
      </c>
      <c r="G111" s="29" t="n">
        <f aca="false">'Task Breakdown'!K442</f>
        <v>0</v>
      </c>
      <c r="H111" s="29" t="n">
        <f aca="false">'Task Breakdown'!L442</f>
        <v>0</v>
      </c>
      <c r="I111" s="29" t="n">
        <f aca="false">'Task Breakdown'!M442</f>
        <v>0</v>
      </c>
      <c r="J111" s="29" t="n">
        <f aca="false">'Task Breakdown'!N442</f>
        <v>24</v>
      </c>
      <c r="K111" s="29" t="n">
        <f aca="false">'Task Breakdown'!O442</f>
        <v>24</v>
      </c>
      <c r="L111" s="29" t="n">
        <f aca="false">'Task Breakdown'!P442</f>
        <v>0</v>
      </c>
      <c r="M111" s="29" t="n">
        <f aca="false">'Task Breakdown'!Q442</f>
        <v>0</v>
      </c>
      <c r="N111" s="29" t="n">
        <f aca="false">'Task Breakdown'!R442</f>
        <v>0</v>
      </c>
      <c r="O111" s="29" t="n">
        <f aca="false">'Task Breakdown'!S442</f>
        <v>0</v>
      </c>
      <c r="P111" s="29" t="n">
        <f aca="false">'Task Breakdown'!T442</f>
        <v>0</v>
      </c>
      <c r="Q111" s="30" t="n">
        <f aca="false">SUM(E111:P111)</f>
        <v>48</v>
      </c>
      <c r="R111" s="31" t="n">
        <f aca="false">IF($Q$199&gt;0,Q111/$Q$199,0)</f>
        <v>0.00882190773754825</v>
      </c>
    </row>
    <row r="112" customFormat="false" ht="15" hidden="false" customHeight="false" outlineLevel="0" collapsed="false">
      <c r="A112" s="26" t="str">
        <f aca="false">'Task Breakdown'!A443</f>
        <v>DR-4.05.03</v>
      </c>
      <c r="B112" s="27" t="str">
        <f aca="false">'Task Breakdown'!G443</f>
        <v>Set alert thresholds and review cadence</v>
      </c>
      <c r="C112" s="28"/>
      <c r="D112" s="28"/>
      <c r="E112" s="29" t="n">
        <f aca="false">'Task Breakdown'!I443</f>
        <v>0</v>
      </c>
      <c r="F112" s="29" t="n">
        <f aca="false">'Task Breakdown'!J443</f>
        <v>0</v>
      </c>
      <c r="G112" s="29" t="n">
        <f aca="false">'Task Breakdown'!K443</f>
        <v>0</v>
      </c>
      <c r="H112" s="29" t="n">
        <f aca="false">'Task Breakdown'!L443</f>
        <v>0</v>
      </c>
      <c r="I112" s="29" t="n">
        <f aca="false">'Task Breakdown'!M443</f>
        <v>0</v>
      </c>
      <c r="J112" s="29" t="n">
        <f aca="false">'Task Breakdown'!N443</f>
        <v>12</v>
      </c>
      <c r="K112" s="29" t="n">
        <f aca="false">'Task Breakdown'!O443</f>
        <v>8</v>
      </c>
      <c r="L112" s="29" t="n">
        <f aca="false">'Task Breakdown'!P443</f>
        <v>0</v>
      </c>
      <c r="M112" s="29" t="n">
        <f aca="false">'Task Breakdown'!Q443</f>
        <v>0</v>
      </c>
      <c r="N112" s="29" t="n">
        <f aca="false">'Task Breakdown'!R443</f>
        <v>0</v>
      </c>
      <c r="O112" s="29" t="n">
        <f aca="false">'Task Breakdown'!S443</f>
        <v>0</v>
      </c>
      <c r="P112" s="29" t="n">
        <f aca="false">'Task Breakdown'!T443</f>
        <v>0</v>
      </c>
      <c r="Q112" s="30" t="n">
        <f aca="false">SUM(E112:P112)</f>
        <v>20</v>
      </c>
      <c r="R112" s="31" t="n">
        <f aca="false">IF($Q$199&gt;0,Q112/$Q$199,0)</f>
        <v>0.0036757948906451</v>
      </c>
    </row>
    <row r="113" customFormat="false" ht="15" hidden="false" customHeight="false" outlineLevel="0" collapsed="false">
      <c r="A113" s="26" t="str">
        <f aca="false">'Task Breakdown'!A444</f>
        <v>DR-4.05.04</v>
      </c>
      <c r="B113" s="27" t="str">
        <f aca="false">'Task Breakdown'!G444</f>
        <v>Detailed design and design review</v>
      </c>
      <c r="C113" s="28"/>
      <c r="D113" s="28"/>
      <c r="E113" s="29" t="n">
        <f aca="false">'Task Breakdown'!I444</f>
        <v>0</v>
      </c>
      <c r="F113" s="29" t="n">
        <f aca="false">'Task Breakdown'!J444</f>
        <v>0</v>
      </c>
      <c r="G113" s="29" t="n">
        <f aca="false">'Task Breakdown'!K444</f>
        <v>0</v>
      </c>
      <c r="H113" s="29" t="n">
        <f aca="false">'Task Breakdown'!L444</f>
        <v>0</v>
      </c>
      <c r="I113" s="29" t="n">
        <f aca="false">'Task Breakdown'!M444</f>
        <v>5</v>
      </c>
      <c r="J113" s="29" t="n">
        <f aca="false">'Task Breakdown'!N444</f>
        <v>0</v>
      </c>
      <c r="K113" s="29" t="n">
        <f aca="false">'Task Breakdown'!O444</f>
        <v>0</v>
      </c>
      <c r="L113" s="29" t="n">
        <f aca="false">'Task Breakdown'!P444</f>
        <v>0</v>
      </c>
      <c r="M113" s="29" t="n">
        <f aca="false">'Task Breakdown'!Q444</f>
        <v>0</v>
      </c>
      <c r="N113" s="29" t="n">
        <f aca="false">'Task Breakdown'!R444</f>
        <v>0</v>
      </c>
      <c r="O113" s="29" t="n">
        <f aca="false">'Task Breakdown'!S444</f>
        <v>0</v>
      </c>
      <c r="P113" s="29" t="n">
        <f aca="false">'Task Breakdown'!T444</f>
        <v>0</v>
      </c>
      <c r="Q113" s="30" t="n">
        <f aca="false">SUM(E113:P113)</f>
        <v>5</v>
      </c>
      <c r="R113" s="31" t="n">
        <f aca="false">IF($Q$199&gt;0,Q113/$Q$199,0)</f>
        <v>0.000918948722661276</v>
      </c>
    </row>
    <row r="114" customFormat="false" ht="15" hidden="false" customHeight="false" outlineLevel="0" collapsed="false">
      <c r="A114" s="26" t="str">
        <f aca="false">'Task Breakdown'!A445</f>
        <v>DR-4.05.05</v>
      </c>
      <c r="B114" s="27" t="str">
        <f aca="false">'Task Breakdown'!G445</f>
        <v>Promote through dev / test / prod and release</v>
      </c>
      <c r="C114" s="28"/>
      <c r="D114" s="28"/>
      <c r="E114" s="29" t="n">
        <f aca="false">'Task Breakdown'!I445</f>
        <v>0</v>
      </c>
      <c r="F114" s="29" t="n">
        <f aca="false">'Task Breakdown'!J445</f>
        <v>0</v>
      </c>
      <c r="G114" s="29" t="n">
        <f aca="false">'Task Breakdown'!K445</f>
        <v>3</v>
      </c>
      <c r="H114" s="29" t="n">
        <f aca="false">'Task Breakdown'!L445</f>
        <v>0</v>
      </c>
      <c r="I114" s="29" t="n">
        <f aca="false">'Task Breakdown'!M445</f>
        <v>0</v>
      </c>
      <c r="J114" s="29" t="n">
        <f aca="false">'Task Breakdown'!N445</f>
        <v>0</v>
      </c>
      <c r="K114" s="29" t="n">
        <f aca="false">'Task Breakdown'!O445</f>
        <v>0</v>
      </c>
      <c r="L114" s="29" t="n">
        <f aca="false">'Task Breakdown'!P445</f>
        <v>0</v>
      </c>
      <c r="M114" s="29" t="n">
        <f aca="false">'Task Breakdown'!Q445</f>
        <v>0</v>
      </c>
      <c r="N114" s="29" t="n">
        <f aca="false">'Task Breakdown'!R445</f>
        <v>0</v>
      </c>
      <c r="O114" s="29" t="n">
        <f aca="false">'Task Breakdown'!S445</f>
        <v>0</v>
      </c>
      <c r="P114" s="29" t="n">
        <f aca="false">'Task Breakdown'!T445</f>
        <v>0</v>
      </c>
      <c r="Q114" s="30" t="n">
        <f aca="false">SUM(E114:P114)</f>
        <v>3</v>
      </c>
      <c r="R114" s="31" t="n">
        <f aca="false">IF($Q$199&gt;0,Q114/$Q$199,0)</f>
        <v>0.000551369233596765</v>
      </c>
    </row>
    <row r="115" customFormat="false" ht="15" hidden="false" customHeight="false" outlineLevel="0" collapsed="false">
      <c r="A115" s="26" t="str">
        <f aca="false">'Task Breakdown'!A446</f>
        <v>DR-4.05.06</v>
      </c>
      <c r="B115" s="27" t="str">
        <f aca="false">'Task Breakdown'!G446</f>
        <v>Documentation, runbook and knowledge transfer</v>
      </c>
      <c r="C115" s="28"/>
      <c r="D115" s="28"/>
      <c r="E115" s="29" t="n">
        <f aca="false">'Task Breakdown'!I446</f>
        <v>0</v>
      </c>
      <c r="F115" s="29" t="n">
        <f aca="false">'Task Breakdown'!J446</f>
        <v>0</v>
      </c>
      <c r="G115" s="29" t="n">
        <f aca="false">'Task Breakdown'!K446</f>
        <v>0</v>
      </c>
      <c r="H115" s="29" t="n">
        <f aca="false">'Task Breakdown'!L446</f>
        <v>0</v>
      </c>
      <c r="I115" s="29" t="n">
        <f aca="false">'Task Breakdown'!M446</f>
        <v>0</v>
      </c>
      <c r="J115" s="29" t="n">
        <f aca="false">'Task Breakdown'!N446</f>
        <v>3</v>
      </c>
      <c r="K115" s="29" t="n">
        <f aca="false">'Task Breakdown'!O446</f>
        <v>0</v>
      </c>
      <c r="L115" s="29" t="n">
        <f aca="false">'Task Breakdown'!P446</f>
        <v>0</v>
      </c>
      <c r="M115" s="29" t="n">
        <f aca="false">'Task Breakdown'!Q446</f>
        <v>0</v>
      </c>
      <c r="N115" s="29" t="n">
        <f aca="false">'Task Breakdown'!R446</f>
        <v>0</v>
      </c>
      <c r="O115" s="29" t="n">
        <f aca="false">'Task Breakdown'!S446</f>
        <v>0</v>
      </c>
      <c r="P115" s="29" t="n">
        <f aca="false">'Task Breakdown'!T446</f>
        <v>0</v>
      </c>
      <c r="Q115" s="30" t="n">
        <f aca="false">SUM(E115:P115)</f>
        <v>3</v>
      </c>
      <c r="R115" s="31" t="n">
        <f aca="false">IF($Q$199&gt;0,Q115/$Q$199,0)</f>
        <v>0.000551369233596765</v>
      </c>
    </row>
    <row r="116" customFormat="false" ht="15" hidden="false" customHeight="false" outlineLevel="0" collapsed="false">
      <c r="A116" s="26" t="str">
        <f aca="false">'Task Breakdown'!A447</f>
        <v>DR-4.05.07</v>
      </c>
      <c r="B116" s="27" t="str">
        <f aca="false">'Task Breakdown'!G447</f>
        <v>Defect fixing and rework after testing</v>
      </c>
      <c r="C116" s="28"/>
      <c r="D116" s="28"/>
      <c r="E116" s="29" t="n">
        <f aca="false">'Task Breakdown'!I447</f>
        <v>0</v>
      </c>
      <c r="F116" s="29" t="n">
        <f aca="false">'Task Breakdown'!J447</f>
        <v>0</v>
      </c>
      <c r="G116" s="29" t="n">
        <f aca="false">'Task Breakdown'!K447</f>
        <v>0</v>
      </c>
      <c r="H116" s="29" t="n">
        <f aca="false">'Task Breakdown'!L447</f>
        <v>0</v>
      </c>
      <c r="I116" s="29" t="n">
        <f aca="false">'Task Breakdown'!M447</f>
        <v>0</v>
      </c>
      <c r="J116" s="29" t="n">
        <f aca="false">'Task Breakdown'!N447</f>
        <v>7</v>
      </c>
      <c r="K116" s="29" t="n">
        <f aca="false">'Task Breakdown'!O447</f>
        <v>0</v>
      </c>
      <c r="L116" s="29" t="n">
        <f aca="false">'Task Breakdown'!P447</f>
        <v>0</v>
      </c>
      <c r="M116" s="29" t="n">
        <f aca="false">'Task Breakdown'!Q447</f>
        <v>0</v>
      </c>
      <c r="N116" s="29" t="n">
        <f aca="false">'Task Breakdown'!R447</f>
        <v>0</v>
      </c>
      <c r="O116" s="29" t="n">
        <f aca="false">'Task Breakdown'!S447</f>
        <v>0</v>
      </c>
      <c r="P116" s="29" t="n">
        <f aca="false">'Task Breakdown'!T447</f>
        <v>0</v>
      </c>
      <c r="Q116" s="30" t="n">
        <f aca="false">SUM(E116:P116)</f>
        <v>7</v>
      </c>
      <c r="R116" s="31" t="n">
        <f aca="false">IF($Q$199&gt;0,Q116/$Q$199,0)</f>
        <v>0.00128652821172579</v>
      </c>
    </row>
    <row r="117" customFormat="false" ht="15" hidden="false" customHeight="false" outlineLevel="0" collapsed="false">
      <c r="A117" s="23" t="s">
        <v>338</v>
      </c>
      <c r="B117" s="23" t="s">
        <v>339</v>
      </c>
      <c r="C117" s="23" t="s">
        <v>44</v>
      </c>
      <c r="D117" s="23" t="s">
        <v>340</v>
      </c>
      <c r="E117" s="24" t="n">
        <f aca="false">SUM(E118:E126)</f>
        <v>0</v>
      </c>
      <c r="F117" s="24" t="n">
        <f aca="false">SUM(F118:F126)</f>
        <v>0</v>
      </c>
      <c r="G117" s="24" t="n">
        <f aca="false">SUM(G118:G126)</f>
        <v>22</v>
      </c>
      <c r="H117" s="24" t="n">
        <f aca="false">SUM(H118:H126)</f>
        <v>0</v>
      </c>
      <c r="I117" s="24" t="n">
        <f aca="false">SUM(I118:I126)</f>
        <v>0</v>
      </c>
      <c r="J117" s="24" t="n">
        <f aca="false">SUM(J118:J126)</f>
        <v>0</v>
      </c>
      <c r="K117" s="24" t="n">
        <f aca="false">SUM(K118:K126)</f>
        <v>310</v>
      </c>
      <c r="L117" s="24" t="n">
        <f aca="false">SUM(L118:L126)</f>
        <v>80</v>
      </c>
      <c r="M117" s="24" t="n">
        <f aca="false">SUM(M118:M126)</f>
        <v>0</v>
      </c>
      <c r="N117" s="24" t="n">
        <f aca="false">SUM(N118:N126)</f>
        <v>147</v>
      </c>
      <c r="O117" s="24" t="n">
        <f aca="false">SUM(O118:O126)</f>
        <v>0</v>
      </c>
      <c r="P117" s="24" t="n">
        <f aca="false">SUM(P118:P126)</f>
        <v>98</v>
      </c>
      <c r="Q117" s="24" t="n">
        <f aca="false">SUM(Q118:Q126)</f>
        <v>657</v>
      </c>
      <c r="R117" s="25" t="n">
        <f aca="false">IF($Q$199&gt;0,Q117/$Q$199,0)</f>
        <v>0.120749862157692</v>
      </c>
    </row>
    <row r="118" customFormat="false" ht="15" hidden="false" customHeight="false" outlineLevel="0" collapsed="false">
      <c r="A118" s="26" t="str">
        <f aca="false">'Task Breakdown'!A448</f>
        <v>DR-4.06.01</v>
      </c>
      <c r="B118" s="27" t="str">
        <f aca="false">'Task Breakdown'!G448</f>
        <v>Plant data readiness checklist</v>
      </c>
      <c r="C118" s="28"/>
      <c r="D118" s="28"/>
      <c r="E118" s="29" t="n">
        <f aca="false">'Task Breakdown'!I448</f>
        <v>0</v>
      </c>
      <c r="F118" s="29" t="n">
        <f aca="false">'Task Breakdown'!J448</f>
        <v>0</v>
      </c>
      <c r="G118" s="29" t="n">
        <f aca="false">'Task Breakdown'!K448</f>
        <v>0</v>
      </c>
      <c r="H118" s="29" t="n">
        <f aca="false">'Task Breakdown'!L448</f>
        <v>0</v>
      </c>
      <c r="I118" s="29" t="n">
        <f aca="false">'Task Breakdown'!M448</f>
        <v>0</v>
      </c>
      <c r="J118" s="29" t="n">
        <f aca="false">'Task Breakdown'!N448</f>
        <v>0</v>
      </c>
      <c r="K118" s="29" t="n">
        <f aca="false">'Task Breakdown'!O448</f>
        <v>0</v>
      </c>
      <c r="L118" s="29" t="n">
        <f aca="false">'Task Breakdown'!P448</f>
        <v>24</v>
      </c>
      <c r="M118" s="29" t="n">
        <f aca="false">'Task Breakdown'!Q448</f>
        <v>0</v>
      </c>
      <c r="N118" s="29" t="n">
        <f aca="false">'Task Breakdown'!R448</f>
        <v>49</v>
      </c>
      <c r="O118" s="29" t="n">
        <f aca="false">'Task Breakdown'!S448</f>
        <v>0</v>
      </c>
      <c r="P118" s="29" t="n">
        <f aca="false">'Task Breakdown'!T448</f>
        <v>0</v>
      </c>
      <c r="Q118" s="30" t="n">
        <f aca="false">SUM(E118:P118)</f>
        <v>73</v>
      </c>
      <c r="R118" s="31" t="n">
        <f aca="false">IF($Q$199&gt;0,Q118/$Q$199,0)</f>
        <v>0.0134166513508546</v>
      </c>
    </row>
    <row r="119" customFormat="false" ht="15" hidden="false" customHeight="false" outlineLevel="0" collapsed="false">
      <c r="A119" s="26" t="str">
        <f aca="false">'Task Breakdown'!A449</f>
        <v>DR-4.06.02</v>
      </c>
      <c r="B119" s="27" t="str">
        <f aca="false">'Task Breakdown'!G449</f>
        <v>Parameterize pipelines for plant codes</v>
      </c>
      <c r="C119" s="28"/>
      <c r="D119" s="28"/>
      <c r="E119" s="29" t="n">
        <f aca="false">'Task Breakdown'!I449</f>
        <v>0</v>
      </c>
      <c r="F119" s="29" t="n">
        <f aca="false">'Task Breakdown'!J449</f>
        <v>0</v>
      </c>
      <c r="G119" s="29" t="n">
        <f aca="false">'Task Breakdown'!K449</f>
        <v>0</v>
      </c>
      <c r="H119" s="29" t="n">
        <f aca="false">'Task Breakdown'!L449</f>
        <v>0</v>
      </c>
      <c r="I119" s="29" t="n">
        <f aca="false">'Task Breakdown'!M449</f>
        <v>0</v>
      </c>
      <c r="J119" s="29" t="n">
        <f aca="false">'Task Breakdown'!N449</f>
        <v>0</v>
      </c>
      <c r="K119" s="29" t="n">
        <f aca="false">'Task Breakdown'!O449</f>
        <v>147</v>
      </c>
      <c r="L119" s="29" t="n">
        <f aca="false">'Task Breakdown'!P449</f>
        <v>0</v>
      </c>
      <c r="M119" s="29" t="n">
        <f aca="false">'Task Breakdown'!Q449</f>
        <v>0</v>
      </c>
      <c r="N119" s="29" t="n">
        <f aca="false">'Task Breakdown'!R449</f>
        <v>0</v>
      </c>
      <c r="O119" s="29" t="n">
        <f aca="false">'Task Breakdown'!S449</f>
        <v>0</v>
      </c>
      <c r="P119" s="29" t="n">
        <f aca="false">'Task Breakdown'!T449</f>
        <v>0</v>
      </c>
      <c r="Q119" s="30" t="n">
        <f aca="false">SUM(E119:P119)</f>
        <v>147</v>
      </c>
      <c r="R119" s="31" t="n">
        <f aca="false">IF($Q$199&gt;0,Q119/$Q$199,0)</f>
        <v>0.0270170924462415</v>
      </c>
    </row>
    <row r="120" customFormat="false" ht="15" hidden="false" customHeight="false" outlineLevel="0" collapsed="false">
      <c r="A120" s="26" t="str">
        <f aca="false">'Task Breakdown'!A450</f>
        <v>DR-4.06.03</v>
      </c>
      <c r="B120" s="27" t="str">
        <f aca="false">'Task Breakdown'!G450</f>
        <v>Connect plant sources and validate</v>
      </c>
      <c r="C120" s="28"/>
      <c r="D120" s="28"/>
      <c r="E120" s="29" t="n">
        <f aca="false">'Task Breakdown'!I450</f>
        <v>0</v>
      </c>
      <c r="F120" s="29" t="n">
        <f aca="false">'Task Breakdown'!J450</f>
        <v>0</v>
      </c>
      <c r="G120" s="29" t="n">
        <f aca="false">'Task Breakdown'!K450</f>
        <v>0</v>
      </c>
      <c r="H120" s="29" t="n">
        <f aca="false">'Task Breakdown'!L450</f>
        <v>0</v>
      </c>
      <c r="I120" s="29" t="n">
        <f aca="false">'Task Breakdown'!M450</f>
        <v>0</v>
      </c>
      <c r="J120" s="29" t="n">
        <f aca="false">'Task Breakdown'!N450</f>
        <v>0</v>
      </c>
      <c r="K120" s="29" t="n">
        <f aca="false">'Task Breakdown'!O450</f>
        <v>98</v>
      </c>
      <c r="L120" s="29" t="n">
        <f aca="false">'Task Breakdown'!P450</f>
        <v>0</v>
      </c>
      <c r="M120" s="29" t="n">
        <f aca="false">'Task Breakdown'!Q450</f>
        <v>0</v>
      </c>
      <c r="N120" s="29" t="n">
        <f aca="false">'Task Breakdown'!R450</f>
        <v>0</v>
      </c>
      <c r="O120" s="29" t="n">
        <f aca="false">'Task Breakdown'!S450</f>
        <v>0</v>
      </c>
      <c r="P120" s="29" t="n">
        <f aca="false">'Task Breakdown'!T450</f>
        <v>0</v>
      </c>
      <c r="Q120" s="30" t="n">
        <f aca="false">SUM(E120:P120)</f>
        <v>98</v>
      </c>
      <c r="R120" s="31" t="n">
        <f aca="false">IF($Q$199&gt;0,Q120/$Q$199,0)</f>
        <v>0.018011394964161</v>
      </c>
    </row>
    <row r="121" customFormat="false" ht="15" hidden="false" customHeight="false" outlineLevel="0" collapsed="false">
      <c r="A121" s="26" t="str">
        <f aca="false">'Task Breakdown'!A451</f>
        <v>DR-4.06.04</v>
      </c>
      <c r="B121" s="27" t="str">
        <f aca="false">'Task Breakdown'!G451</f>
        <v>Onboard local data owners</v>
      </c>
      <c r="C121" s="28"/>
      <c r="D121" s="28"/>
      <c r="E121" s="29" t="n">
        <f aca="false">'Task Breakdown'!I451</f>
        <v>0</v>
      </c>
      <c r="F121" s="29" t="n">
        <f aca="false">'Task Breakdown'!J451</f>
        <v>0</v>
      </c>
      <c r="G121" s="29" t="n">
        <f aca="false">'Task Breakdown'!K451</f>
        <v>0</v>
      </c>
      <c r="H121" s="29" t="n">
        <f aca="false">'Task Breakdown'!L451</f>
        <v>0</v>
      </c>
      <c r="I121" s="29" t="n">
        <f aca="false">'Task Breakdown'!M451</f>
        <v>0</v>
      </c>
      <c r="J121" s="29" t="n">
        <f aca="false">'Task Breakdown'!N451</f>
        <v>0</v>
      </c>
      <c r="K121" s="29" t="n">
        <f aca="false">'Task Breakdown'!O451</f>
        <v>0</v>
      </c>
      <c r="L121" s="29" t="n">
        <f aca="false">'Task Breakdown'!P451</f>
        <v>24</v>
      </c>
      <c r="M121" s="29" t="n">
        <f aca="false">'Task Breakdown'!Q451</f>
        <v>0</v>
      </c>
      <c r="N121" s="29" t="n">
        <f aca="false">'Task Breakdown'!R451</f>
        <v>0</v>
      </c>
      <c r="O121" s="29" t="n">
        <f aca="false">'Task Breakdown'!S451</f>
        <v>0</v>
      </c>
      <c r="P121" s="29" t="n">
        <f aca="false">'Task Breakdown'!T451</f>
        <v>98</v>
      </c>
      <c r="Q121" s="30" t="n">
        <f aca="false">SUM(E121:P121)</f>
        <v>122</v>
      </c>
      <c r="R121" s="31" t="n">
        <f aca="false">IF($Q$199&gt;0,Q121/$Q$199,0)</f>
        <v>0.0224223488329351</v>
      </c>
    </row>
    <row r="122" customFormat="false" ht="15" hidden="false" customHeight="false" outlineLevel="0" collapsed="false">
      <c r="A122" s="26" t="str">
        <f aca="false">'Task Breakdown'!A452</f>
        <v>DR-4.06.05</v>
      </c>
      <c r="B122" s="27" t="str">
        <f aca="false">'Task Breakdown'!G452</f>
        <v>Plant go-live sign-off</v>
      </c>
      <c r="C122" s="28"/>
      <c r="D122" s="28"/>
      <c r="E122" s="29" t="n">
        <f aca="false">'Task Breakdown'!I452</f>
        <v>0</v>
      </c>
      <c r="F122" s="29" t="n">
        <f aca="false">'Task Breakdown'!J452</f>
        <v>0</v>
      </c>
      <c r="G122" s="29" t="n">
        <f aca="false">'Task Breakdown'!K452</f>
        <v>0</v>
      </c>
      <c r="H122" s="29" t="n">
        <f aca="false">'Task Breakdown'!L452</f>
        <v>0</v>
      </c>
      <c r="I122" s="29" t="n">
        <f aca="false">'Task Breakdown'!M452</f>
        <v>0</v>
      </c>
      <c r="J122" s="29" t="n">
        <f aca="false">'Task Breakdown'!N452</f>
        <v>0</v>
      </c>
      <c r="K122" s="29" t="n">
        <f aca="false">'Task Breakdown'!O452</f>
        <v>0</v>
      </c>
      <c r="L122" s="29" t="n">
        <f aca="false">'Task Breakdown'!P452</f>
        <v>0</v>
      </c>
      <c r="M122" s="29" t="n">
        <f aca="false">'Task Breakdown'!Q452</f>
        <v>0</v>
      </c>
      <c r="N122" s="29" t="n">
        <f aca="false">'Task Breakdown'!R452</f>
        <v>98</v>
      </c>
      <c r="O122" s="29" t="n">
        <f aca="false">'Task Breakdown'!S452</f>
        <v>0</v>
      </c>
      <c r="P122" s="29" t="n">
        <f aca="false">'Task Breakdown'!T452</f>
        <v>0</v>
      </c>
      <c r="Q122" s="30" t="n">
        <f aca="false">SUM(E122:P122)</f>
        <v>98</v>
      </c>
      <c r="R122" s="31" t="n">
        <f aca="false">IF($Q$199&gt;0,Q122/$Q$199,0)</f>
        <v>0.018011394964161</v>
      </c>
    </row>
    <row r="123" customFormat="false" ht="15" hidden="false" customHeight="false" outlineLevel="0" collapsed="false">
      <c r="A123" s="26" t="str">
        <f aca="false">'Task Breakdown'!A453</f>
        <v>DR-4.06.06</v>
      </c>
      <c r="B123" s="27" t="str">
        <f aca="false">'Task Breakdown'!G453</f>
        <v>Detailed design and design review</v>
      </c>
      <c r="C123" s="28"/>
      <c r="D123" s="28"/>
      <c r="E123" s="29" t="n">
        <f aca="false">'Task Breakdown'!I453</f>
        <v>0</v>
      </c>
      <c r="F123" s="29" t="n">
        <f aca="false">'Task Breakdown'!J453</f>
        <v>0</v>
      </c>
      <c r="G123" s="29" t="n">
        <f aca="false">'Task Breakdown'!K453</f>
        <v>0</v>
      </c>
      <c r="H123" s="29" t="n">
        <f aca="false">'Task Breakdown'!L453</f>
        <v>0</v>
      </c>
      <c r="I123" s="29" t="n">
        <f aca="false">'Task Breakdown'!M453</f>
        <v>0</v>
      </c>
      <c r="J123" s="29" t="n">
        <f aca="false">'Task Breakdown'!N453</f>
        <v>0</v>
      </c>
      <c r="K123" s="29" t="n">
        <f aca="false">'Task Breakdown'!O453</f>
        <v>0</v>
      </c>
      <c r="L123" s="29" t="n">
        <f aca="false">'Task Breakdown'!P453</f>
        <v>32</v>
      </c>
      <c r="M123" s="29" t="n">
        <f aca="false">'Task Breakdown'!Q453</f>
        <v>0</v>
      </c>
      <c r="N123" s="29" t="n">
        <f aca="false">'Task Breakdown'!R453</f>
        <v>0</v>
      </c>
      <c r="O123" s="29" t="n">
        <f aca="false">'Task Breakdown'!S453</f>
        <v>0</v>
      </c>
      <c r="P123" s="29" t="n">
        <f aca="false">'Task Breakdown'!T453</f>
        <v>0</v>
      </c>
      <c r="Q123" s="30" t="n">
        <f aca="false">SUM(E123:P123)</f>
        <v>32</v>
      </c>
      <c r="R123" s="31" t="n">
        <f aca="false">IF($Q$199&gt;0,Q123/$Q$199,0)</f>
        <v>0.00588127182503216</v>
      </c>
    </row>
    <row r="124" customFormat="false" ht="15" hidden="false" customHeight="false" outlineLevel="0" collapsed="false">
      <c r="A124" s="26" t="str">
        <f aca="false">'Task Breakdown'!A454</f>
        <v>DR-4.06.07</v>
      </c>
      <c r="B124" s="27" t="str">
        <f aca="false">'Task Breakdown'!G454</f>
        <v>Promote through dev / test / prod and release</v>
      </c>
      <c r="C124" s="28"/>
      <c r="D124" s="28"/>
      <c r="E124" s="29" t="n">
        <f aca="false">'Task Breakdown'!I454</f>
        <v>0</v>
      </c>
      <c r="F124" s="29" t="n">
        <f aca="false">'Task Breakdown'!J454</f>
        <v>0</v>
      </c>
      <c r="G124" s="29" t="n">
        <f aca="false">'Task Breakdown'!K454</f>
        <v>22</v>
      </c>
      <c r="H124" s="29" t="n">
        <f aca="false">'Task Breakdown'!L454</f>
        <v>0</v>
      </c>
      <c r="I124" s="29" t="n">
        <f aca="false">'Task Breakdown'!M454</f>
        <v>0</v>
      </c>
      <c r="J124" s="29" t="n">
        <f aca="false">'Task Breakdown'!N454</f>
        <v>0</v>
      </c>
      <c r="K124" s="29" t="n">
        <f aca="false">'Task Breakdown'!O454</f>
        <v>0</v>
      </c>
      <c r="L124" s="29" t="n">
        <f aca="false">'Task Breakdown'!P454</f>
        <v>0</v>
      </c>
      <c r="M124" s="29" t="n">
        <f aca="false">'Task Breakdown'!Q454</f>
        <v>0</v>
      </c>
      <c r="N124" s="29" t="n">
        <f aca="false">'Task Breakdown'!R454</f>
        <v>0</v>
      </c>
      <c r="O124" s="29" t="n">
        <f aca="false">'Task Breakdown'!S454</f>
        <v>0</v>
      </c>
      <c r="P124" s="29" t="n">
        <f aca="false">'Task Breakdown'!T454</f>
        <v>0</v>
      </c>
      <c r="Q124" s="30" t="n">
        <f aca="false">SUM(E124:P124)</f>
        <v>22</v>
      </c>
      <c r="R124" s="31" t="n">
        <f aca="false">IF($Q$199&gt;0,Q124/$Q$199,0)</f>
        <v>0.00404337437970961</v>
      </c>
    </row>
    <row r="125" customFormat="false" ht="15" hidden="false" customHeight="false" outlineLevel="0" collapsed="false">
      <c r="A125" s="26" t="str">
        <f aca="false">'Task Breakdown'!A455</f>
        <v>DR-4.06.08</v>
      </c>
      <c r="B125" s="27" t="str">
        <f aca="false">'Task Breakdown'!G455</f>
        <v>Documentation, runbook and knowledge transfer</v>
      </c>
      <c r="C125" s="28"/>
      <c r="D125" s="28"/>
      <c r="E125" s="29" t="n">
        <f aca="false">'Task Breakdown'!I455</f>
        <v>0</v>
      </c>
      <c r="F125" s="29" t="n">
        <f aca="false">'Task Breakdown'!J455</f>
        <v>0</v>
      </c>
      <c r="G125" s="29" t="n">
        <f aca="false">'Task Breakdown'!K455</f>
        <v>0</v>
      </c>
      <c r="H125" s="29" t="n">
        <f aca="false">'Task Breakdown'!L455</f>
        <v>0</v>
      </c>
      <c r="I125" s="29" t="n">
        <f aca="false">'Task Breakdown'!M455</f>
        <v>0</v>
      </c>
      <c r="J125" s="29" t="n">
        <f aca="false">'Task Breakdown'!N455</f>
        <v>0</v>
      </c>
      <c r="K125" s="29" t="n">
        <f aca="false">'Task Breakdown'!O455</f>
        <v>22</v>
      </c>
      <c r="L125" s="29" t="n">
        <f aca="false">'Task Breakdown'!P455</f>
        <v>0</v>
      </c>
      <c r="M125" s="29" t="n">
        <f aca="false">'Task Breakdown'!Q455</f>
        <v>0</v>
      </c>
      <c r="N125" s="29" t="n">
        <f aca="false">'Task Breakdown'!R455</f>
        <v>0</v>
      </c>
      <c r="O125" s="29" t="n">
        <f aca="false">'Task Breakdown'!S455</f>
        <v>0</v>
      </c>
      <c r="P125" s="29" t="n">
        <f aca="false">'Task Breakdown'!T455</f>
        <v>0</v>
      </c>
      <c r="Q125" s="30" t="n">
        <f aca="false">SUM(E125:P125)</f>
        <v>22</v>
      </c>
      <c r="R125" s="31" t="n">
        <f aca="false">IF($Q$199&gt;0,Q125/$Q$199,0)</f>
        <v>0.00404337437970961</v>
      </c>
    </row>
    <row r="126" customFormat="false" ht="15" hidden="false" customHeight="false" outlineLevel="0" collapsed="false">
      <c r="A126" s="26" t="str">
        <f aca="false">'Task Breakdown'!A456</f>
        <v>DR-4.06.09</v>
      </c>
      <c r="B126" s="27" t="str">
        <f aca="false">'Task Breakdown'!G456</f>
        <v>Defect fixing and rework after testing</v>
      </c>
      <c r="C126" s="28"/>
      <c r="D126" s="28"/>
      <c r="E126" s="29" t="n">
        <f aca="false">'Task Breakdown'!I456</f>
        <v>0</v>
      </c>
      <c r="F126" s="29" t="n">
        <f aca="false">'Task Breakdown'!J456</f>
        <v>0</v>
      </c>
      <c r="G126" s="29" t="n">
        <f aca="false">'Task Breakdown'!K456</f>
        <v>0</v>
      </c>
      <c r="H126" s="29" t="n">
        <f aca="false">'Task Breakdown'!L456</f>
        <v>0</v>
      </c>
      <c r="I126" s="29" t="n">
        <f aca="false">'Task Breakdown'!M456</f>
        <v>0</v>
      </c>
      <c r="J126" s="29" t="n">
        <f aca="false">'Task Breakdown'!N456</f>
        <v>0</v>
      </c>
      <c r="K126" s="29" t="n">
        <f aca="false">'Task Breakdown'!O456</f>
        <v>43</v>
      </c>
      <c r="L126" s="29" t="n">
        <f aca="false">'Task Breakdown'!P456</f>
        <v>0</v>
      </c>
      <c r="M126" s="29" t="n">
        <f aca="false">'Task Breakdown'!Q456</f>
        <v>0</v>
      </c>
      <c r="N126" s="29" t="n">
        <f aca="false">'Task Breakdown'!R456</f>
        <v>0</v>
      </c>
      <c r="O126" s="29" t="n">
        <f aca="false">'Task Breakdown'!S456</f>
        <v>0</v>
      </c>
      <c r="P126" s="29" t="n">
        <f aca="false">'Task Breakdown'!T456</f>
        <v>0</v>
      </c>
      <c r="Q126" s="30" t="n">
        <f aca="false">SUM(E126:P126)</f>
        <v>43</v>
      </c>
      <c r="R126" s="31" t="n">
        <f aca="false">IF($Q$199&gt;0,Q126/$Q$199,0)</f>
        <v>0.00790295901488697</v>
      </c>
    </row>
    <row r="127" customFormat="false" ht="15" hidden="false" customHeight="false" outlineLevel="0" collapsed="false">
      <c r="A127" s="9"/>
      <c r="B127" s="10" t="s">
        <v>139</v>
      </c>
      <c r="C127" s="9"/>
      <c r="D127" s="9"/>
      <c r="E127" s="32" t="n">
        <f aca="false">E80+E89+E95+E101+E109+E117</f>
        <v>0</v>
      </c>
      <c r="F127" s="32" t="n">
        <f aca="false">F80+F89+F95+F101+F109+F117</f>
        <v>4</v>
      </c>
      <c r="G127" s="32" t="n">
        <f aca="false">G80+G89+G95+G101+G109+G117</f>
        <v>120</v>
      </c>
      <c r="H127" s="32" t="n">
        <f aca="false">H80+H89+H95+H101+H109+H117</f>
        <v>16</v>
      </c>
      <c r="I127" s="32" t="n">
        <f aca="false">I80+I89+I95+I101+I109+I117</f>
        <v>5</v>
      </c>
      <c r="J127" s="32" t="n">
        <f aca="false">J80+J89+J95+J101+J109+J117</f>
        <v>90</v>
      </c>
      <c r="K127" s="32" t="n">
        <f aca="false">K80+K89+K95+K101+K109+K117</f>
        <v>434</v>
      </c>
      <c r="L127" s="32" t="n">
        <f aca="false">L80+L89+L95+L101+L109+L117</f>
        <v>201</v>
      </c>
      <c r="M127" s="32" t="n">
        <f aca="false">M80+M89+M95+M101+M109+M117</f>
        <v>0</v>
      </c>
      <c r="N127" s="32" t="n">
        <f aca="false">N80+N89+N95+N101+N109+N117</f>
        <v>147</v>
      </c>
      <c r="O127" s="32" t="n">
        <f aca="false">O80+O89+O95+O101+O109+O117</f>
        <v>16</v>
      </c>
      <c r="P127" s="32" t="n">
        <f aca="false">P80+P89+P95+P101+P109+P117</f>
        <v>98</v>
      </c>
      <c r="Q127" s="32" t="n">
        <f aca="false">Q80+Q89+Q95+Q101+Q109+Q117</f>
        <v>1131</v>
      </c>
      <c r="R127" s="33" t="n">
        <f aca="false">IF($Q$199&gt;0,Q127/$Q$199,0)</f>
        <v>0.207866201065981</v>
      </c>
    </row>
    <row r="129" customFormat="false" ht="15" hidden="false" customHeight="false" outlineLevel="0" collapsed="false">
      <c r="A129" s="21" t="s">
        <v>341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</row>
    <row r="130" customFormat="false" ht="15" hidden="false" customHeight="false" outlineLevel="0" collapsed="false">
      <c r="A130" s="23" t="s">
        <v>342</v>
      </c>
      <c r="B130" s="23" t="s">
        <v>343</v>
      </c>
      <c r="C130" s="23" t="s">
        <v>45</v>
      </c>
      <c r="D130" s="23" t="s">
        <v>344</v>
      </c>
      <c r="E130" s="24" t="n">
        <f aca="false">SUM(E131:E140)</f>
        <v>0</v>
      </c>
      <c r="F130" s="24" t="n">
        <f aca="false">SUM(F131:F140)</f>
        <v>0</v>
      </c>
      <c r="G130" s="24" t="n">
        <f aca="false">SUM(G131:G140)</f>
        <v>20</v>
      </c>
      <c r="H130" s="24" t="n">
        <f aca="false">SUM(H131:H140)</f>
        <v>0</v>
      </c>
      <c r="I130" s="24" t="n">
        <f aca="false">SUM(I131:I140)</f>
        <v>29</v>
      </c>
      <c r="J130" s="24" t="n">
        <f aca="false">SUM(J131:J140)</f>
        <v>254</v>
      </c>
      <c r="K130" s="24" t="n">
        <f aca="false">SUM(K131:K140)</f>
        <v>121</v>
      </c>
      <c r="L130" s="24" t="n">
        <f aca="false">SUM(L131:L140)</f>
        <v>0</v>
      </c>
      <c r="M130" s="24" t="n">
        <f aca="false">SUM(M131:M140)</f>
        <v>0</v>
      </c>
      <c r="N130" s="24" t="n">
        <f aca="false">SUM(N131:N140)</f>
        <v>98</v>
      </c>
      <c r="O130" s="24" t="n">
        <f aca="false">SUM(O131:O140)</f>
        <v>73</v>
      </c>
      <c r="P130" s="24" t="n">
        <f aca="false">SUM(P131:P140)</f>
        <v>0</v>
      </c>
      <c r="Q130" s="24" t="n">
        <f aca="false">SUM(Q131:Q140)</f>
        <v>595</v>
      </c>
      <c r="R130" s="25" t="n">
        <f aca="false">IF($Q$199&gt;0,Q130/$Q$199,0)</f>
        <v>0.109354897996692</v>
      </c>
    </row>
    <row r="131" customFormat="false" ht="23.85" hidden="false" customHeight="false" outlineLevel="0" collapsed="false">
      <c r="A131" s="26" t="str">
        <f aca="false">'Task Breakdown'!A593</f>
        <v>UC-4.01.01</v>
      </c>
      <c r="B131" s="27" t="str">
        <f aca="false">'Task Breakdown'!G593</f>
        <v>Gather requirements with sustainability team (energy, carbon, water, recycled content)</v>
      </c>
      <c r="C131" s="28"/>
      <c r="D131" s="28"/>
      <c r="E131" s="29" t="n">
        <f aca="false">'Task Breakdown'!I593</f>
        <v>0</v>
      </c>
      <c r="F131" s="29" t="n">
        <f aca="false">'Task Breakdown'!J593</f>
        <v>0</v>
      </c>
      <c r="G131" s="29" t="n">
        <f aca="false">'Task Breakdown'!K593</f>
        <v>0</v>
      </c>
      <c r="H131" s="29" t="n">
        <f aca="false">'Task Breakdown'!L593</f>
        <v>0</v>
      </c>
      <c r="I131" s="29" t="n">
        <f aca="false">'Task Breakdown'!M593</f>
        <v>0</v>
      </c>
      <c r="J131" s="29" t="n">
        <f aca="false">'Task Breakdown'!N593</f>
        <v>0</v>
      </c>
      <c r="K131" s="29" t="n">
        <f aca="false">'Task Breakdown'!O593</f>
        <v>0</v>
      </c>
      <c r="L131" s="29" t="n">
        <f aca="false">'Task Breakdown'!P593</f>
        <v>0</v>
      </c>
      <c r="M131" s="29" t="n">
        <f aca="false">'Task Breakdown'!Q593</f>
        <v>0</v>
      </c>
      <c r="N131" s="29" t="n">
        <f aca="false">'Task Breakdown'!R593</f>
        <v>49</v>
      </c>
      <c r="O131" s="29" t="n">
        <f aca="false">'Task Breakdown'!S593</f>
        <v>0</v>
      </c>
      <c r="P131" s="29" t="n">
        <f aca="false">'Task Breakdown'!T593</f>
        <v>0</v>
      </c>
      <c r="Q131" s="30" t="n">
        <f aca="false">SUM(E131:P131)</f>
        <v>49</v>
      </c>
      <c r="R131" s="31" t="n">
        <f aca="false">IF($Q$199&gt;0,Q131/$Q$199,0)</f>
        <v>0.0090056974820805</v>
      </c>
    </row>
    <row r="132" customFormat="false" ht="15" hidden="false" customHeight="false" outlineLevel="0" collapsed="false">
      <c r="A132" s="26" t="str">
        <f aca="false">'Task Breakdown'!A594</f>
        <v>UC-4.01.02</v>
      </c>
      <c r="B132" s="27" t="str">
        <f aca="false">'Task Breakdown'!G594</f>
        <v>Connect energy meters and utility data</v>
      </c>
      <c r="C132" s="28"/>
      <c r="D132" s="28"/>
      <c r="E132" s="29" t="n">
        <f aca="false">'Task Breakdown'!I594</f>
        <v>0</v>
      </c>
      <c r="F132" s="29" t="n">
        <f aca="false">'Task Breakdown'!J594</f>
        <v>0</v>
      </c>
      <c r="G132" s="29" t="n">
        <f aca="false">'Task Breakdown'!K594</f>
        <v>0</v>
      </c>
      <c r="H132" s="29" t="n">
        <f aca="false">'Task Breakdown'!L594</f>
        <v>0</v>
      </c>
      <c r="I132" s="29" t="n">
        <f aca="false">'Task Breakdown'!M594</f>
        <v>0</v>
      </c>
      <c r="J132" s="29" t="n">
        <f aca="false">'Task Breakdown'!N594</f>
        <v>0</v>
      </c>
      <c r="K132" s="29" t="n">
        <f aca="false">'Task Breakdown'!O594</f>
        <v>73</v>
      </c>
      <c r="L132" s="29" t="n">
        <f aca="false">'Task Breakdown'!P594</f>
        <v>0</v>
      </c>
      <c r="M132" s="29" t="n">
        <f aca="false">'Task Breakdown'!Q594</f>
        <v>0</v>
      </c>
      <c r="N132" s="29" t="n">
        <f aca="false">'Task Breakdown'!R594</f>
        <v>0</v>
      </c>
      <c r="O132" s="29" t="n">
        <f aca="false">'Task Breakdown'!S594</f>
        <v>0</v>
      </c>
      <c r="P132" s="29" t="n">
        <f aca="false">'Task Breakdown'!T594</f>
        <v>0</v>
      </c>
      <c r="Q132" s="30" t="n">
        <f aca="false">SUM(E132:P132)</f>
        <v>73</v>
      </c>
      <c r="R132" s="31" t="n">
        <f aca="false">IF($Q$199&gt;0,Q132/$Q$199,0)</f>
        <v>0.0134166513508546</v>
      </c>
    </row>
    <row r="133" customFormat="false" ht="15" hidden="false" customHeight="false" outlineLevel="0" collapsed="false">
      <c r="A133" s="26" t="str">
        <f aca="false">'Task Breakdown'!A595</f>
        <v>UC-4.01.03</v>
      </c>
      <c r="B133" s="27" t="str">
        <f aca="false">'Task Breakdown'!G595</f>
        <v>Build emission-factor and calculation tools</v>
      </c>
      <c r="C133" s="28"/>
      <c r="D133" s="28"/>
      <c r="E133" s="29" t="n">
        <f aca="false">'Task Breakdown'!I595</f>
        <v>0</v>
      </c>
      <c r="F133" s="29" t="n">
        <f aca="false">'Task Breakdown'!J595</f>
        <v>0</v>
      </c>
      <c r="G133" s="29" t="n">
        <f aca="false">'Task Breakdown'!K595</f>
        <v>0</v>
      </c>
      <c r="H133" s="29" t="n">
        <f aca="false">'Task Breakdown'!L595</f>
        <v>0</v>
      </c>
      <c r="I133" s="29" t="n">
        <f aca="false">'Task Breakdown'!M595</f>
        <v>0</v>
      </c>
      <c r="J133" s="29" t="n">
        <f aca="false">'Task Breakdown'!N595</f>
        <v>49</v>
      </c>
      <c r="K133" s="29" t="n">
        <f aca="false">'Task Breakdown'!O595</f>
        <v>24</v>
      </c>
      <c r="L133" s="29" t="n">
        <f aca="false">'Task Breakdown'!P595</f>
        <v>0</v>
      </c>
      <c r="M133" s="29" t="n">
        <f aca="false">'Task Breakdown'!Q595</f>
        <v>0</v>
      </c>
      <c r="N133" s="29" t="n">
        <f aca="false">'Task Breakdown'!R595</f>
        <v>0</v>
      </c>
      <c r="O133" s="29" t="n">
        <f aca="false">'Task Breakdown'!S595</f>
        <v>0</v>
      </c>
      <c r="P133" s="29" t="n">
        <f aca="false">'Task Breakdown'!T595</f>
        <v>0</v>
      </c>
      <c r="Q133" s="30" t="n">
        <f aca="false">SUM(E133:P133)</f>
        <v>73</v>
      </c>
      <c r="R133" s="31" t="n">
        <f aca="false">IF($Q$199&gt;0,Q133/$Q$199,0)</f>
        <v>0.0134166513508546</v>
      </c>
    </row>
    <row r="134" customFormat="false" ht="15" hidden="false" customHeight="false" outlineLevel="0" collapsed="false">
      <c r="A134" s="26" t="str">
        <f aca="false">'Task Breakdown'!A596</f>
        <v>UC-4.01.04</v>
      </c>
      <c r="B134" s="27" t="str">
        <f aca="false">'Task Breakdown'!G596</f>
        <v>Draft ESG and customer sustainability reports</v>
      </c>
      <c r="C134" s="28"/>
      <c r="D134" s="28"/>
      <c r="E134" s="29" t="n">
        <f aca="false">'Task Breakdown'!I596</f>
        <v>0</v>
      </c>
      <c r="F134" s="29" t="n">
        <f aca="false">'Task Breakdown'!J596</f>
        <v>0</v>
      </c>
      <c r="G134" s="29" t="n">
        <f aca="false">'Task Breakdown'!K596</f>
        <v>0</v>
      </c>
      <c r="H134" s="29" t="n">
        <f aca="false">'Task Breakdown'!L596</f>
        <v>0</v>
      </c>
      <c r="I134" s="29" t="n">
        <f aca="false">'Task Breakdown'!M596</f>
        <v>0</v>
      </c>
      <c r="J134" s="29" t="n">
        <f aca="false">'Task Breakdown'!N596</f>
        <v>73</v>
      </c>
      <c r="K134" s="29" t="n">
        <f aca="false">'Task Breakdown'!O596</f>
        <v>0</v>
      </c>
      <c r="L134" s="29" t="n">
        <f aca="false">'Task Breakdown'!P596</f>
        <v>0</v>
      </c>
      <c r="M134" s="29" t="n">
        <f aca="false">'Task Breakdown'!Q596</f>
        <v>0</v>
      </c>
      <c r="N134" s="29" t="n">
        <f aca="false">'Task Breakdown'!R596</f>
        <v>0</v>
      </c>
      <c r="O134" s="29" t="n">
        <f aca="false">'Task Breakdown'!S596</f>
        <v>0</v>
      </c>
      <c r="P134" s="29" t="n">
        <f aca="false">'Task Breakdown'!T596</f>
        <v>0</v>
      </c>
      <c r="Q134" s="30" t="n">
        <f aca="false">SUM(E134:P134)</f>
        <v>73</v>
      </c>
      <c r="R134" s="31" t="n">
        <f aca="false">IF($Q$199&gt;0,Q134/$Q$199,0)</f>
        <v>0.0134166513508546</v>
      </c>
    </row>
    <row r="135" customFormat="false" ht="15" hidden="false" customHeight="false" outlineLevel="0" collapsed="false">
      <c r="A135" s="26" t="str">
        <f aca="false">'Task Breakdown'!A597</f>
        <v>UC-4.01.05</v>
      </c>
      <c r="B135" s="27" t="str">
        <f aca="false">'Task Breakdown'!G597</f>
        <v>Detect energy-saving opportunities</v>
      </c>
      <c r="C135" s="28"/>
      <c r="D135" s="28"/>
      <c r="E135" s="29" t="n">
        <f aca="false">'Task Breakdown'!I597</f>
        <v>0</v>
      </c>
      <c r="F135" s="29" t="n">
        <f aca="false">'Task Breakdown'!J597</f>
        <v>0</v>
      </c>
      <c r="G135" s="29" t="n">
        <f aca="false">'Task Breakdown'!K597</f>
        <v>0</v>
      </c>
      <c r="H135" s="29" t="n">
        <f aca="false">'Task Breakdown'!L597</f>
        <v>0</v>
      </c>
      <c r="I135" s="29" t="n">
        <f aca="false">'Task Breakdown'!M597</f>
        <v>0</v>
      </c>
      <c r="J135" s="29" t="n">
        <f aca="false">'Task Breakdown'!N597</f>
        <v>49</v>
      </c>
      <c r="K135" s="29" t="n">
        <f aca="false">'Task Breakdown'!O597</f>
        <v>0</v>
      </c>
      <c r="L135" s="29" t="n">
        <f aca="false">'Task Breakdown'!P597</f>
        <v>0</v>
      </c>
      <c r="M135" s="29" t="n">
        <f aca="false">'Task Breakdown'!Q597</f>
        <v>0</v>
      </c>
      <c r="N135" s="29" t="n">
        <f aca="false">'Task Breakdown'!R597</f>
        <v>0</v>
      </c>
      <c r="O135" s="29" t="n">
        <f aca="false">'Task Breakdown'!S597</f>
        <v>0</v>
      </c>
      <c r="P135" s="29" t="n">
        <f aca="false">'Task Breakdown'!T597</f>
        <v>0</v>
      </c>
      <c r="Q135" s="30" t="n">
        <f aca="false">SUM(E135:P135)</f>
        <v>49</v>
      </c>
      <c r="R135" s="31" t="n">
        <f aca="false">IF($Q$199&gt;0,Q135/$Q$199,0)</f>
        <v>0.0090056974820805</v>
      </c>
    </row>
    <row r="136" customFormat="false" ht="15" hidden="false" customHeight="false" outlineLevel="0" collapsed="false">
      <c r="A136" s="26" t="str">
        <f aca="false">'Task Breakdown'!A598</f>
        <v>UC-4.01.06</v>
      </c>
      <c r="B136" s="27" t="str">
        <f aca="false">'Task Breakdown'!G598</f>
        <v>Validate numbers with sustainability team</v>
      </c>
      <c r="C136" s="28"/>
      <c r="D136" s="28"/>
      <c r="E136" s="29" t="n">
        <f aca="false">'Task Breakdown'!I598</f>
        <v>0</v>
      </c>
      <c r="F136" s="29" t="n">
        <f aca="false">'Task Breakdown'!J598</f>
        <v>0</v>
      </c>
      <c r="G136" s="29" t="n">
        <f aca="false">'Task Breakdown'!K598</f>
        <v>0</v>
      </c>
      <c r="H136" s="29" t="n">
        <f aca="false">'Task Breakdown'!L598</f>
        <v>0</v>
      </c>
      <c r="I136" s="29" t="n">
        <f aca="false">'Task Breakdown'!M598</f>
        <v>0</v>
      </c>
      <c r="J136" s="29" t="n">
        <f aca="false">'Task Breakdown'!N598</f>
        <v>24</v>
      </c>
      <c r="K136" s="29" t="n">
        <f aca="false">'Task Breakdown'!O598</f>
        <v>24</v>
      </c>
      <c r="L136" s="29" t="n">
        <f aca="false">'Task Breakdown'!P598</f>
        <v>0</v>
      </c>
      <c r="M136" s="29" t="n">
        <f aca="false">'Task Breakdown'!Q598</f>
        <v>0</v>
      </c>
      <c r="N136" s="29" t="n">
        <f aca="false">'Task Breakdown'!R598</f>
        <v>49</v>
      </c>
      <c r="O136" s="29" t="n">
        <f aca="false">'Task Breakdown'!S598</f>
        <v>73</v>
      </c>
      <c r="P136" s="29" t="n">
        <f aca="false">'Task Breakdown'!T598</f>
        <v>0</v>
      </c>
      <c r="Q136" s="30" t="n">
        <f aca="false">SUM(E136:P136)</f>
        <v>170</v>
      </c>
      <c r="R136" s="31" t="n">
        <f aca="false">IF($Q$199&gt;0,Q136/$Q$199,0)</f>
        <v>0.0312442565704834</v>
      </c>
    </row>
    <row r="137" customFormat="false" ht="15" hidden="false" customHeight="false" outlineLevel="0" collapsed="false">
      <c r="A137" s="26" t="str">
        <f aca="false">'Task Breakdown'!A599</f>
        <v>UC-4.01.07</v>
      </c>
      <c r="B137" s="27" t="str">
        <f aca="false">'Task Breakdown'!G599</f>
        <v>Detailed design and design review</v>
      </c>
      <c r="C137" s="28"/>
      <c r="D137" s="28"/>
      <c r="E137" s="29" t="n">
        <f aca="false">'Task Breakdown'!I599</f>
        <v>0</v>
      </c>
      <c r="F137" s="29" t="n">
        <f aca="false">'Task Breakdown'!J599</f>
        <v>0</v>
      </c>
      <c r="G137" s="29" t="n">
        <f aca="false">'Task Breakdown'!K599</f>
        <v>0</v>
      </c>
      <c r="H137" s="29" t="n">
        <f aca="false">'Task Breakdown'!L599</f>
        <v>0</v>
      </c>
      <c r="I137" s="29" t="n">
        <f aca="false">'Task Breakdown'!M599</f>
        <v>29</v>
      </c>
      <c r="J137" s="29" t="n">
        <f aca="false">'Task Breakdown'!N599</f>
        <v>0</v>
      </c>
      <c r="K137" s="29" t="n">
        <f aca="false">'Task Breakdown'!O599</f>
        <v>0</v>
      </c>
      <c r="L137" s="29" t="n">
        <f aca="false">'Task Breakdown'!P599</f>
        <v>0</v>
      </c>
      <c r="M137" s="29" t="n">
        <f aca="false">'Task Breakdown'!Q599</f>
        <v>0</v>
      </c>
      <c r="N137" s="29" t="n">
        <f aca="false">'Task Breakdown'!R599</f>
        <v>0</v>
      </c>
      <c r="O137" s="29" t="n">
        <f aca="false">'Task Breakdown'!S599</f>
        <v>0</v>
      </c>
      <c r="P137" s="29" t="n">
        <f aca="false">'Task Breakdown'!T599</f>
        <v>0</v>
      </c>
      <c r="Q137" s="30" t="n">
        <f aca="false">SUM(E137:P137)</f>
        <v>29</v>
      </c>
      <c r="R137" s="31" t="n">
        <f aca="false">IF($Q$199&gt;0,Q137/$Q$199,0)</f>
        <v>0.0053299025914354</v>
      </c>
    </row>
    <row r="138" customFormat="false" ht="15" hidden="false" customHeight="false" outlineLevel="0" collapsed="false">
      <c r="A138" s="26" t="str">
        <f aca="false">'Task Breakdown'!A600</f>
        <v>UC-4.01.08</v>
      </c>
      <c r="B138" s="27" t="str">
        <f aca="false">'Task Breakdown'!G600</f>
        <v>Promote through dev / test / prod and release</v>
      </c>
      <c r="C138" s="28"/>
      <c r="D138" s="28"/>
      <c r="E138" s="29" t="n">
        <f aca="false">'Task Breakdown'!I600</f>
        <v>0</v>
      </c>
      <c r="F138" s="29" t="n">
        <f aca="false">'Task Breakdown'!J600</f>
        <v>0</v>
      </c>
      <c r="G138" s="29" t="n">
        <f aca="false">'Task Breakdown'!K600</f>
        <v>20</v>
      </c>
      <c r="H138" s="29" t="n">
        <f aca="false">'Task Breakdown'!L600</f>
        <v>0</v>
      </c>
      <c r="I138" s="29" t="n">
        <f aca="false">'Task Breakdown'!M600</f>
        <v>0</v>
      </c>
      <c r="J138" s="29" t="n">
        <f aca="false">'Task Breakdown'!N600</f>
        <v>0</v>
      </c>
      <c r="K138" s="29" t="n">
        <f aca="false">'Task Breakdown'!O600</f>
        <v>0</v>
      </c>
      <c r="L138" s="29" t="n">
        <f aca="false">'Task Breakdown'!P600</f>
        <v>0</v>
      </c>
      <c r="M138" s="29" t="n">
        <f aca="false">'Task Breakdown'!Q600</f>
        <v>0</v>
      </c>
      <c r="N138" s="29" t="n">
        <f aca="false">'Task Breakdown'!R600</f>
        <v>0</v>
      </c>
      <c r="O138" s="29" t="n">
        <f aca="false">'Task Breakdown'!S600</f>
        <v>0</v>
      </c>
      <c r="P138" s="29" t="n">
        <f aca="false">'Task Breakdown'!T600</f>
        <v>0</v>
      </c>
      <c r="Q138" s="30" t="n">
        <f aca="false">SUM(E138:P138)</f>
        <v>20</v>
      </c>
      <c r="R138" s="31" t="n">
        <f aca="false">IF($Q$199&gt;0,Q138/$Q$199,0)</f>
        <v>0.0036757948906451</v>
      </c>
    </row>
    <row r="139" customFormat="false" ht="15" hidden="false" customHeight="false" outlineLevel="0" collapsed="false">
      <c r="A139" s="26" t="str">
        <f aca="false">'Task Breakdown'!A601</f>
        <v>UC-4.01.09</v>
      </c>
      <c r="B139" s="27" t="str">
        <f aca="false">'Task Breakdown'!G601</f>
        <v>Documentation, runbook and knowledge transfer</v>
      </c>
      <c r="C139" s="28"/>
      <c r="D139" s="28"/>
      <c r="E139" s="29" t="n">
        <f aca="false">'Task Breakdown'!I601</f>
        <v>0</v>
      </c>
      <c r="F139" s="29" t="n">
        <f aca="false">'Task Breakdown'!J601</f>
        <v>0</v>
      </c>
      <c r="G139" s="29" t="n">
        <f aca="false">'Task Breakdown'!K601</f>
        <v>0</v>
      </c>
      <c r="H139" s="29" t="n">
        <f aca="false">'Task Breakdown'!L601</f>
        <v>0</v>
      </c>
      <c r="I139" s="29" t="n">
        <f aca="false">'Task Breakdown'!M601</f>
        <v>0</v>
      </c>
      <c r="J139" s="29" t="n">
        <f aca="false">'Task Breakdown'!N601</f>
        <v>20</v>
      </c>
      <c r="K139" s="29" t="n">
        <f aca="false">'Task Breakdown'!O601</f>
        <v>0</v>
      </c>
      <c r="L139" s="29" t="n">
        <f aca="false">'Task Breakdown'!P601</f>
        <v>0</v>
      </c>
      <c r="M139" s="29" t="n">
        <f aca="false">'Task Breakdown'!Q601</f>
        <v>0</v>
      </c>
      <c r="N139" s="29" t="n">
        <f aca="false">'Task Breakdown'!R601</f>
        <v>0</v>
      </c>
      <c r="O139" s="29" t="n">
        <f aca="false">'Task Breakdown'!S601</f>
        <v>0</v>
      </c>
      <c r="P139" s="29" t="n">
        <f aca="false">'Task Breakdown'!T601</f>
        <v>0</v>
      </c>
      <c r="Q139" s="30" t="n">
        <f aca="false">SUM(E139:P139)</f>
        <v>20</v>
      </c>
      <c r="R139" s="31" t="n">
        <f aca="false">IF($Q$199&gt;0,Q139/$Q$199,0)</f>
        <v>0.0036757948906451</v>
      </c>
    </row>
    <row r="140" customFormat="false" ht="15" hidden="false" customHeight="false" outlineLevel="0" collapsed="false">
      <c r="A140" s="26" t="str">
        <f aca="false">'Task Breakdown'!A602</f>
        <v>UC-4.01.10</v>
      </c>
      <c r="B140" s="27" t="str">
        <f aca="false">'Task Breakdown'!G602</f>
        <v>Defect fixing and rework after testing</v>
      </c>
      <c r="C140" s="28"/>
      <c r="D140" s="28"/>
      <c r="E140" s="29" t="n">
        <f aca="false">'Task Breakdown'!I602</f>
        <v>0</v>
      </c>
      <c r="F140" s="29" t="n">
        <f aca="false">'Task Breakdown'!J602</f>
        <v>0</v>
      </c>
      <c r="G140" s="29" t="n">
        <f aca="false">'Task Breakdown'!K602</f>
        <v>0</v>
      </c>
      <c r="H140" s="29" t="n">
        <f aca="false">'Task Breakdown'!L602</f>
        <v>0</v>
      </c>
      <c r="I140" s="29" t="n">
        <f aca="false">'Task Breakdown'!M602</f>
        <v>0</v>
      </c>
      <c r="J140" s="29" t="n">
        <f aca="false">'Task Breakdown'!N602</f>
        <v>39</v>
      </c>
      <c r="K140" s="29" t="n">
        <f aca="false">'Task Breakdown'!O602</f>
        <v>0</v>
      </c>
      <c r="L140" s="29" t="n">
        <f aca="false">'Task Breakdown'!P602</f>
        <v>0</v>
      </c>
      <c r="M140" s="29" t="n">
        <f aca="false">'Task Breakdown'!Q602</f>
        <v>0</v>
      </c>
      <c r="N140" s="29" t="n">
        <f aca="false">'Task Breakdown'!R602</f>
        <v>0</v>
      </c>
      <c r="O140" s="29" t="n">
        <f aca="false">'Task Breakdown'!S602</f>
        <v>0</v>
      </c>
      <c r="P140" s="29" t="n">
        <f aca="false">'Task Breakdown'!T602</f>
        <v>0</v>
      </c>
      <c r="Q140" s="30" t="n">
        <f aca="false">SUM(E140:P140)</f>
        <v>39</v>
      </c>
      <c r="R140" s="31" t="n">
        <f aca="false">IF($Q$199&gt;0,Q140/$Q$199,0)</f>
        <v>0.00716780003675795</v>
      </c>
    </row>
    <row r="141" customFormat="false" ht="15" hidden="false" customHeight="false" outlineLevel="0" collapsed="false">
      <c r="A141" s="23" t="s">
        <v>345</v>
      </c>
      <c r="B141" s="23" t="s">
        <v>346</v>
      </c>
      <c r="C141" s="23" t="s">
        <v>42</v>
      </c>
      <c r="D141" s="23" t="s">
        <v>347</v>
      </c>
      <c r="E141" s="24" t="n">
        <f aca="false">SUM(E142:E150)</f>
        <v>0</v>
      </c>
      <c r="F141" s="24" t="n">
        <f aca="false">SUM(F142:F150)</f>
        <v>16</v>
      </c>
      <c r="G141" s="24" t="n">
        <f aca="false">SUM(G142:G150)</f>
        <v>52</v>
      </c>
      <c r="H141" s="24" t="n">
        <f aca="false">SUM(H142:H150)</f>
        <v>61</v>
      </c>
      <c r="I141" s="24" t="n">
        <f aca="false">SUM(I142:I150)</f>
        <v>0</v>
      </c>
      <c r="J141" s="24" t="n">
        <f aca="false">SUM(J142:J150)</f>
        <v>0</v>
      </c>
      <c r="K141" s="24" t="n">
        <f aca="false">SUM(K142:K150)</f>
        <v>0</v>
      </c>
      <c r="L141" s="24" t="n">
        <f aca="false">SUM(L142:L150)</f>
        <v>0</v>
      </c>
      <c r="M141" s="24" t="n">
        <f aca="false">SUM(M142:M150)</f>
        <v>153</v>
      </c>
      <c r="N141" s="24" t="n">
        <f aca="false">SUM(N142:N150)</f>
        <v>0</v>
      </c>
      <c r="O141" s="24" t="n">
        <f aca="false">SUM(O142:O150)</f>
        <v>41</v>
      </c>
      <c r="P141" s="24" t="n">
        <f aca="false">SUM(P142:P150)</f>
        <v>0</v>
      </c>
      <c r="Q141" s="24" t="n">
        <f aca="false">SUM(Q142:Q150)</f>
        <v>323</v>
      </c>
      <c r="R141" s="25" t="n">
        <f aca="false">IF($Q$199&gt;0,Q141/$Q$199,0)</f>
        <v>0.0593640874839184</v>
      </c>
    </row>
    <row r="142" customFormat="false" ht="15" hidden="false" customHeight="false" outlineLevel="0" collapsed="false">
      <c r="A142" s="26" t="str">
        <f aca="false">'Task Breakdown'!A603</f>
        <v>UC-4.02.01</v>
      </c>
      <c r="B142" s="27" t="str">
        <f aca="false">'Task Breakdown'!G603</f>
        <v>Define partner use cases and API contracts</v>
      </c>
      <c r="C142" s="28"/>
      <c r="D142" s="28"/>
      <c r="E142" s="29" t="n">
        <f aca="false">'Task Breakdown'!I603</f>
        <v>0</v>
      </c>
      <c r="F142" s="29" t="n">
        <f aca="false">'Task Breakdown'!J603</f>
        <v>0</v>
      </c>
      <c r="G142" s="29" t="n">
        <f aca="false">'Task Breakdown'!K603</f>
        <v>0</v>
      </c>
      <c r="H142" s="29" t="n">
        <f aca="false">'Task Breakdown'!L603</f>
        <v>10</v>
      </c>
      <c r="I142" s="29" t="n">
        <f aca="false">'Task Breakdown'!M603</f>
        <v>0</v>
      </c>
      <c r="J142" s="29" t="n">
        <f aca="false">'Task Breakdown'!N603</f>
        <v>0</v>
      </c>
      <c r="K142" s="29" t="n">
        <f aca="false">'Task Breakdown'!O603</f>
        <v>0</v>
      </c>
      <c r="L142" s="29" t="n">
        <f aca="false">'Task Breakdown'!P603</f>
        <v>0</v>
      </c>
      <c r="M142" s="29" t="n">
        <f aca="false">'Task Breakdown'!Q603</f>
        <v>20</v>
      </c>
      <c r="N142" s="29" t="n">
        <f aca="false">'Task Breakdown'!R603</f>
        <v>0</v>
      </c>
      <c r="O142" s="29" t="n">
        <f aca="false">'Task Breakdown'!S603</f>
        <v>0</v>
      </c>
      <c r="P142" s="29" t="n">
        <f aca="false">'Task Breakdown'!T603</f>
        <v>0</v>
      </c>
      <c r="Q142" s="30" t="n">
        <f aca="false">SUM(E142:P142)</f>
        <v>30</v>
      </c>
      <c r="R142" s="31" t="n">
        <f aca="false">IF($Q$199&gt;0,Q142/$Q$199,0)</f>
        <v>0.00551369233596765</v>
      </c>
    </row>
    <row r="143" customFormat="false" ht="15" hidden="false" customHeight="false" outlineLevel="0" collapsed="false">
      <c r="A143" s="26" t="str">
        <f aca="false">'Task Breakdown'!A604</f>
        <v>UC-4.02.02</v>
      </c>
      <c r="B143" s="27" t="str">
        <f aca="false">'Task Breakdown'!G604</f>
        <v>Build APIs and publish in the APIM developer portal</v>
      </c>
      <c r="C143" s="28"/>
      <c r="D143" s="28"/>
      <c r="E143" s="29" t="n">
        <f aca="false">'Task Breakdown'!I604</f>
        <v>0</v>
      </c>
      <c r="F143" s="29" t="n">
        <f aca="false">'Task Breakdown'!J604</f>
        <v>0</v>
      </c>
      <c r="G143" s="29" t="n">
        <f aca="false">'Task Breakdown'!K604</f>
        <v>0</v>
      </c>
      <c r="H143" s="29" t="n">
        <f aca="false">'Task Breakdown'!L604</f>
        <v>0</v>
      </c>
      <c r="I143" s="29" t="n">
        <f aca="false">'Task Breakdown'!M604</f>
        <v>0</v>
      </c>
      <c r="J143" s="29" t="n">
        <f aca="false">'Task Breakdown'!N604</f>
        <v>0</v>
      </c>
      <c r="K143" s="29" t="n">
        <f aca="false">'Task Breakdown'!O604</f>
        <v>0</v>
      </c>
      <c r="L143" s="29" t="n">
        <f aca="false">'Task Breakdown'!P604</f>
        <v>0</v>
      </c>
      <c r="M143" s="29" t="n">
        <f aca="false">'Task Breakdown'!Q604</f>
        <v>81</v>
      </c>
      <c r="N143" s="29" t="n">
        <f aca="false">'Task Breakdown'!R604</f>
        <v>0</v>
      </c>
      <c r="O143" s="29" t="n">
        <f aca="false">'Task Breakdown'!S604</f>
        <v>0</v>
      </c>
      <c r="P143" s="29" t="n">
        <f aca="false">'Task Breakdown'!T604</f>
        <v>0</v>
      </c>
      <c r="Q143" s="30" t="n">
        <f aca="false">SUM(E143:P143)</f>
        <v>81</v>
      </c>
      <c r="R143" s="31" t="n">
        <f aca="false">IF($Q$199&gt;0,Q143/$Q$199,0)</f>
        <v>0.0148869693071127</v>
      </c>
    </row>
    <row r="144" customFormat="false" ht="15" hidden="false" customHeight="false" outlineLevel="0" collapsed="false">
      <c r="A144" s="26" t="str">
        <f aca="false">'Task Breakdown'!A605</f>
        <v>UC-4.02.03</v>
      </c>
      <c r="B144" s="27" t="str">
        <f aca="false">'Task Breakdown'!G605</f>
        <v>Partner onboarding: OAuth clients, keys, quotas</v>
      </c>
      <c r="C144" s="28"/>
      <c r="D144" s="28"/>
      <c r="E144" s="29" t="n">
        <f aca="false">'Task Breakdown'!I605</f>
        <v>0</v>
      </c>
      <c r="F144" s="29" t="n">
        <f aca="false">'Task Breakdown'!J605</f>
        <v>0</v>
      </c>
      <c r="G144" s="29" t="n">
        <f aca="false">'Task Breakdown'!K605</f>
        <v>26</v>
      </c>
      <c r="H144" s="29" t="n">
        <f aca="false">'Task Breakdown'!L605</f>
        <v>20</v>
      </c>
      <c r="I144" s="29" t="n">
        <f aca="false">'Task Breakdown'!M605</f>
        <v>0</v>
      </c>
      <c r="J144" s="29" t="n">
        <f aca="false">'Task Breakdown'!N605</f>
        <v>0</v>
      </c>
      <c r="K144" s="29" t="n">
        <f aca="false">'Task Breakdown'!O605</f>
        <v>0</v>
      </c>
      <c r="L144" s="29" t="n">
        <f aca="false">'Task Breakdown'!P605</f>
        <v>0</v>
      </c>
      <c r="M144" s="29" t="n">
        <f aca="false">'Task Breakdown'!Q605</f>
        <v>0</v>
      </c>
      <c r="N144" s="29" t="n">
        <f aca="false">'Task Breakdown'!R605</f>
        <v>0</v>
      </c>
      <c r="O144" s="29" t="n">
        <f aca="false">'Task Breakdown'!S605</f>
        <v>0</v>
      </c>
      <c r="P144" s="29" t="n">
        <f aca="false">'Task Breakdown'!T605</f>
        <v>0</v>
      </c>
      <c r="Q144" s="30" t="n">
        <f aca="false">SUM(E144:P144)</f>
        <v>46</v>
      </c>
      <c r="R144" s="31" t="n">
        <f aca="false">IF($Q$199&gt;0,Q144/$Q$199,0)</f>
        <v>0.00845432824848373</v>
      </c>
    </row>
    <row r="145" customFormat="false" ht="15" hidden="false" customHeight="false" outlineLevel="0" collapsed="false">
      <c r="A145" s="26" t="str">
        <f aca="false">'Task Breakdown'!A606</f>
        <v>UC-4.02.04</v>
      </c>
      <c r="B145" s="27" t="str">
        <f aca="false">'Task Breakdown'!G606</f>
        <v>Security testing and penetration test</v>
      </c>
      <c r="C145" s="28"/>
      <c r="D145" s="28"/>
      <c r="E145" s="29" t="n">
        <f aca="false">'Task Breakdown'!I606</f>
        <v>0</v>
      </c>
      <c r="F145" s="29" t="n">
        <f aca="false">'Task Breakdown'!J606</f>
        <v>0</v>
      </c>
      <c r="G145" s="29" t="n">
        <f aca="false">'Task Breakdown'!K606</f>
        <v>0</v>
      </c>
      <c r="H145" s="29" t="n">
        <f aca="false">'Task Breakdown'!L606</f>
        <v>31</v>
      </c>
      <c r="I145" s="29" t="n">
        <f aca="false">'Task Breakdown'!M606</f>
        <v>0</v>
      </c>
      <c r="J145" s="29" t="n">
        <f aca="false">'Task Breakdown'!N606</f>
        <v>0</v>
      </c>
      <c r="K145" s="29" t="n">
        <f aca="false">'Task Breakdown'!O606</f>
        <v>0</v>
      </c>
      <c r="L145" s="29" t="n">
        <f aca="false">'Task Breakdown'!P606</f>
        <v>0</v>
      </c>
      <c r="M145" s="29" t="n">
        <f aca="false">'Task Breakdown'!Q606</f>
        <v>0</v>
      </c>
      <c r="N145" s="29" t="n">
        <f aca="false">'Task Breakdown'!R606</f>
        <v>0</v>
      </c>
      <c r="O145" s="29" t="n">
        <f aca="false">'Task Breakdown'!S606</f>
        <v>0</v>
      </c>
      <c r="P145" s="29" t="n">
        <f aca="false">'Task Breakdown'!T606</f>
        <v>0</v>
      </c>
      <c r="Q145" s="30" t="n">
        <f aca="false">SUM(E145:P145)</f>
        <v>31</v>
      </c>
      <c r="R145" s="31" t="n">
        <f aca="false">IF($Q$199&gt;0,Q145/$Q$199,0)</f>
        <v>0.00569748208049991</v>
      </c>
    </row>
    <row r="146" customFormat="false" ht="15" hidden="false" customHeight="false" outlineLevel="0" collapsed="false">
      <c r="A146" s="26" t="str">
        <f aca="false">'Task Breakdown'!A607</f>
        <v>UC-4.02.05</v>
      </c>
      <c r="B146" s="27" t="str">
        <f aca="false">'Task Breakdown'!G607</f>
        <v>Integration testing with a first partner</v>
      </c>
      <c r="C146" s="28"/>
      <c r="D146" s="28"/>
      <c r="E146" s="29" t="n">
        <f aca="false">'Task Breakdown'!I607</f>
        <v>0</v>
      </c>
      <c r="F146" s="29" t="n">
        <f aca="false">'Task Breakdown'!J607</f>
        <v>0</v>
      </c>
      <c r="G146" s="29" t="n">
        <f aca="false">'Task Breakdown'!K607</f>
        <v>15</v>
      </c>
      <c r="H146" s="29" t="n">
        <f aca="false">'Task Breakdown'!L607</f>
        <v>0</v>
      </c>
      <c r="I146" s="29" t="n">
        <f aca="false">'Task Breakdown'!M607</f>
        <v>0</v>
      </c>
      <c r="J146" s="29" t="n">
        <f aca="false">'Task Breakdown'!N607</f>
        <v>0</v>
      </c>
      <c r="K146" s="29" t="n">
        <f aca="false">'Task Breakdown'!O607</f>
        <v>0</v>
      </c>
      <c r="L146" s="29" t="n">
        <f aca="false">'Task Breakdown'!P607</f>
        <v>0</v>
      </c>
      <c r="M146" s="29" t="n">
        <f aca="false">'Task Breakdown'!Q607</f>
        <v>20</v>
      </c>
      <c r="N146" s="29" t="n">
        <f aca="false">'Task Breakdown'!R607</f>
        <v>0</v>
      </c>
      <c r="O146" s="29" t="n">
        <f aca="false">'Task Breakdown'!S607</f>
        <v>41</v>
      </c>
      <c r="P146" s="29" t="n">
        <f aca="false">'Task Breakdown'!T607</f>
        <v>0</v>
      </c>
      <c r="Q146" s="30" t="n">
        <f aca="false">SUM(E146:P146)</f>
        <v>76</v>
      </c>
      <c r="R146" s="31" t="n">
        <f aca="false">IF($Q$199&gt;0,Q146/$Q$199,0)</f>
        <v>0.0139680205844514</v>
      </c>
    </row>
    <row r="147" customFormat="false" ht="15" hidden="false" customHeight="false" outlineLevel="0" collapsed="false">
      <c r="A147" s="26" t="str">
        <f aca="false">'Task Breakdown'!A608</f>
        <v>UC-4.02.06</v>
      </c>
      <c r="B147" s="27" t="str">
        <f aca="false">'Task Breakdown'!G608</f>
        <v>Detailed design and design review</v>
      </c>
      <c r="C147" s="28"/>
      <c r="D147" s="28"/>
      <c r="E147" s="29" t="n">
        <f aca="false">'Task Breakdown'!I608</f>
        <v>0</v>
      </c>
      <c r="F147" s="29" t="n">
        <f aca="false">'Task Breakdown'!J608</f>
        <v>16</v>
      </c>
      <c r="G147" s="29" t="n">
        <f aca="false">'Task Breakdown'!K608</f>
        <v>0</v>
      </c>
      <c r="H147" s="29" t="n">
        <f aca="false">'Task Breakdown'!L608</f>
        <v>0</v>
      </c>
      <c r="I147" s="29" t="n">
        <f aca="false">'Task Breakdown'!M608</f>
        <v>0</v>
      </c>
      <c r="J147" s="29" t="n">
        <f aca="false">'Task Breakdown'!N608</f>
        <v>0</v>
      </c>
      <c r="K147" s="29" t="n">
        <f aca="false">'Task Breakdown'!O608</f>
        <v>0</v>
      </c>
      <c r="L147" s="29" t="n">
        <f aca="false">'Task Breakdown'!P608</f>
        <v>0</v>
      </c>
      <c r="M147" s="29" t="n">
        <f aca="false">'Task Breakdown'!Q608</f>
        <v>0</v>
      </c>
      <c r="N147" s="29" t="n">
        <f aca="false">'Task Breakdown'!R608</f>
        <v>0</v>
      </c>
      <c r="O147" s="29" t="n">
        <f aca="false">'Task Breakdown'!S608</f>
        <v>0</v>
      </c>
      <c r="P147" s="29" t="n">
        <f aca="false">'Task Breakdown'!T608</f>
        <v>0</v>
      </c>
      <c r="Q147" s="30" t="n">
        <f aca="false">SUM(E147:P147)</f>
        <v>16</v>
      </c>
      <c r="R147" s="31" t="n">
        <f aca="false">IF($Q$199&gt;0,Q147/$Q$199,0)</f>
        <v>0.00294063591251608</v>
      </c>
    </row>
    <row r="148" customFormat="false" ht="15" hidden="false" customHeight="false" outlineLevel="0" collapsed="false">
      <c r="A148" s="26" t="str">
        <f aca="false">'Task Breakdown'!A609</f>
        <v>UC-4.02.07</v>
      </c>
      <c r="B148" s="27" t="str">
        <f aca="false">'Task Breakdown'!G609</f>
        <v>Promote through dev / test / prod and release</v>
      </c>
      <c r="C148" s="28"/>
      <c r="D148" s="28"/>
      <c r="E148" s="29" t="n">
        <f aca="false">'Task Breakdown'!I609</f>
        <v>0</v>
      </c>
      <c r="F148" s="29" t="n">
        <f aca="false">'Task Breakdown'!J609</f>
        <v>0</v>
      </c>
      <c r="G148" s="29" t="n">
        <f aca="false">'Task Breakdown'!K609</f>
        <v>11</v>
      </c>
      <c r="H148" s="29" t="n">
        <f aca="false">'Task Breakdown'!L609</f>
        <v>0</v>
      </c>
      <c r="I148" s="29" t="n">
        <f aca="false">'Task Breakdown'!M609</f>
        <v>0</v>
      </c>
      <c r="J148" s="29" t="n">
        <f aca="false">'Task Breakdown'!N609</f>
        <v>0</v>
      </c>
      <c r="K148" s="29" t="n">
        <f aca="false">'Task Breakdown'!O609</f>
        <v>0</v>
      </c>
      <c r="L148" s="29" t="n">
        <f aca="false">'Task Breakdown'!P609</f>
        <v>0</v>
      </c>
      <c r="M148" s="29" t="n">
        <f aca="false">'Task Breakdown'!Q609</f>
        <v>0</v>
      </c>
      <c r="N148" s="29" t="n">
        <f aca="false">'Task Breakdown'!R609</f>
        <v>0</v>
      </c>
      <c r="O148" s="29" t="n">
        <f aca="false">'Task Breakdown'!S609</f>
        <v>0</v>
      </c>
      <c r="P148" s="29" t="n">
        <f aca="false">'Task Breakdown'!T609</f>
        <v>0</v>
      </c>
      <c r="Q148" s="30" t="n">
        <f aca="false">SUM(E148:P148)</f>
        <v>11</v>
      </c>
      <c r="R148" s="31" t="n">
        <f aca="false">IF($Q$199&gt;0,Q148/$Q$199,0)</f>
        <v>0.00202168718985481</v>
      </c>
    </row>
    <row r="149" customFormat="false" ht="15" hidden="false" customHeight="false" outlineLevel="0" collapsed="false">
      <c r="A149" s="26" t="str">
        <f aca="false">'Task Breakdown'!A610</f>
        <v>UC-4.02.08</v>
      </c>
      <c r="B149" s="27" t="str">
        <f aca="false">'Task Breakdown'!G610</f>
        <v>Documentation, runbook and knowledge transfer</v>
      </c>
      <c r="C149" s="28"/>
      <c r="D149" s="28"/>
      <c r="E149" s="29" t="n">
        <f aca="false">'Task Breakdown'!I610</f>
        <v>0</v>
      </c>
      <c r="F149" s="29" t="n">
        <f aca="false">'Task Breakdown'!J610</f>
        <v>0</v>
      </c>
      <c r="G149" s="29" t="n">
        <f aca="false">'Task Breakdown'!K610</f>
        <v>0</v>
      </c>
      <c r="H149" s="29" t="n">
        <f aca="false">'Task Breakdown'!L610</f>
        <v>0</v>
      </c>
      <c r="I149" s="29" t="n">
        <f aca="false">'Task Breakdown'!M610</f>
        <v>0</v>
      </c>
      <c r="J149" s="29" t="n">
        <f aca="false">'Task Breakdown'!N610</f>
        <v>0</v>
      </c>
      <c r="K149" s="29" t="n">
        <f aca="false">'Task Breakdown'!O610</f>
        <v>0</v>
      </c>
      <c r="L149" s="29" t="n">
        <f aca="false">'Task Breakdown'!P610</f>
        <v>0</v>
      </c>
      <c r="M149" s="29" t="n">
        <f aca="false">'Task Breakdown'!Q610</f>
        <v>11</v>
      </c>
      <c r="N149" s="29" t="n">
        <f aca="false">'Task Breakdown'!R610</f>
        <v>0</v>
      </c>
      <c r="O149" s="29" t="n">
        <f aca="false">'Task Breakdown'!S610</f>
        <v>0</v>
      </c>
      <c r="P149" s="29" t="n">
        <f aca="false">'Task Breakdown'!T610</f>
        <v>0</v>
      </c>
      <c r="Q149" s="30" t="n">
        <f aca="false">SUM(E149:P149)</f>
        <v>11</v>
      </c>
      <c r="R149" s="31" t="n">
        <f aca="false">IF($Q$199&gt;0,Q149/$Q$199,0)</f>
        <v>0.00202168718985481</v>
      </c>
    </row>
    <row r="150" customFormat="false" ht="15" hidden="false" customHeight="false" outlineLevel="0" collapsed="false">
      <c r="A150" s="26" t="str">
        <f aca="false">'Task Breakdown'!A611</f>
        <v>UC-4.02.09</v>
      </c>
      <c r="B150" s="27" t="str">
        <f aca="false">'Task Breakdown'!G611</f>
        <v>Defect fixing and rework after testing</v>
      </c>
      <c r="C150" s="28"/>
      <c r="D150" s="28"/>
      <c r="E150" s="29" t="n">
        <f aca="false">'Task Breakdown'!I611</f>
        <v>0</v>
      </c>
      <c r="F150" s="29" t="n">
        <f aca="false">'Task Breakdown'!J611</f>
        <v>0</v>
      </c>
      <c r="G150" s="29" t="n">
        <f aca="false">'Task Breakdown'!K611</f>
        <v>0</v>
      </c>
      <c r="H150" s="29" t="n">
        <f aca="false">'Task Breakdown'!L611</f>
        <v>0</v>
      </c>
      <c r="I150" s="29" t="n">
        <f aca="false">'Task Breakdown'!M611</f>
        <v>0</v>
      </c>
      <c r="J150" s="29" t="n">
        <f aca="false">'Task Breakdown'!N611</f>
        <v>0</v>
      </c>
      <c r="K150" s="29" t="n">
        <f aca="false">'Task Breakdown'!O611</f>
        <v>0</v>
      </c>
      <c r="L150" s="29" t="n">
        <f aca="false">'Task Breakdown'!P611</f>
        <v>0</v>
      </c>
      <c r="M150" s="29" t="n">
        <f aca="false">'Task Breakdown'!Q611</f>
        <v>21</v>
      </c>
      <c r="N150" s="29" t="n">
        <f aca="false">'Task Breakdown'!R611</f>
        <v>0</v>
      </c>
      <c r="O150" s="29" t="n">
        <f aca="false">'Task Breakdown'!S611</f>
        <v>0</v>
      </c>
      <c r="P150" s="29" t="n">
        <f aca="false">'Task Breakdown'!T611</f>
        <v>0</v>
      </c>
      <c r="Q150" s="30" t="n">
        <f aca="false">SUM(E150:P150)</f>
        <v>21</v>
      </c>
      <c r="R150" s="31" t="n">
        <f aca="false">IF($Q$199&gt;0,Q150/$Q$199,0)</f>
        <v>0.00385958463517736</v>
      </c>
    </row>
    <row r="151" customFormat="false" ht="15" hidden="false" customHeight="false" outlineLevel="0" collapsed="false">
      <c r="A151" s="23" t="s">
        <v>348</v>
      </c>
      <c r="B151" s="23" t="s">
        <v>349</v>
      </c>
      <c r="C151" s="23" t="s">
        <v>45</v>
      </c>
      <c r="D151" s="23" t="s">
        <v>350</v>
      </c>
      <c r="E151" s="24" t="n">
        <f aca="false">SUM(E152:E161)</f>
        <v>0</v>
      </c>
      <c r="F151" s="24" t="n">
        <f aca="false">SUM(F152:F161)</f>
        <v>0</v>
      </c>
      <c r="G151" s="24" t="n">
        <f aca="false">SUM(G152:G161)</f>
        <v>19</v>
      </c>
      <c r="H151" s="24" t="n">
        <f aca="false">SUM(H152:H161)</f>
        <v>58</v>
      </c>
      <c r="I151" s="24" t="n">
        <f aca="false">SUM(I152:I161)</f>
        <v>29</v>
      </c>
      <c r="J151" s="24" t="n">
        <f aca="false">SUM(J152:J161)</f>
        <v>201</v>
      </c>
      <c r="K151" s="24" t="n">
        <f aca="false">SUM(K152:K161)</f>
        <v>0</v>
      </c>
      <c r="L151" s="24" t="n">
        <f aca="false">SUM(L152:L161)</f>
        <v>0</v>
      </c>
      <c r="M151" s="24" t="n">
        <f aca="false">SUM(M152:M161)</f>
        <v>115</v>
      </c>
      <c r="N151" s="24" t="n">
        <f aca="false">SUM(N152:N161)</f>
        <v>57</v>
      </c>
      <c r="O151" s="24" t="n">
        <f aca="false">SUM(O152:O161)</f>
        <v>114</v>
      </c>
      <c r="P151" s="24" t="n">
        <f aca="false">SUM(P152:P161)</f>
        <v>0</v>
      </c>
      <c r="Q151" s="24" t="n">
        <f aca="false">SUM(Q152:Q161)</f>
        <v>593</v>
      </c>
      <c r="R151" s="25" t="n">
        <f aca="false">IF($Q$199&gt;0,Q151/$Q$199,0)</f>
        <v>0.108987318507627</v>
      </c>
    </row>
    <row r="152" customFormat="false" ht="15" hidden="false" customHeight="false" outlineLevel="0" collapsed="false">
      <c r="A152" s="26" t="str">
        <f aca="false">'Task Breakdown'!A612</f>
        <v>UC-4.03.01</v>
      </c>
      <c r="B152" s="27" t="str">
        <f aca="false">'Task Breakdown'!G612</f>
        <v>Select write actions (create notification, work order, PO change)</v>
      </c>
      <c r="C152" s="28"/>
      <c r="D152" s="28"/>
      <c r="E152" s="29" t="n">
        <f aca="false">'Task Breakdown'!I612</f>
        <v>0</v>
      </c>
      <c r="F152" s="29" t="n">
        <f aca="false">'Task Breakdown'!J612</f>
        <v>0</v>
      </c>
      <c r="G152" s="29" t="n">
        <f aca="false">'Task Breakdown'!K612</f>
        <v>0</v>
      </c>
      <c r="H152" s="29" t="n">
        <f aca="false">'Task Breakdown'!L612</f>
        <v>0</v>
      </c>
      <c r="I152" s="29" t="n">
        <f aca="false">'Task Breakdown'!M612</f>
        <v>0</v>
      </c>
      <c r="J152" s="29" t="n">
        <f aca="false">'Task Breakdown'!N612</f>
        <v>0</v>
      </c>
      <c r="K152" s="29" t="n">
        <f aca="false">'Task Breakdown'!O612</f>
        <v>0</v>
      </c>
      <c r="L152" s="29" t="n">
        <f aca="false">'Task Breakdown'!P612</f>
        <v>0</v>
      </c>
      <c r="M152" s="29" t="n">
        <f aca="false">'Task Breakdown'!Q612</f>
        <v>0</v>
      </c>
      <c r="N152" s="29" t="n">
        <f aca="false">'Task Breakdown'!R612</f>
        <v>43</v>
      </c>
      <c r="O152" s="29" t="n">
        <f aca="false">'Task Breakdown'!S612</f>
        <v>0</v>
      </c>
      <c r="P152" s="29" t="n">
        <f aca="false">'Task Breakdown'!T612</f>
        <v>0</v>
      </c>
      <c r="Q152" s="30" t="n">
        <f aca="false">SUM(E152:P152)</f>
        <v>43</v>
      </c>
      <c r="R152" s="31" t="n">
        <f aca="false">IF($Q$199&gt;0,Q152/$Q$199,0)</f>
        <v>0.00790295901488697</v>
      </c>
    </row>
    <row r="153" customFormat="false" ht="15" hidden="false" customHeight="false" outlineLevel="0" collapsed="false">
      <c r="A153" s="26" t="str">
        <f aca="false">'Task Breakdown'!A613</f>
        <v>UC-4.03.02</v>
      </c>
      <c r="B153" s="27" t="str">
        <f aca="false">'Task Breakdown'!G613</f>
        <v>Build write tools via SAP APIs / BAPIs</v>
      </c>
      <c r="C153" s="28"/>
      <c r="D153" s="28"/>
      <c r="E153" s="29" t="n">
        <f aca="false">'Task Breakdown'!I613</f>
        <v>0</v>
      </c>
      <c r="F153" s="29" t="n">
        <f aca="false">'Task Breakdown'!J613</f>
        <v>0</v>
      </c>
      <c r="G153" s="29" t="n">
        <f aca="false">'Task Breakdown'!K613</f>
        <v>0</v>
      </c>
      <c r="H153" s="29" t="n">
        <f aca="false">'Task Breakdown'!L613</f>
        <v>0</v>
      </c>
      <c r="I153" s="29" t="n">
        <f aca="false">'Task Breakdown'!M613</f>
        <v>0</v>
      </c>
      <c r="J153" s="29" t="n">
        <f aca="false">'Task Breakdown'!N613</f>
        <v>29</v>
      </c>
      <c r="K153" s="29" t="n">
        <f aca="false">'Task Breakdown'!O613</f>
        <v>0</v>
      </c>
      <c r="L153" s="29" t="n">
        <f aca="false">'Task Breakdown'!P613</f>
        <v>0</v>
      </c>
      <c r="M153" s="29" t="n">
        <f aca="false">'Task Breakdown'!Q613</f>
        <v>86</v>
      </c>
      <c r="N153" s="29" t="n">
        <f aca="false">'Task Breakdown'!R613</f>
        <v>0</v>
      </c>
      <c r="O153" s="29" t="n">
        <f aca="false">'Task Breakdown'!S613</f>
        <v>0</v>
      </c>
      <c r="P153" s="29" t="n">
        <f aca="false">'Task Breakdown'!T613</f>
        <v>0</v>
      </c>
      <c r="Q153" s="30" t="n">
        <f aca="false">SUM(E153:P153)</f>
        <v>115</v>
      </c>
      <c r="R153" s="31" t="n">
        <f aca="false">IF($Q$199&gt;0,Q153/$Q$199,0)</f>
        <v>0.0211358206212093</v>
      </c>
    </row>
    <row r="154" customFormat="false" ht="15" hidden="false" customHeight="false" outlineLevel="0" collapsed="false">
      <c r="A154" s="26" t="str">
        <f aca="false">'Task Breakdown'!A614</f>
        <v>UC-4.03.03</v>
      </c>
      <c r="B154" s="27" t="str">
        <f aca="false">'Task Breakdown'!G614</f>
        <v>Enforce approvals and dual control</v>
      </c>
      <c r="C154" s="28"/>
      <c r="D154" s="28"/>
      <c r="E154" s="29" t="n">
        <f aca="false">'Task Breakdown'!I614</f>
        <v>0</v>
      </c>
      <c r="F154" s="29" t="n">
        <f aca="false">'Task Breakdown'!J614</f>
        <v>0</v>
      </c>
      <c r="G154" s="29" t="n">
        <f aca="false">'Task Breakdown'!K614</f>
        <v>0</v>
      </c>
      <c r="H154" s="29" t="n">
        <f aca="false">'Task Breakdown'!L614</f>
        <v>29</v>
      </c>
      <c r="I154" s="29" t="n">
        <f aca="false">'Task Breakdown'!M614</f>
        <v>0</v>
      </c>
      <c r="J154" s="29" t="n">
        <f aca="false">'Task Breakdown'!N614</f>
        <v>57</v>
      </c>
      <c r="K154" s="29" t="n">
        <f aca="false">'Task Breakdown'!O614</f>
        <v>0</v>
      </c>
      <c r="L154" s="29" t="n">
        <f aca="false">'Task Breakdown'!P614</f>
        <v>0</v>
      </c>
      <c r="M154" s="29" t="n">
        <f aca="false">'Task Breakdown'!Q614</f>
        <v>0</v>
      </c>
      <c r="N154" s="29" t="n">
        <f aca="false">'Task Breakdown'!R614</f>
        <v>0</v>
      </c>
      <c r="O154" s="29" t="n">
        <f aca="false">'Task Breakdown'!S614</f>
        <v>0</v>
      </c>
      <c r="P154" s="29" t="n">
        <f aca="false">'Task Breakdown'!T614</f>
        <v>0</v>
      </c>
      <c r="Q154" s="30" t="n">
        <f aca="false">SUM(E154:P154)</f>
        <v>86</v>
      </c>
      <c r="R154" s="31" t="n">
        <f aca="false">IF($Q$199&gt;0,Q154/$Q$199,0)</f>
        <v>0.0158059180297739</v>
      </c>
    </row>
    <row r="155" customFormat="false" ht="15" hidden="false" customHeight="false" outlineLevel="0" collapsed="false">
      <c r="A155" s="26" t="str">
        <f aca="false">'Task Breakdown'!A615</f>
        <v>UC-4.03.04</v>
      </c>
      <c r="B155" s="27" t="str">
        <f aca="false">'Task Breakdown'!G615</f>
        <v>Idempotency, rollback and audit logging</v>
      </c>
      <c r="C155" s="28"/>
      <c r="D155" s="28"/>
      <c r="E155" s="29" t="n">
        <f aca="false">'Task Breakdown'!I615</f>
        <v>0</v>
      </c>
      <c r="F155" s="29" t="n">
        <f aca="false">'Task Breakdown'!J615</f>
        <v>0</v>
      </c>
      <c r="G155" s="29" t="n">
        <f aca="false">'Task Breakdown'!K615</f>
        <v>0</v>
      </c>
      <c r="H155" s="29" t="n">
        <f aca="false">'Task Breakdown'!L615</f>
        <v>0</v>
      </c>
      <c r="I155" s="29" t="n">
        <f aca="false">'Task Breakdown'!M615</f>
        <v>0</v>
      </c>
      <c r="J155" s="29" t="n">
        <f aca="false">'Task Breakdown'!N615</f>
        <v>57</v>
      </c>
      <c r="K155" s="29" t="n">
        <f aca="false">'Task Breakdown'!O615</f>
        <v>0</v>
      </c>
      <c r="L155" s="29" t="n">
        <f aca="false">'Task Breakdown'!P615</f>
        <v>0</v>
      </c>
      <c r="M155" s="29" t="n">
        <f aca="false">'Task Breakdown'!Q615</f>
        <v>29</v>
      </c>
      <c r="N155" s="29" t="n">
        <f aca="false">'Task Breakdown'!R615</f>
        <v>0</v>
      </c>
      <c r="O155" s="29" t="n">
        <f aca="false">'Task Breakdown'!S615</f>
        <v>0</v>
      </c>
      <c r="P155" s="29" t="n">
        <f aca="false">'Task Breakdown'!T615</f>
        <v>0</v>
      </c>
      <c r="Q155" s="30" t="n">
        <f aca="false">SUM(E155:P155)</f>
        <v>86</v>
      </c>
      <c r="R155" s="31" t="n">
        <f aca="false">IF($Q$199&gt;0,Q155/$Q$199,0)</f>
        <v>0.0158059180297739</v>
      </c>
    </row>
    <row r="156" customFormat="false" ht="15" hidden="false" customHeight="false" outlineLevel="0" collapsed="false">
      <c r="A156" s="26" t="str">
        <f aca="false">'Task Breakdown'!A616</f>
        <v>UC-4.03.05</v>
      </c>
      <c r="B156" s="27" t="str">
        <f aca="false">'Task Breakdown'!G616</f>
        <v>Security review</v>
      </c>
      <c r="C156" s="28"/>
      <c r="D156" s="28"/>
      <c r="E156" s="29" t="n">
        <f aca="false">'Task Breakdown'!I616</f>
        <v>0</v>
      </c>
      <c r="F156" s="29" t="n">
        <f aca="false">'Task Breakdown'!J616</f>
        <v>0</v>
      </c>
      <c r="G156" s="29" t="n">
        <f aca="false">'Task Breakdown'!K616</f>
        <v>0</v>
      </c>
      <c r="H156" s="29" t="n">
        <f aca="false">'Task Breakdown'!L616</f>
        <v>29</v>
      </c>
      <c r="I156" s="29" t="n">
        <f aca="false">'Task Breakdown'!M616</f>
        <v>0</v>
      </c>
      <c r="J156" s="29" t="n">
        <f aca="false">'Task Breakdown'!N616</f>
        <v>0</v>
      </c>
      <c r="K156" s="29" t="n">
        <f aca="false">'Task Breakdown'!O616</f>
        <v>0</v>
      </c>
      <c r="L156" s="29" t="n">
        <f aca="false">'Task Breakdown'!P616</f>
        <v>0</v>
      </c>
      <c r="M156" s="29" t="n">
        <f aca="false">'Task Breakdown'!Q616</f>
        <v>0</v>
      </c>
      <c r="N156" s="29" t="n">
        <f aca="false">'Task Breakdown'!R616</f>
        <v>0</v>
      </c>
      <c r="O156" s="29" t="n">
        <f aca="false">'Task Breakdown'!S616</f>
        <v>0</v>
      </c>
      <c r="P156" s="29" t="n">
        <f aca="false">'Task Breakdown'!T616</f>
        <v>0</v>
      </c>
      <c r="Q156" s="30" t="n">
        <f aca="false">SUM(E156:P156)</f>
        <v>29</v>
      </c>
      <c r="R156" s="31" t="n">
        <f aca="false">IF($Q$199&gt;0,Q156/$Q$199,0)</f>
        <v>0.0053299025914354</v>
      </c>
    </row>
    <row r="157" customFormat="false" ht="15" hidden="false" customHeight="false" outlineLevel="0" collapsed="false">
      <c r="A157" s="26" t="str">
        <f aca="false">'Task Breakdown'!A617</f>
        <v>UC-4.03.06</v>
      </c>
      <c r="B157" s="27" t="str">
        <f aca="false">'Task Breakdown'!G617</f>
        <v>Testing in SAP QA system</v>
      </c>
      <c r="C157" s="28"/>
      <c r="D157" s="28"/>
      <c r="E157" s="29" t="n">
        <f aca="false">'Task Breakdown'!I617</f>
        <v>0</v>
      </c>
      <c r="F157" s="29" t="n">
        <f aca="false">'Task Breakdown'!J617</f>
        <v>0</v>
      </c>
      <c r="G157" s="29" t="n">
        <f aca="false">'Task Breakdown'!K617</f>
        <v>0</v>
      </c>
      <c r="H157" s="29" t="n">
        <f aca="false">'Task Breakdown'!L617</f>
        <v>0</v>
      </c>
      <c r="I157" s="29" t="n">
        <f aca="false">'Task Breakdown'!M617</f>
        <v>0</v>
      </c>
      <c r="J157" s="29" t="n">
        <f aca="false">'Task Breakdown'!N617</f>
        <v>0</v>
      </c>
      <c r="K157" s="29" t="n">
        <f aca="false">'Task Breakdown'!O617</f>
        <v>0</v>
      </c>
      <c r="L157" s="29" t="n">
        <f aca="false">'Task Breakdown'!P617</f>
        <v>0</v>
      </c>
      <c r="M157" s="29" t="n">
        <f aca="false">'Task Breakdown'!Q617</f>
        <v>0</v>
      </c>
      <c r="N157" s="29" t="n">
        <f aca="false">'Task Breakdown'!R617</f>
        <v>14</v>
      </c>
      <c r="O157" s="29" t="n">
        <f aca="false">'Task Breakdown'!S617</f>
        <v>114</v>
      </c>
      <c r="P157" s="29" t="n">
        <f aca="false">'Task Breakdown'!T617</f>
        <v>0</v>
      </c>
      <c r="Q157" s="30" t="n">
        <f aca="false">SUM(E157:P157)</f>
        <v>128</v>
      </c>
      <c r="R157" s="31" t="n">
        <f aca="false">IF($Q$199&gt;0,Q157/$Q$199,0)</f>
        <v>0.0235250873001287</v>
      </c>
    </row>
    <row r="158" customFormat="false" ht="15" hidden="false" customHeight="false" outlineLevel="0" collapsed="false">
      <c r="A158" s="26" t="str">
        <f aca="false">'Task Breakdown'!A618</f>
        <v>UC-4.03.07</v>
      </c>
      <c r="B158" s="27" t="str">
        <f aca="false">'Task Breakdown'!G618</f>
        <v>Detailed design and design review</v>
      </c>
      <c r="C158" s="28"/>
      <c r="D158" s="28"/>
      <c r="E158" s="29" t="n">
        <f aca="false">'Task Breakdown'!I618</f>
        <v>0</v>
      </c>
      <c r="F158" s="29" t="n">
        <f aca="false">'Task Breakdown'!J618</f>
        <v>0</v>
      </c>
      <c r="G158" s="29" t="n">
        <f aca="false">'Task Breakdown'!K618</f>
        <v>0</v>
      </c>
      <c r="H158" s="29" t="n">
        <f aca="false">'Task Breakdown'!L618</f>
        <v>0</v>
      </c>
      <c r="I158" s="29" t="n">
        <f aca="false">'Task Breakdown'!M618</f>
        <v>29</v>
      </c>
      <c r="J158" s="29" t="n">
        <f aca="false">'Task Breakdown'!N618</f>
        <v>0</v>
      </c>
      <c r="K158" s="29" t="n">
        <f aca="false">'Task Breakdown'!O618</f>
        <v>0</v>
      </c>
      <c r="L158" s="29" t="n">
        <f aca="false">'Task Breakdown'!P618</f>
        <v>0</v>
      </c>
      <c r="M158" s="29" t="n">
        <f aca="false">'Task Breakdown'!Q618</f>
        <v>0</v>
      </c>
      <c r="N158" s="29" t="n">
        <f aca="false">'Task Breakdown'!R618</f>
        <v>0</v>
      </c>
      <c r="O158" s="29" t="n">
        <f aca="false">'Task Breakdown'!S618</f>
        <v>0</v>
      </c>
      <c r="P158" s="29" t="n">
        <f aca="false">'Task Breakdown'!T618</f>
        <v>0</v>
      </c>
      <c r="Q158" s="30" t="n">
        <f aca="false">SUM(E158:P158)</f>
        <v>29</v>
      </c>
      <c r="R158" s="31" t="n">
        <f aca="false">IF($Q$199&gt;0,Q158/$Q$199,0)</f>
        <v>0.0053299025914354</v>
      </c>
    </row>
    <row r="159" customFormat="false" ht="15" hidden="false" customHeight="false" outlineLevel="0" collapsed="false">
      <c r="A159" s="26" t="str">
        <f aca="false">'Task Breakdown'!A619</f>
        <v>UC-4.03.08</v>
      </c>
      <c r="B159" s="27" t="str">
        <f aca="false">'Task Breakdown'!G619</f>
        <v>Promote through dev / test / prod and release</v>
      </c>
      <c r="C159" s="28"/>
      <c r="D159" s="28"/>
      <c r="E159" s="29" t="n">
        <f aca="false">'Task Breakdown'!I619</f>
        <v>0</v>
      </c>
      <c r="F159" s="29" t="n">
        <f aca="false">'Task Breakdown'!J619</f>
        <v>0</v>
      </c>
      <c r="G159" s="29" t="n">
        <f aca="false">'Task Breakdown'!K619</f>
        <v>19</v>
      </c>
      <c r="H159" s="29" t="n">
        <f aca="false">'Task Breakdown'!L619</f>
        <v>0</v>
      </c>
      <c r="I159" s="29" t="n">
        <f aca="false">'Task Breakdown'!M619</f>
        <v>0</v>
      </c>
      <c r="J159" s="29" t="n">
        <f aca="false">'Task Breakdown'!N619</f>
        <v>0</v>
      </c>
      <c r="K159" s="29" t="n">
        <f aca="false">'Task Breakdown'!O619</f>
        <v>0</v>
      </c>
      <c r="L159" s="29" t="n">
        <f aca="false">'Task Breakdown'!P619</f>
        <v>0</v>
      </c>
      <c r="M159" s="29" t="n">
        <f aca="false">'Task Breakdown'!Q619</f>
        <v>0</v>
      </c>
      <c r="N159" s="29" t="n">
        <f aca="false">'Task Breakdown'!R619</f>
        <v>0</v>
      </c>
      <c r="O159" s="29" t="n">
        <f aca="false">'Task Breakdown'!S619</f>
        <v>0</v>
      </c>
      <c r="P159" s="29" t="n">
        <f aca="false">'Task Breakdown'!T619</f>
        <v>0</v>
      </c>
      <c r="Q159" s="30" t="n">
        <f aca="false">SUM(E159:P159)</f>
        <v>19</v>
      </c>
      <c r="R159" s="31" t="n">
        <f aca="false">IF($Q$199&gt;0,Q159/$Q$199,0)</f>
        <v>0.00349200514611285</v>
      </c>
    </row>
    <row r="160" customFormat="false" ht="15" hidden="false" customHeight="false" outlineLevel="0" collapsed="false">
      <c r="A160" s="26" t="str">
        <f aca="false">'Task Breakdown'!A620</f>
        <v>UC-4.03.09</v>
      </c>
      <c r="B160" s="27" t="str">
        <f aca="false">'Task Breakdown'!G620</f>
        <v>Documentation, runbook and knowledge transfer</v>
      </c>
      <c r="C160" s="28"/>
      <c r="D160" s="28"/>
      <c r="E160" s="29" t="n">
        <f aca="false">'Task Breakdown'!I620</f>
        <v>0</v>
      </c>
      <c r="F160" s="29" t="n">
        <f aca="false">'Task Breakdown'!J620</f>
        <v>0</v>
      </c>
      <c r="G160" s="29" t="n">
        <f aca="false">'Task Breakdown'!K620</f>
        <v>0</v>
      </c>
      <c r="H160" s="29" t="n">
        <f aca="false">'Task Breakdown'!L620</f>
        <v>0</v>
      </c>
      <c r="I160" s="29" t="n">
        <f aca="false">'Task Breakdown'!M620</f>
        <v>0</v>
      </c>
      <c r="J160" s="29" t="n">
        <f aca="false">'Task Breakdown'!N620</f>
        <v>19</v>
      </c>
      <c r="K160" s="29" t="n">
        <f aca="false">'Task Breakdown'!O620</f>
        <v>0</v>
      </c>
      <c r="L160" s="29" t="n">
        <f aca="false">'Task Breakdown'!P620</f>
        <v>0</v>
      </c>
      <c r="M160" s="29" t="n">
        <f aca="false">'Task Breakdown'!Q620</f>
        <v>0</v>
      </c>
      <c r="N160" s="29" t="n">
        <f aca="false">'Task Breakdown'!R620</f>
        <v>0</v>
      </c>
      <c r="O160" s="29" t="n">
        <f aca="false">'Task Breakdown'!S620</f>
        <v>0</v>
      </c>
      <c r="P160" s="29" t="n">
        <f aca="false">'Task Breakdown'!T620</f>
        <v>0</v>
      </c>
      <c r="Q160" s="30" t="n">
        <f aca="false">SUM(E160:P160)</f>
        <v>19</v>
      </c>
      <c r="R160" s="31" t="n">
        <f aca="false">IF($Q$199&gt;0,Q160/$Q$199,0)</f>
        <v>0.00349200514611285</v>
      </c>
    </row>
    <row r="161" customFormat="false" ht="15" hidden="false" customHeight="false" outlineLevel="0" collapsed="false">
      <c r="A161" s="26" t="str">
        <f aca="false">'Task Breakdown'!A621</f>
        <v>UC-4.03.10</v>
      </c>
      <c r="B161" s="27" t="str">
        <f aca="false">'Task Breakdown'!G621</f>
        <v>Defect fixing and rework after testing</v>
      </c>
      <c r="C161" s="28"/>
      <c r="D161" s="28"/>
      <c r="E161" s="29" t="n">
        <f aca="false">'Task Breakdown'!I621</f>
        <v>0</v>
      </c>
      <c r="F161" s="29" t="n">
        <f aca="false">'Task Breakdown'!J621</f>
        <v>0</v>
      </c>
      <c r="G161" s="29" t="n">
        <f aca="false">'Task Breakdown'!K621</f>
        <v>0</v>
      </c>
      <c r="H161" s="29" t="n">
        <f aca="false">'Task Breakdown'!L621</f>
        <v>0</v>
      </c>
      <c r="I161" s="29" t="n">
        <f aca="false">'Task Breakdown'!M621</f>
        <v>0</v>
      </c>
      <c r="J161" s="29" t="n">
        <f aca="false">'Task Breakdown'!N621</f>
        <v>39</v>
      </c>
      <c r="K161" s="29" t="n">
        <f aca="false">'Task Breakdown'!O621</f>
        <v>0</v>
      </c>
      <c r="L161" s="29" t="n">
        <f aca="false">'Task Breakdown'!P621</f>
        <v>0</v>
      </c>
      <c r="M161" s="29" t="n">
        <f aca="false">'Task Breakdown'!Q621</f>
        <v>0</v>
      </c>
      <c r="N161" s="29" t="n">
        <f aca="false">'Task Breakdown'!R621</f>
        <v>0</v>
      </c>
      <c r="O161" s="29" t="n">
        <f aca="false">'Task Breakdown'!S621</f>
        <v>0</v>
      </c>
      <c r="P161" s="29" t="n">
        <f aca="false">'Task Breakdown'!T621</f>
        <v>0</v>
      </c>
      <c r="Q161" s="30" t="n">
        <f aca="false">SUM(E161:P161)</f>
        <v>39</v>
      </c>
      <c r="R161" s="31" t="n">
        <f aca="false">IF($Q$199&gt;0,Q161/$Q$199,0)</f>
        <v>0.00716780003675795</v>
      </c>
    </row>
    <row r="162" customFormat="false" ht="15" hidden="false" customHeight="false" outlineLevel="0" collapsed="false">
      <c r="A162" s="23" t="s">
        <v>351</v>
      </c>
      <c r="B162" s="23" t="s">
        <v>352</v>
      </c>
      <c r="C162" s="23" t="s">
        <v>43</v>
      </c>
      <c r="D162" s="23" t="s">
        <v>353</v>
      </c>
      <c r="E162" s="24" t="n">
        <f aca="false">SUM(E163:E170)</f>
        <v>0</v>
      </c>
      <c r="F162" s="24" t="n">
        <f aca="false">SUM(F163:F170)</f>
        <v>0</v>
      </c>
      <c r="G162" s="24" t="n">
        <f aca="false">SUM(G163:G170)</f>
        <v>5</v>
      </c>
      <c r="H162" s="24" t="n">
        <f aca="false">SUM(H163:H170)</f>
        <v>0</v>
      </c>
      <c r="I162" s="24" t="n">
        <f aca="false">SUM(I163:I170)</f>
        <v>40</v>
      </c>
      <c r="J162" s="24" t="n">
        <f aca="false">SUM(J163:J170)</f>
        <v>114</v>
      </c>
      <c r="K162" s="24" t="n">
        <f aca="false">SUM(K163:K170)</f>
        <v>0</v>
      </c>
      <c r="L162" s="24" t="n">
        <f aca="false">SUM(L163:L170)</f>
        <v>0</v>
      </c>
      <c r="M162" s="24" t="n">
        <f aca="false">SUM(M163:M170)</f>
        <v>0</v>
      </c>
      <c r="N162" s="24" t="n">
        <f aca="false">SUM(N163:N170)</f>
        <v>0</v>
      </c>
      <c r="O162" s="24" t="n">
        <f aca="false">SUM(O163:O170)</f>
        <v>0</v>
      </c>
      <c r="P162" s="24" t="n">
        <f aca="false">SUM(P163:P170)</f>
        <v>0</v>
      </c>
      <c r="Q162" s="24" t="n">
        <f aca="false">SUM(Q163:Q170)</f>
        <v>159</v>
      </c>
      <c r="R162" s="25" t="n">
        <f aca="false">IF($Q$199&gt;0,Q162/$Q$199,0)</f>
        <v>0.0292225693806286</v>
      </c>
    </row>
    <row r="163" customFormat="false" ht="15" hidden="false" customHeight="false" outlineLevel="0" collapsed="false">
      <c r="A163" s="26" t="str">
        <f aca="false">'Task Breakdown'!A622</f>
        <v>UC-4.04.01</v>
      </c>
      <c r="B163" s="27" t="str">
        <f aca="false">'Task Breakdown'!G622</f>
        <v>Extract common patterns from built agents</v>
      </c>
      <c r="C163" s="28"/>
      <c r="D163" s="28"/>
      <c r="E163" s="29" t="n">
        <f aca="false">'Task Breakdown'!I622</f>
        <v>0</v>
      </c>
      <c r="F163" s="29" t="n">
        <f aca="false">'Task Breakdown'!J622</f>
        <v>0</v>
      </c>
      <c r="G163" s="29" t="n">
        <f aca="false">'Task Breakdown'!K622</f>
        <v>0</v>
      </c>
      <c r="H163" s="29" t="n">
        <f aca="false">'Task Breakdown'!L622</f>
        <v>0</v>
      </c>
      <c r="I163" s="29" t="n">
        <f aca="false">'Task Breakdown'!M622</f>
        <v>16</v>
      </c>
      <c r="J163" s="29" t="n">
        <f aca="false">'Task Breakdown'!N622</f>
        <v>16</v>
      </c>
      <c r="K163" s="29" t="n">
        <f aca="false">'Task Breakdown'!O622</f>
        <v>0</v>
      </c>
      <c r="L163" s="29" t="n">
        <f aca="false">'Task Breakdown'!P622</f>
        <v>0</v>
      </c>
      <c r="M163" s="29" t="n">
        <f aca="false">'Task Breakdown'!Q622</f>
        <v>0</v>
      </c>
      <c r="N163" s="29" t="n">
        <f aca="false">'Task Breakdown'!R622</f>
        <v>0</v>
      </c>
      <c r="O163" s="29" t="n">
        <f aca="false">'Task Breakdown'!S622</f>
        <v>0</v>
      </c>
      <c r="P163" s="29" t="n">
        <f aca="false">'Task Breakdown'!T622</f>
        <v>0</v>
      </c>
      <c r="Q163" s="30" t="n">
        <f aca="false">SUM(E163:P163)</f>
        <v>32</v>
      </c>
      <c r="R163" s="31" t="n">
        <f aca="false">IF($Q$199&gt;0,Q163/$Q$199,0)</f>
        <v>0.00588127182503216</v>
      </c>
    </row>
    <row r="164" customFormat="false" ht="15" hidden="false" customHeight="false" outlineLevel="0" collapsed="false">
      <c r="A164" s="26" t="str">
        <f aca="false">'Task Breakdown'!A623</f>
        <v>UC-4.04.02</v>
      </c>
      <c r="B164" s="27" t="str">
        <f aca="false">'Task Breakdown'!G623</f>
        <v>Build template repository (agent, RAG, tool, evaluation)</v>
      </c>
      <c r="C164" s="28"/>
      <c r="D164" s="28"/>
      <c r="E164" s="29" t="n">
        <f aca="false">'Task Breakdown'!I623</f>
        <v>0</v>
      </c>
      <c r="F164" s="29" t="n">
        <f aca="false">'Task Breakdown'!J623</f>
        <v>0</v>
      </c>
      <c r="G164" s="29" t="n">
        <f aca="false">'Task Breakdown'!K623</f>
        <v>0</v>
      </c>
      <c r="H164" s="29" t="n">
        <f aca="false">'Task Breakdown'!L623</f>
        <v>0</v>
      </c>
      <c r="I164" s="29" t="n">
        <f aca="false">'Task Breakdown'!M623</f>
        <v>0</v>
      </c>
      <c r="J164" s="29" t="n">
        <f aca="false">'Task Breakdown'!N623</f>
        <v>49</v>
      </c>
      <c r="K164" s="29" t="n">
        <f aca="false">'Task Breakdown'!O623</f>
        <v>0</v>
      </c>
      <c r="L164" s="29" t="n">
        <f aca="false">'Task Breakdown'!P623</f>
        <v>0</v>
      </c>
      <c r="M164" s="29" t="n">
        <f aca="false">'Task Breakdown'!Q623</f>
        <v>0</v>
      </c>
      <c r="N164" s="29" t="n">
        <f aca="false">'Task Breakdown'!R623</f>
        <v>0</v>
      </c>
      <c r="O164" s="29" t="n">
        <f aca="false">'Task Breakdown'!S623</f>
        <v>0</v>
      </c>
      <c r="P164" s="29" t="n">
        <f aca="false">'Task Breakdown'!T623</f>
        <v>0</v>
      </c>
      <c r="Q164" s="30" t="n">
        <f aca="false">SUM(E164:P164)</f>
        <v>49</v>
      </c>
      <c r="R164" s="31" t="n">
        <f aca="false">IF($Q$199&gt;0,Q164/$Q$199,0)</f>
        <v>0.0090056974820805</v>
      </c>
    </row>
    <row r="165" customFormat="false" ht="15" hidden="false" customHeight="false" outlineLevel="0" collapsed="false">
      <c r="A165" s="26" t="str">
        <f aca="false">'Task Breakdown'!A624</f>
        <v>UC-4.04.03</v>
      </c>
      <c r="B165" s="27" t="str">
        <f aca="false">'Task Breakdown'!G624</f>
        <v>Build scaffolding pipeline for new agents</v>
      </c>
      <c r="C165" s="28"/>
      <c r="D165" s="28"/>
      <c r="E165" s="29" t="n">
        <f aca="false">'Task Breakdown'!I624</f>
        <v>0</v>
      </c>
      <c r="F165" s="29" t="n">
        <f aca="false">'Task Breakdown'!J624</f>
        <v>0</v>
      </c>
      <c r="G165" s="29" t="n">
        <f aca="false">'Task Breakdown'!K624</f>
        <v>0</v>
      </c>
      <c r="H165" s="29" t="n">
        <f aca="false">'Task Breakdown'!L624</f>
        <v>0</v>
      </c>
      <c r="I165" s="29" t="n">
        <f aca="false">'Task Breakdown'!M624</f>
        <v>0</v>
      </c>
      <c r="J165" s="29" t="n">
        <f aca="false">'Task Breakdown'!N624</f>
        <v>33</v>
      </c>
      <c r="K165" s="29" t="n">
        <f aca="false">'Task Breakdown'!O624</f>
        <v>0</v>
      </c>
      <c r="L165" s="29" t="n">
        <f aca="false">'Task Breakdown'!P624</f>
        <v>0</v>
      </c>
      <c r="M165" s="29" t="n">
        <f aca="false">'Task Breakdown'!Q624</f>
        <v>0</v>
      </c>
      <c r="N165" s="29" t="n">
        <f aca="false">'Task Breakdown'!R624</f>
        <v>0</v>
      </c>
      <c r="O165" s="29" t="n">
        <f aca="false">'Task Breakdown'!S624</f>
        <v>0</v>
      </c>
      <c r="P165" s="29" t="n">
        <f aca="false">'Task Breakdown'!T624</f>
        <v>0</v>
      </c>
      <c r="Q165" s="30" t="n">
        <f aca="false">SUM(E165:P165)</f>
        <v>33</v>
      </c>
      <c r="R165" s="31" t="n">
        <f aca="false">IF($Q$199&gt;0,Q165/$Q$199,0)</f>
        <v>0.00606506156956442</v>
      </c>
    </row>
    <row r="166" customFormat="false" ht="15" hidden="false" customHeight="false" outlineLevel="0" collapsed="false">
      <c r="A166" s="26" t="str">
        <f aca="false">'Task Breakdown'!A625</f>
        <v>UC-4.04.04</v>
      </c>
      <c r="B166" s="27" t="str">
        <f aca="false">'Task Breakdown'!G625</f>
        <v>Template documentation</v>
      </c>
      <c r="C166" s="28"/>
      <c r="D166" s="28"/>
      <c r="E166" s="29" t="n">
        <f aca="false">'Task Breakdown'!I625</f>
        <v>0</v>
      </c>
      <c r="F166" s="29" t="n">
        <f aca="false">'Task Breakdown'!J625</f>
        <v>0</v>
      </c>
      <c r="G166" s="29" t="n">
        <f aca="false">'Task Breakdown'!K625</f>
        <v>0</v>
      </c>
      <c r="H166" s="29" t="n">
        <f aca="false">'Task Breakdown'!L625</f>
        <v>0</v>
      </c>
      <c r="I166" s="29" t="n">
        <f aca="false">'Task Breakdown'!M625</f>
        <v>16</v>
      </c>
      <c r="J166" s="29" t="n">
        <f aca="false">'Task Breakdown'!N625</f>
        <v>0</v>
      </c>
      <c r="K166" s="29" t="n">
        <f aca="false">'Task Breakdown'!O625</f>
        <v>0</v>
      </c>
      <c r="L166" s="29" t="n">
        <f aca="false">'Task Breakdown'!P625</f>
        <v>0</v>
      </c>
      <c r="M166" s="29" t="n">
        <f aca="false">'Task Breakdown'!Q625</f>
        <v>0</v>
      </c>
      <c r="N166" s="29" t="n">
        <f aca="false">'Task Breakdown'!R625</f>
        <v>0</v>
      </c>
      <c r="O166" s="29" t="n">
        <f aca="false">'Task Breakdown'!S625</f>
        <v>0</v>
      </c>
      <c r="P166" s="29" t="n">
        <f aca="false">'Task Breakdown'!T625</f>
        <v>0</v>
      </c>
      <c r="Q166" s="30" t="n">
        <f aca="false">SUM(E166:P166)</f>
        <v>16</v>
      </c>
      <c r="R166" s="31" t="n">
        <f aca="false">IF($Q$199&gt;0,Q166/$Q$199,0)</f>
        <v>0.00294063591251608</v>
      </c>
    </row>
    <row r="167" customFormat="false" ht="15" hidden="false" customHeight="false" outlineLevel="0" collapsed="false">
      <c r="A167" s="26" t="str">
        <f aca="false">'Task Breakdown'!A626</f>
        <v>UC-4.04.05</v>
      </c>
      <c r="B167" s="27" t="str">
        <f aca="false">'Task Breakdown'!G626</f>
        <v>Detailed design and design review</v>
      </c>
      <c r="C167" s="28"/>
      <c r="D167" s="28"/>
      <c r="E167" s="29" t="n">
        <f aca="false">'Task Breakdown'!I626</f>
        <v>0</v>
      </c>
      <c r="F167" s="29" t="n">
        <f aca="false">'Task Breakdown'!J626</f>
        <v>0</v>
      </c>
      <c r="G167" s="29" t="n">
        <f aca="false">'Task Breakdown'!K626</f>
        <v>0</v>
      </c>
      <c r="H167" s="29" t="n">
        <f aca="false">'Task Breakdown'!L626</f>
        <v>0</v>
      </c>
      <c r="I167" s="29" t="n">
        <f aca="false">'Task Breakdown'!M626</f>
        <v>8</v>
      </c>
      <c r="J167" s="29" t="n">
        <f aca="false">'Task Breakdown'!N626</f>
        <v>0</v>
      </c>
      <c r="K167" s="29" t="n">
        <f aca="false">'Task Breakdown'!O626</f>
        <v>0</v>
      </c>
      <c r="L167" s="29" t="n">
        <f aca="false">'Task Breakdown'!P626</f>
        <v>0</v>
      </c>
      <c r="M167" s="29" t="n">
        <f aca="false">'Task Breakdown'!Q626</f>
        <v>0</v>
      </c>
      <c r="N167" s="29" t="n">
        <f aca="false">'Task Breakdown'!R626</f>
        <v>0</v>
      </c>
      <c r="O167" s="29" t="n">
        <f aca="false">'Task Breakdown'!S626</f>
        <v>0</v>
      </c>
      <c r="P167" s="29" t="n">
        <f aca="false">'Task Breakdown'!T626</f>
        <v>0</v>
      </c>
      <c r="Q167" s="30" t="n">
        <f aca="false">SUM(E167:P167)</f>
        <v>8</v>
      </c>
      <c r="R167" s="31" t="n">
        <f aca="false">IF($Q$199&gt;0,Q167/$Q$199,0)</f>
        <v>0.00147031795625804</v>
      </c>
    </row>
    <row r="168" customFormat="false" ht="15" hidden="false" customHeight="false" outlineLevel="0" collapsed="false">
      <c r="A168" s="26" t="str">
        <f aca="false">'Task Breakdown'!A627</f>
        <v>UC-4.04.06</v>
      </c>
      <c r="B168" s="27" t="str">
        <f aca="false">'Task Breakdown'!G627</f>
        <v>Promote through dev / test / prod and release</v>
      </c>
      <c r="C168" s="28"/>
      <c r="D168" s="28"/>
      <c r="E168" s="29" t="n">
        <f aca="false">'Task Breakdown'!I627</f>
        <v>0</v>
      </c>
      <c r="F168" s="29" t="n">
        <f aca="false">'Task Breakdown'!J627</f>
        <v>0</v>
      </c>
      <c r="G168" s="29" t="n">
        <f aca="false">'Task Breakdown'!K627</f>
        <v>5</v>
      </c>
      <c r="H168" s="29" t="n">
        <f aca="false">'Task Breakdown'!L627</f>
        <v>0</v>
      </c>
      <c r="I168" s="29" t="n">
        <f aca="false">'Task Breakdown'!M627</f>
        <v>0</v>
      </c>
      <c r="J168" s="29" t="n">
        <f aca="false">'Task Breakdown'!N627</f>
        <v>0</v>
      </c>
      <c r="K168" s="29" t="n">
        <f aca="false">'Task Breakdown'!O627</f>
        <v>0</v>
      </c>
      <c r="L168" s="29" t="n">
        <f aca="false">'Task Breakdown'!P627</f>
        <v>0</v>
      </c>
      <c r="M168" s="29" t="n">
        <f aca="false">'Task Breakdown'!Q627</f>
        <v>0</v>
      </c>
      <c r="N168" s="29" t="n">
        <f aca="false">'Task Breakdown'!R627</f>
        <v>0</v>
      </c>
      <c r="O168" s="29" t="n">
        <f aca="false">'Task Breakdown'!S627</f>
        <v>0</v>
      </c>
      <c r="P168" s="29" t="n">
        <f aca="false">'Task Breakdown'!T627</f>
        <v>0</v>
      </c>
      <c r="Q168" s="30" t="n">
        <f aca="false">SUM(E168:P168)</f>
        <v>5</v>
      </c>
      <c r="R168" s="31" t="n">
        <f aca="false">IF($Q$199&gt;0,Q168/$Q$199,0)</f>
        <v>0.000918948722661276</v>
      </c>
    </row>
    <row r="169" customFormat="false" ht="15" hidden="false" customHeight="false" outlineLevel="0" collapsed="false">
      <c r="A169" s="26" t="str">
        <f aca="false">'Task Breakdown'!A628</f>
        <v>UC-4.04.07</v>
      </c>
      <c r="B169" s="27" t="str">
        <f aca="false">'Task Breakdown'!G628</f>
        <v>Documentation, runbook and knowledge transfer</v>
      </c>
      <c r="C169" s="28"/>
      <c r="D169" s="28"/>
      <c r="E169" s="29" t="n">
        <f aca="false">'Task Breakdown'!I628</f>
        <v>0</v>
      </c>
      <c r="F169" s="29" t="n">
        <f aca="false">'Task Breakdown'!J628</f>
        <v>0</v>
      </c>
      <c r="G169" s="29" t="n">
        <f aca="false">'Task Breakdown'!K628</f>
        <v>0</v>
      </c>
      <c r="H169" s="29" t="n">
        <f aca="false">'Task Breakdown'!L628</f>
        <v>0</v>
      </c>
      <c r="I169" s="29" t="n">
        <f aca="false">'Task Breakdown'!M628</f>
        <v>0</v>
      </c>
      <c r="J169" s="29" t="n">
        <f aca="false">'Task Breakdown'!N628</f>
        <v>5</v>
      </c>
      <c r="K169" s="29" t="n">
        <f aca="false">'Task Breakdown'!O628</f>
        <v>0</v>
      </c>
      <c r="L169" s="29" t="n">
        <f aca="false">'Task Breakdown'!P628</f>
        <v>0</v>
      </c>
      <c r="M169" s="29" t="n">
        <f aca="false">'Task Breakdown'!Q628</f>
        <v>0</v>
      </c>
      <c r="N169" s="29" t="n">
        <f aca="false">'Task Breakdown'!R628</f>
        <v>0</v>
      </c>
      <c r="O169" s="29" t="n">
        <f aca="false">'Task Breakdown'!S628</f>
        <v>0</v>
      </c>
      <c r="P169" s="29" t="n">
        <f aca="false">'Task Breakdown'!T628</f>
        <v>0</v>
      </c>
      <c r="Q169" s="30" t="n">
        <f aca="false">SUM(E169:P169)</f>
        <v>5</v>
      </c>
      <c r="R169" s="31" t="n">
        <f aca="false">IF($Q$199&gt;0,Q169/$Q$199,0)</f>
        <v>0.000918948722661276</v>
      </c>
    </row>
    <row r="170" customFormat="false" ht="15" hidden="false" customHeight="false" outlineLevel="0" collapsed="false">
      <c r="A170" s="26" t="str">
        <f aca="false">'Task Breakdown'!A629</f>
        <v>UC-4.04.08</v>
      </c>
      <c r="B170" s="27" t="str">
        <f aca="false">'Task Breakdown'!G629</f>
        <v>Defect fixing and rework after testing</v>
      </c>
      <c r="C170" s="28"/>
      <c r="D170" s="28"/>
      <c r="E170" s="29" t="n">
        <f aca="false">'Task Breakdown'!I629</f>
        <v>0</v>
      </c>
      <c r="F170" s="29" t="n">
        <f aca="false">'Task Breakdown'!J629</f>
        <v>0</v>
      </c>
      <c r="G170" s="29" t="n">
        <f aca="false">'Task Breakdown'!K629</f>
        <v>0</v>
      </c>
      <c r="H170" s="29" t="n">
        <f aca="false">'Task Breakdown'!L629</f>
        <v>0</v>
      </c>
      <c r="I170" s="29" t="n">
        <f aca="false">'Task Breakdown'!M629</f>
        <v>0</v>
      </c>
      <c r="J170" s="29" t="n">
        <f aca="false">'Task Breakdown'!N629</f>
        <v>11</v>
      </c>
      <c r="K170" s="29" t="n">
        <f aca="false">'Task Breakdown'!O629</f>
        <v>0</v>
      </c>
      <c r="L170" s="29" t="n">
        <f aca="false">'Task Breakdown'!P629</f>
        <v>0</v>
      </c>
      <c r="M170" s="29" t="n">
        <f aca="false">'Task Breakdown'!Q629</f>
        <v>0</v>
      </c>
      <c r="N170" s="29" t="n">
        <f aca="false">'Task Breakdown'!R629</f>
        <v>0</v>
      </c>
      <c r="O170" s="29" t="n">
        <f aca="false">'Task Breakdown'!S629</f>
        <v>0</v>
      </c>
      <c r="P170" s="29" t="n">
        <f aca="false">'Task Breakdown'!T629</f>
        <v>0</v>
      </c>
      <c r="Q170" s="30" t="n">
        <f aca="false">SUM(E170:P170)</f>
        <v>11</v>
      </c>
      <c r="R170" s="31" t="n">
        <f aca="false">IF($Q$199&gt;0,Q170/$Q$199,0)</f>
        <v>0.00202168718985481</v>
      </c>
    </row>
    <row r="171" customFormat="false" ht="15" hidden="false" customHeight="false" outlineLevel="0" collapsed="false">
      <c r="A171" s="23" t="s">
        <v>354</v>
      </c>
      <c r="B171" s="23" t="s">
        <v>355</v>
      </c>
      <c r="C171" s="23" t="s">
        <v>45</v>
      </c>
      <c r="D171" s="23" t="s">
        <v>356</v>
      </c>
      <c r="E171" s="24" t="n">
        <f aca="false">SUM(E172:E178)</f>
        <v>0</v>
      </c>
      <c r="F171" s="24" t="n">
        <f aca="false">SUM(F172:F178)</f>
        <v>0</v>
      </c>
      <c r="G171" s="24" t="n">
        <f aca="false">SUM(G172:G178)</f>
        <v>0</v>
      </c>
      <c r="H171" s="24" t="n">
        <f aca="false">SUM(H172:H178)</f>
        <v>0</v>
      </c>
      <c r="I171" s="24" t="n">
        <f aca="false">SUM(I172:I178)</f>
        <v>0</v>
      </c>
      <c r="J171" s="24" t="n">
        <f aca="false">SUM(J172:J178)</f>
        <v>0</v>
      </c>
      <c r="K171" s="24" t="n">
        <f aca="false">SUM(K172:K178)</f>
        <v>0</v>
      </c>
      <c r="L171" s="24" t="n">
        <f aca="false">SUM(L172:L178)</f>
        <v>0</v>
      </c>
      <c r="M171" s="24" t="n">
        <f aca="false">SUM(M172:M178)</f>
        <v>24</v>
      </c>
      <c r="N171" s="24" t="n">
        <f aca="false">SUM(N172:N178)</f>
        <v>61</v>
      </c>
      <c r="O171" s="24" t="n">
        <f aca="false">SUM(O172:O178)</f>
        <v>0</v>
      </c>
      <c r="P171" s="24" t="n">
        <f aca="false">SUM(P172:P178)</f>
        <v>155</v>
      </c>
      <c r="Q171" s="24" t="n">
        <f aca="false">SUM(Q172:Q178)</f>
        <v>240</v>
      </c>
      <c r="R171" s="25" t="n">
        <f aca="false">IF($Q$199&gt;0,Q171/$Q$199,0)</f>
        <v>0.0441095386877412</v>
      </c>
    </row>
    <row r="172" customFormat="false" ht="15" hidden="false" customHeight="false" outlineLevel="0" collapsed="false">
      <c r="A172" s="26" t="str">
        <f aca="false">'Task Breakdown'!A630</f>
        <v>UC-4.05.01</v>
      </c>
      <c r="B172" s="27" t="str">
        <f aca="false">'Task Breakdown'!G630</f>
        <v>Define adoption metrics</v>
      </c>
      <c r="C172" s="28"/>
      <c r="D172" s="28"/>
      <c r="E172" s="29" t="n">
        <f aca="false">'Task Breakdown'!I630</f>
        <v>0</v>
      </c>
      <c r="F172" s="29" t="n">
        <f aca="false">'Task Breakdown'!J630</f>
        <v>0</v>
      </c>
      <c r="G172" s="29" t="n">
        <f aca="false">'Task Breakdown'!K630</f>
        <v>0</v>
      </c>
      <c r="H172" s="29" t="n">
        <f aca="false">'Task Breakdown'!L630</f>
        <v>0</v>
      </c>
      <c r="I172" s="29" t="n">
        <f aca="false">'Task Breakdown'!M630</f>
        <v>0</v>
      </c>
      <c r="J172" s="29" t="n">
        <f aca="false">'Task Breakdown'!N630</f>
        <v>0</v>
      </c>
      <c r="K172" s="29" t="n">
        <f aca="false">'Task Breakdown'!O630</f>
        <v>0</v>
      </c>
      <c r="L172" s="29" t="n">
        <f aca="false">'Task Breakdown'!P630</f>
        <v>0</v>
      </c>
      <c r="M172" s="29" t="n">
        <f aca="false">'Task Breakdown'!Q630</f>
        <v>0</v>
      </c>
      <c r="N172" s="29" t="n">
        <f aca="false">'Task Breakdown'!R630</f>
        <v>24</v>
      </c>
      <c r="O172" s="29" t="n">
        <f aca="false">'Task Breakdown'!S630</f>
        <v>0</v>
      </c>
      <c r="P172" s="29" t="n">
        <f aca="false">'Task Breakdown'!T630</f>
        <v>0</v>
      </c>
      <c r="Q172" s="30" t="n">
        <f aca="false">SUM(E172:P172)</f>
        <v>24</v>
      </c>
      <c r="R172" s="31" t="n">
        <f aca="false">IF($Q$199&gt;0,Q172/$Q$199,0)</f>
        <v>0.00441095386877412</v>
      </c>
    </row>
    <row r="173" customFormat="false" ht="15" hidden="false" customHeight="false" outlineLevel="0" collapsed="false">
      <c r="A173" s="26" t="str">
        <f aca="false">'Task Breakdown'!A631</f>
        <v>UC-4.05.02</v>
      </c>
      <c r="B173" s="27" t="str">
        <f aca="false">'Task Breakdown'!G631</f>
        <v>Build adoption dashboard</v>
      </c>
      <c r="C173" s="28"/>
      <c r="D173" s="28"/>
      <c r="E173" s="29" t="n">
        <f aca="false">'Task Breakdown'!I631</f>
        <v>0</v>
      </c>
      <c r="F173" s="29" t="n">
        <f aca="false">'Task Breakdown'!J631</f>
        <v>0</v>
      </c>
      <c r="G173" s="29" t="n">
        <f aca="false">'Task Breakdown'!K631</f>
        <v>0</v>
      </c>
      <c r="H173" s="29" t="n">
        <f aca="false">'Task Breakdown'!L631</f>
        <v>0</v>
      </c>
      <c r="I173" s="29" t="n">
        <f aca="false">'Task Breakdown'!M631</f>
        <v>0</v>
      </c>
      <c r="J173" s="29" t="n">
        <f aca="false">'Task Breakdown'!N631</f>
        <v>0</v>
      </c>
      <c r="K173" s="29" t="n">
        <f aca="false">'Task Breakdown'!O631</f>
        <v>0</v>
      </c>
      <c r="L173" s="29" t="n">
        <f aca="false">'Task Breakdown'!P631</f>
        <v>0</v>
      </c>
      <c r="M173" s="29" t="n">
        <f aca="false">'Task Breakdown'!Q631</f>
        <v>24</v>
      </c>
      <c r="N173" s="29" t="n">
        <f aca="false">'Task Breakdown'!R631</f>
        <v>24</v>
      </c>
      <c r="O173" s="29" t="n">
        <f aca="false">'Task Breakdown'!S631</f>
        <v>0</v>
      </c>
      <c r="P173" s="29" t="n">
        <f aca="false">'Task Breakdown'!T631</f>
        <v>0</v>
      </c>
      <c r="Q173" s="30" t="n">
        <f aca="false">SUM(E173:P173)</f>
        <v>48</v>
      </c>
      <c r="R173" s="31" t="n">
        <f aca="false">IF($Q$199&gt;0,Q173/$Q$199,0)</f>
        <v>0.00882190773754825</v>
      </c>
    </row>
    <row r="174" customFormat="false" ht="15" hidden="false" customHeight="false" outlineLevel="0" collapsed="false">
      <c r="A174" s="26" t="str">
        <f aca="false">'Task Breakdown'!A632</f>
        <v>UC-4.05.03</v>
      </c>
      <c r="B174" s="27" t="str">
        <f aca="false">'Task Breakdown'!G632</f>
        <v>Build change network of plant champions</v>
      </c>
      <c r="C174" s="28"/>
      <c r="D174" s="28"/>
      <c r="E174" s="29" t="n">
        <f aca="false">'Task Breakdown'!I632</f>
        <v>0</v>
      </c>
      <c r="F174" s="29" t="n">
        <f aca="false">'Task Breakdown'!J632</f>
        <v>0</v>
      </c>
      <c r="G174" s="29" t="n">
        <f aca="false">'Task Breakdown'!K632</f>
        <v>0</v>
      </c>
      <c r="H174" s="29" t="n">
        <f aca="false">'Task Breakdown'!L632</f>
        <v>0</v>
      </c>
      <c r="I174" s="29" t="n">
        <f aca="false">'Task Breakdown'!M632</f>
        <v>0</v>
      </c>
      <c r="J174" s="29" t="n">
        <f aca="false">'Task Breakdown'!N632</f>
        <v>0</v>
      </c>
      <c r="K174" s="29" t="n">
        <f aca="false">'Task Breakdown'!O632</f>
        <v>0</v>
      </c>
      <c r="L174" s="29" t="n">
        <f aca="false">'Task Breakdown'!P632</f>
        <v>0</v>
      </c>
      <c r="M174" s="29" t="n">
        <f aca="false">'Task Breakdown'!Q632</f>
        <v>0</v>
      </c>
      <c r="N174" s="29" t="n">
        <f aca="false">'Task Breakdown'!R632</f>
        <v>0</v>
      </c>
      <c r="O174" s="29" t="n">
        <f aca="false">'Task Breakdown'!S632</f>
        <v>0</v>
      </c>
      <c r="P174" s="29" t="n">
        <f aca="false">'Task Breakdown'!T632</f>
        <v>49</v>
      </c>
      <c r="Q174" s="30" t="n">
        <f aca="false">SUM(E174:P174)</f>
        <v>49</v>
      </c>
      <c r="R174" s="31" t="n">
        <f aca="false">IF($Q$199&gt;0,Q174/$Q$199,0)</f>
        <v>0.0090056974820805</v>
      </c>
    </row>
    <row r="175" customFormat="false" ht="15" hidden="false" customHeight="false" outlineLevel="0" collapsed="false">
      <c r="A175" s="26" t="str">
        <f aca="false">'Task Breakdown'!A633</f>
        <v>UC-4.05.04</v>
      </c>
      <c r="B175" s="27" t="str">
        <f aca="false">'Task Breakdown'!G633</f>
        <v>Ongoing training and communications</v>
      </c>
      <c r="C175" s="28"/>
      <c r="D175" s="28"/>
      <c r="E175" s="29" t="n">
        <f aca="false">'Task Breakdown'!I633</f>
        <v>0</v>
      </c>
      <c r="F175" s="29" t="n">
        <f aca="false">'Task Breakdown'!J633</f>
        <v>0</v>
      </c>
      <c r="G175" s="29" t="n">
        <f aca="false">'Task Breakdown'!K633</f>
        <v>0</v>
      </c>
      <c r="H175" s="29" t="n">
        <f aca="false">'Task Breakdown'!L633</f>
        <v>0</v>
      </c>
      <c r="I175" s="29" t="n">
        <f aca="false">'Task Breakdown'!M633</f>
        <v>0</v>
      </c>
      <c r="J175" s="29" t="n">
        <f aca="false">'Task Breakdown'!N633</f>
        <v>0</v>
      </c>
      <c r="K175" s="29" t="n">
        <f aca="false">'Task Breakdown'!O633</f>
        <v>0</v>
      </c>
      <c r="L175" s="29" t="n">
        <f aca="false">'Task Breakdown'!P633</f>
        <v>0</v>
      </c>
      <c r="M175" s="29" t="n">
        <f aca="false">'Task Breakdown'!Q633</f>
        <v>0</v>
      </c>
      <c r="N175" s="29" t="n">
        <f aca="false">'Task Breakdown'!R633</f>
        <v>0</v>
      </c>
      <c r="O175" s="29" t="n">
        <f aca="false">'Task Breakdown'!S633</f>
        <v>0</v>
      </c>
      <c r="P175" s="29" t="n">
        <f aca="false">'Task Breakdown'!T633</f>
        <v>73</v>
      </c>
      <c r="Q175" s="30" t="n">
        <f aca="false">SUM(E175:P175)</f>
        <v>73</v>
      </c>
      <c r="R175" s="31" t="n">
        <f aca="false">IF($Q$199&gt;0,Q175/$Q$199,0)</f>
        <v>0.0134166513508546</v>
      </c>
    </row>
    <row r="176" customFormat="false" ht="15" hidden="false" customHeight="false" outlineLevel="0" collapsed="false">
      <c r="A176" s="26" t="str">
        <f aca="false">'Task Breakdown'!A634</f>
        <v>UC-4.05.05</v>
      </c>
      <c r="B176" s="27" t="str">
        <f aca="false">'Task Breakdown'!G634</f>
        <v>Adoption reviews</v>
      </c>
      <c r="C176" s="28"/>
      <c r="D176" s="28"/>
      <c r="E176" s="29" t="n">
        <f aca="false">'Task Breakdown'!I634</f>
        <v>0</v>
      </c>
      <c r="F176" s="29" t="n">
        <f aca="false">'Task Breakdown'!J634</f>
        <v>0</v>
      </c>
      <c r="G176" s="29" t="n">
        <f aca="false">'Task Breakdown'!K634</f>
        <v>0</v>
      </c>
      <c r="H176" s="29" t="n">
        <f aca="false">'Task Breakdown'!L634</f>
        <v>0</v>
      </c>
      <c r="I176" s="29" t="n">
        <f aca="false">'Task Breakdown'!M634</f>
        <v>0</v>
      </c>
      <c r="J176" s="29" t="n">
        <f aca="false">'Task Breakdown'!N634</f>
        <v>0</v>
      </c>
      <c r="K176" s="29" t="n">
        <f aca="false">'Task Breakdown'!O634</f>
        <v>0</v>
      </c>
      <c r="L176" s="29" t="n">
        <f aca="false">'Task Breakdown'!P634</f>
        <v>0</v>
      </c>
      <c r="M176" s="29" t="n">
        <f aca="false">'Task Breakdown'!Q634</f>
        <v>0</v>
      </c>
      <c r="N176" s="29" t="n">
        <f aca="false">'Task Breakdown'!R634</f>
        <v>0</v>
      </c>
      <c r="O176" s="29" t="n">
        <f aca="false">'Task Breakdown'!S634</f>
        <v>0</v>
      </c>
      <c r="P176" s="29" t="n">
        <f aca="false">'Task Breakdown'!T634</f>
        <v>24</v>
      </c>
      <c r="Q176" s="30" t="n">
        <f aca="false">SUM(E176:P176)</f>
        <v>24</v>
      </c>
      <c r="R176" s="31" t="n">
        <f aca="false">IF($Q$199&gt;0,Q176/$Q$199,0)</f>
        <v>0.00441095386877412</v>
      </c>
    </row>
    <row r="177" customFormat="false" ht="15" hidden="false" customHeight="false" outlineLevel="0" collapsed="false">
      <c r="A177" s="26" t="str">
        <f aca="false">'Task Breakdown'!A635</f>
        <v>UC-4.05.06</v>
      </c>
      <c r="B177" s="27" t="str">
        <f aca="false">'Task Breakdown'!G635</f>
        <v>Detailed design and design review</v>
      </c>
      <c r="C177" s="28"/>
      <c r="D177" s="28"/>
      <c r="E177" s="29" t="n">
        <f aca="false">'Task Breakdown'!I635</f>
        <v>0</v>
      </c>
      <c r="F177" s="29" t="n">
        <f aca="false">'Task Breakdown'!J635</f>
        <v>0</v>
      </c>
      <c r="G177" s="29" t="n">
        <f aca="false">'Task Breakdown'!K635</f>
        <v>0</v>
      </c>
      <c r="H177" s="29" t="n">
        <f aca="false">'Task Breakdown'!L635</f>
        <v>0</v>
      </c>
      <c r="I177" s="29" t="n">
        <f aca="false">'Task Breakdown'!M635</f>
        <v>0</v>
      </c>
      <c r="J177" s="29" t="n">
        <f aca="false">'Task Breakdown'!N635</f>
        <v>0</v>
      </c>
      <c r="K177" s="29" t="n">
        <f aca="false">'Task Breakdown'!O635</f>
        <v>0</v>
      </c>
      <c r="L177" s="29" t="n">
        <f aca="false">'Task Breakdown'!P635</f>
        <v>0</v>
      </c>
      <c r="M177" s="29" t="n">
        <f aca="false">'Task Breakdown'!Q635</f>
        <v>0</v>
      </c>
      <c r="N177" s="29" t="n">
        <f aca="false">'Task Breakdown'!R635</f>
        <v>13</v>
      </c>
      <c r="O177" s="29" t="n">
        <f aca="false">'Task Breakdown'!S635</f>
        <v>0</v>
      </c>
      <c r="P177" s="29" t="n">
        <f aca="false">'Task Breakdown'!T635</f>
        <v>0</v>
      </c>
      <c r="Q177" s="30" t="n">
        <f aca="false">SUM(E177:P177)</f>
        <v>13</v>
      </c>
      <c r="R177" s="31" t="n">
        <f aca="false">IF($Q$199&gt;0,Q177/$Q$199,0)</f>
        <v>0.00238926667891932</v>
      </c>
    </row>
    <row r="178" customFormat="false" ht="15" hidden="false" customHeight="false" outlineLevel="0" collapsed="false">
      <c r="A178" s="26" t="str">
        <f aca="false">'Task Breakdown'!A636</f>
        <v>UC-4.05.07</v>
      </c>
      <c r="B178" s="27" t="str">
        <f aca="false">'Task Breakdown'!G636</f>
        <v>Documentation, runbook and knowledge transfer</v>
      </c>
      <c r="C178" s="28"/>
      <c r="D178" s="28"/>
      <c r="E178" s="29" t="n">
        <f aca="false">'Task Breakdown'!I636</f>
        <v>0</v>
      </c>
      <c r="F178" s="29" t="n">
        <f aca="false">'Task Breakdown'!J636</f>
        <v>0</v>
      </c>
      <c r="G178" s="29" t="n">
        <f aca="false">'Task Breakdown'!K636</f>
        <v>0</v>
      </c>
      <c r="H178" s="29" t="n">
        <f aca="false">'Task Breakdown'!L636</f>
        <v>0</v>
      </c>
      <c r="I178" s="29" t="n">
        <f aca="false">'Task Breakdown'!M636</f>
        <v>0</v>
      </c>
      <c r="J178" s="29" t="n">
        <f aca="false">'Task Breakdown'!N636</f>
        <v>0</v>
      </c>
      <c r="K178" s="29" t="n">
        <f aca="false">'Task Breakdown'!O636</f>
        <v>0</v>
      </c>
      <c r="L178" s="29" t="n">
        <f aca="false">'Task Breakdown'!P636</f>
        <v>0</v>
      </c>
      <c r="M178" s="29" t="n">
        <f aca="false">'Task Breakdown'!Q636</f>
        <v>0</v>
      </c>
      <c r="N178" s="29" t="n">
        <f aca="false">'Task Breakdown'!R636</f>
        <v>0</v>
      </c>
      <c r="O178" s="29" t="n">
        <f aca="false">'Task Breakdown'!S636</f>
        <v>0</v>
      </c>
      <c r="P178" s="29" t="n">
        <f aca="false">'Task Breakdown'!T636</f>
        <v>9</v>
      </c>
      <c r="Q178" s="30" t="n">
        <f aca="false">SUM(E178:P178)</f>
        <v>9</v>
      </c>
      <c r="R178" s="31" t="n">
        <f aca="false">IF($Q$199&gt;0,Q178/$Q$199,0)</f>
        <v>0.0016541077007903</v>
      </c>
    </row>
    <row r="179" customFormat="false" ht="15" hidden="false" customHeight="false" outlineLevel="0" collapsed="false">
      <c r="A179" s="23" t="s">
        <v>357</v>
      </c>
      <c r="B179" s="23" t="s">
        <v>358</v>
      </c>
      <c r="C179" s="23" t="s">
        <v>45</v>
      </c>
      <c r="D179" s="23" t="s">
        <v>359</v>
      </c>
      <c r="E179" s="24" t="n">
        <f aca="false">SUM(E180:E183)</f>
        <v>12</v>
      </c>
      <c r="F179" s="24" t="n">
        <f aca="false">SUM(F180:F183)</f>
        <v>0</v>
      </c>
      <c r="G179" s="24" t="n">
        <f aca="false">SUM(G180:G183)</f>
        <v>0</v>
      </c>
      <c r="H179" s="24" t="n">
        <f aca="false">SUM(H180:H183)</f>
        <v>0</v>
      </c>
      <c r="I179" s="24" t="n">
        <f aca="false">SUM(I180:I183)</f>
        <v>12</v>
      </c>
      <c r="J179" s="24" t="n">
        <f aca="false">SUM(J180:J183)</f>
        <v>0</v>
      </c>
      <c r="K179" s="24" t="n">
        <f aca="false">SUM(K180:K183)</f>
        <v>0</v>
      </c>
      <c r="L179" s="24" t="n">
        <f aca="false">SUM(L180:L183)</f>
        <v>0</v>
      </c>
      <c r="M179" s="24" t="n">
        <f aca="false">SUM(M180:M183)</f>
        <v>0</v>
      </c>
      <c r="N179" s="24" t="n">
        <f aca="false">SUM(N180:N183)</f>
        <v>27</v>
      </c>
      <c r="O179" s="24" t="n">
        <f aca="false">SUM(O180:O183)</f>
        <v>0</v>
      </c>
      <c r="P179" s="24" t="n">
        <f aca="false">SUM(P180:P183)</f>
        <v>0</v>
      </c>
      <c r="Q179" s="24" t="n">
        <f aca="false">SUM(Q180:Q183)</f>
        <v>51</v>
      </c>
      <c r="R179" s="25" t="n">
        <f aca="false">IF($Q$199&gt;0,Q179/$Q$199,0)</f>
        <v>0.00937327697114501</v>
      </c>
    </row>
    <row r="180" customFormat="false" ht="15" hidden="false" customHeight="false" outlineLevel="0" collapsed="false">
      <c r="A180" s="26" t="str">
        <f aca="false">'Task Breakdown'!A637</f>
        <v>UC-4.06.01</v>
      </c>
      <c r="B180" s="27" t="str">
        <f aca="false">'Task Breakdown'!G637</f>
        <v>Quarterly agent value review</v>
      </c>
      <c r="C180" s="28"/>
      <c r="D180" s="28"/>
      <c r="E180" s="29" t="n">
        <f aca="false">'Task Breakdown'!I637</f>
        <v>6</v>
      </c>
      <c r="F180" s="29" t="n">
        <f aca="false">'Task Breakdown'!J637</f>
        <v>0</v>
      </c>
      <c r="G180" s="29" t="n">
        <f aca="false">'Task Breakdown'!K637</f>
        <v>0</v>
      </c>
      <c r="H180" s="29" t="n">
        <f aca="false">'Task Breakdown'!L637</f>
        <v>0</v>
      </c>
      <c r="I180" s="29" t="n">
        <f aca="false">'Task Breakdown'!M637</f>
        <v>0</v>
      </c>
      <c r="J180" s="29" t="n">
        <f aca="false">'Task Breakdown'!N637</f>
        <v>0</v>
      </c>
      <c r="K180" s="29" t="n">
        <f aca="false">'Task Breakdown'!O637</f>
        <v>0</v>
      </c>
      <c r="L180" s="29" t="n">
        <f aca="false">'Task Breakdown'!P637</f>
        <v>0</v>
      </c>
      <c r="M180" s="29" t="n">
        <f aca="false">'Task Breakdown'!Q637</f>
        <v>0</v>
      </c>
      <c r="N180" s="29" t="n">
        <f aca="false">'Task Breakdown'!R637</f>
        <v>12</v>
      </c>
      <c r="O180" s="29" t="n">
        <f aca="false">'Task Breakdown'!S637</f>
        <v>0</v>
      </c>
      <c r="P180" s="29" t="n">
        <f aca="false">'Task Breakdown'!T637</f>
        <v>0</v>
      </c>
      <c r="Q180" s="30" t="n">
        <f aca="false">SUM(E180:P180)</f>
        <v>18</v>
      </c>
      <c r="R180" s="31" t="n">
        <f aca="false">IF($Q$199&gt;0,Q180/$Q$199,0)</f>
        <v>0.00330821540158059</v>
      </c>
    </row>
    <row r="181" customFormat="false" ht="15" hidden="false" customHeight="false" outlineLevel="0" collapsed="false">
      <c r="A181" s="26" t="str">
        <f aca="false">'Task Breakdown'!A638</f>
        <v>UC-4.06.02</v>
      </c>
      <c r="B181" s="27" t="str">
        <f aca="false">'Task Breakdown'!G638</f>
        <v>Decide refresh or retire per agent</v>
      </c>
      <c r="C181" s="28"/>
      <c r="D181" s="28"/>
      <c r="E181" s="29" t="n">
        <f aca="false">'Task Breakdown'!I638</f>
        <v>6</v>
      </c>
      <c r="F181" s="29" t="n">
        <f aca="false">'Task Breakdown'!J638</f>
        <v>0</v>
      </c>
      <c r="G181" s="29" t="n">
        <f aca="false">'Task Breakdown'!K638</f>
        <v>0</v>
      </c>
      <c r="H181" s="29" t="n">
        <f aca="false">'Task Breakdown'!L638</f>
        <v>0</v>
      </c>
      <c r="I181" s="29" t="n">
        <f aca="false">'Task Breakdown'!M638</f>
        <v>6</v>
      </c>
      <c r="J181" s="29" t="n">
        <f aca="false">'Task Breakdown'!N638</f>
        <v>0</v>
      </c>
      <c r="K181" s="29" t="n">
        <f aca="false">'Task Breakdown'!O638</f>
        <v>0</v>
      </c>
      <c r="L181" s="29" t="n">
        <f aca="false">'Task Breakdown'!P638</f>
        <v>0</v>
      </c>
      <c r="M181" s="29" t="n">
        <f aca="false">'Task Breakdown'!Q638</f>
        <v>0</v>
      </c>
      <c r="N181" s="29" t="n">
        <f aca="false">'Task Breakdown'!R638</f>
        <v>0</v>
      </c>
      <c r="O181" s="29" t="n">
        <f aca="false">'Task Breakdown'!S638</f>
        <v>0</v>
      </c>
      <c r="P181" s="29" t="n">
        <f aca="false">'Task Breakdown'!T638</f>
        <v>0</v>
      </c>
      <c r="Q181" s="30" t="n">
        <f aca="false">SUM(E181:P181)</f>
        <v>12</v>
      </c>
      <c r="R181" s="31" t="n">
        <f aca="false">IF($Q$199&gt;0,Q181/$Q$199,0)</f>
        <v>0.00220547693438706</v>
      </c>
    </row>
    <row r="182" customFormat="false" ht="15" hidden="false" customHeight="false" outlineLevel="0" collapsed="false">
      <c r="A182" s="26" t="str">
        <f aca="false">'Task Breakdown'!A639</f>
        <v>UC-4.06.03</v>
      </c>
      <c r="B182" s="27" t="str">
        <f aca="false">'Task Breakdown'!G639</f>
        <v>Decommission or upgrade plan</v>
      </c>
      <c r="C182" s="28"/>
      <c r="D182" s="28"/>
      <c r="E182" s="29" t="n">
        <f aca="false">'Task Breakdown'!I639</f>
        <v>0</v>
      </c>
      <c r="F182" s="29" t="n">
        <f aca="false">'Task Breakdown'!J639</f>
        <v>0</v>
      </c>
      <c r="G182" s="29" t="n">
        <f aca="false">'Task Breakdown'!K639</f>
        <v>0</v>
      </c>
      <c r="H182" s="29" t="n">
        <f aca="false">'Task Breakdown'!L639</f>
        <v>0</v>
      </c>
      <c r="I182" s="29" t="n">
        <f aca="false">'Task Breakdown'!M639</f>
        <v>6</v>
      </c>
      <c r="J182" s="29" t="n">
        <f aca="false">'Task Breakdown'!N639</f>
        <v>0</v>
      </c>
      <c r="K182" s="29" t="n">
        <f aca="false">'Task Breakdown'!O639</f>
        <v>0</v>
      </c>
      <c r="L182" s="29" t="n">
        <f aca="false">'Task Breakdown'!P639</f>
        <v>0</v>
      </c>
      <c r="M182" s="29" t="n">
        <f aca="false">'Task Breakdown'!Q639</f>
        <v>0</v>
      </c>
      <c r="N182" s="29" t="n">
        <f aca="false">'Task Breakdown'!R639</f>
        <v>12</v>
      </c>
      <c r="O182" s="29" t="n">
        <f aca="false">'Task Breakdown'!S639</f>
        <v>0</v>
      </c>
      <c r="P182" s="29" t="n">
        <f aca="false">'Task Breakdown'!T639</f>
        <v>0</v>
      </c>
      <c r="Q182" s="30" t="n">
        <f aca="false">SUM(E182:P182)</f>
        <v>18</v>
      </c>
      <c r="R182" s="31" t="n">
        <f aca="false">IF($Q$199&gt;0,Q182/$Q$199,0)</f>
        <v>0.00330821540158059</v>
      </c>
    </row>
    <row r="183" customFormat="false" ht="15" hidden="false" customHeight="false" outlineLevel="0" collapsed="false">
      <c r="A183" s="26" t="str">
        <f aca="false">'Task Breakdown'!A640</f>
        <v>UC-4.06.04</v>
      </c>
      <c r="B183" s="27" t="str">
        <f aca="false">'Task Breakdown'!G640</f>
        <v>Detailed design and design review</v>
      </c>
      <c r="C183" s="28"/>
      <c r="D183" s="28"/>
      <c r="E183" s="29" t="n">
        <f aca="false">'Task Breakdown'!I640</f>
        <v>0</v>
      </c>
      <c r="F183" s="29" t="n">
        <f aca="false">'Task Breakdown'!J640</f>
        <v>0</v>
      </c>
      <c r="G183" s="29" t="n">
        <f aca="false">'Task Breakdown'!K640</f>
        <v>0</v>
      </c>
      <c r="H183" s="29" t="n">
        <f aca="false">'Task Breakdown'!L640</f>
        <v>0</v>
      </c>
      <c r="I183" s="29" t="n">
        <f aca="false">'Task Breakdown'!M640</f>
        <v>0</v>
      </c>
      <c r="J183" s="29" t="n">
        <f aca="false">'Task Breakdown'!N640</f>
        <v>0</v>
      </c>
      <c r="K183" s="29" t="n">
        <f aca="false">'Task Breakdown'!O640</f>
        <v>0</v>
      </c>
      <c r="L183" s="29" t="n">
        <f aca="false">'Task Breakdown'!P640</f>
        <v>0</v>
      </c>
      <c r="M183" s="29" t="n">
        <f aca="false">'Task Breakdown'!Q640</f>
        <v>0</v>
      </c>
      <c r="N183" s="29" t="n">
        <f aca="false">'Task Breakdown'!R640</f>
        <v>3</v>
      </c>
      <c r="O183" s="29" t="n">
        <f aca="false">'Task Breakdown'!S640</f>
        <v>0</v>
      </c>
      <c r="P183" s="29" t="n">
        <f aca="false">'Task Breakdown'!T640</f>
        <v>0</v>
      </c>
      <c r="Q183" s="30" t="n">
        <f aca="false">SUM(E183:P183)</f>
        <v>3</v>
      </c>
      <c r="R183" s="31" t="n">
        <f aca="false">IF($Q$199&gt;0,Q183/$Q$199,0)</f>
        <v>0.000551369233596765</v>
      </c>
    </row>
    <row r="184" customFormat="false" ht="23.85" hidden="false" customHeight="false" outlineLevel="0" collapsed="false">
      <c r="A184" s="23" t="s">
        <v>360</v>
      </c>
      <c r="B184" s="23" t="s">
        <v>226</v>
      </c>
      <c r="C184" s="23" t="s">
        <v>45</v>
      </c>
      <c r="D184" s="23" t="s">
        <v>227</v>
      </c>
      <c r="E184" s="24" t="n">
        <f aca="false">SUM(E185:E187)</f>
        <v>16</v>
      </c>
      <c r="F184" s="24" t="n">
        <f aca="false">SUM(F185:F187)</f>
        <v>0</v>
      </c>
      <c r="G184" s="24" t="n">
        <f aca="false">SUM(G185:G187)</f>
        <v>0</v>
      </c>
      <c r="H184" s="24" t="n">
        <f aca="false">SUM(H185:H187)</f>
        <v>0</v>
      </c>
      <c r="I184" s="24" t="n">
        <f aca="false">SUM(I185:I187)</f>
        <v>0</v>
      </c>
      <c r="J184" s="24" t="n">
        <f aca="false">SUM(J185:J187)</f>
        <v>130</v>
      </c>
      <c r="K184" s="24" t="n">
        <f aca="false">SUM(K185:K187)</f>
        <v>33</v>
      </c>
      <c r="L184" s="24" t="n">
        <f aca="false">SUM(L185:L187)</f>
        <v>0</v>
      </c>
      <c r="M184" s="24" t="n">
        <f aca="false">SUM(M185:M187)</f>
        <v>66</v>
      </c>
      <c r="N184" s="24" t="n">
        <f aca="false">SUM(N185:N187)</f>
        <v>16</v>
      </c>
      <c r="O184" s="24" t="n">
        <f aca="false">SUM(O185:O187)</f>
        <v>33</v>
      </c>
      <c r="P184" s="24" t="n">
        <f aca="false">SUM(P185:P187)</f>
        <v>0</v>
      </c>
      <c r="Q184" s="24" t="n">
        <f aca="false">SUM(Q185:Q187)</f>
        <v>294</v>
      </c>
      <c r="R184" s="25" t="n">
        <f aca="false">IF($Q$199&gt;0,Q184/$Q$199,0)</f>
        <v>0.054034184892483</v>
      </c>
    </row>
    <row r="185" customFormat="false" ht="15" hidden="false" customHeight="false" outlineLevel="0" collapsed="false">
      <c r="A185" s="26" t="str">
        <f aca="false">'Task Breakdown'!A679</f>
        <v>UC-4.07.01</v>
      </c>
      <c r="B185" s="27" t="str">
        <f aca="false">'Task Breakdown'!G679</f>
        <v>L2 support for live agents (monitor, triage, answer users)</v>
      </c>
      <c r="C185" s="28"/>
      <c r="D185" s="28"/>
      <c r="E185" s="29" t="n">
        <f aca="false">'Task Breakdown'!I679</f>
        <v>0</v>
      </c>
      <c r="F185" s="29" t="n">
        <f aca="false">'Task Breakdown'!J679</f>
        <v>0</v>
      </c>
      <c r="G185" s="29" t="n">
        <f aca="false">'Task Breakdown'!K679</f>
        <v>0</v>
      </c>
      <c r="H185" s="29" t="n">
        <f aca="false">'Task Breakdown'!L679</f>
        <v>0</v>
      </c>
      <c r="I185" s="29" t="n">
        <f aca="false">'Task Breakdown'!M679</f>
        <v>0</v>
      </c>
      <c r="J185" s="29" t="n">
        <f aca="false">'Task Breakdown'!N679</f>
        <v>81</v>
      </c>
      <c r="K185" s="29" t="n">
        <f aca="false">'Task Breakdown'!O679</f>
        <v>33</v>
      </c>
      <c r="L185" s="29" t="n">
        <f aca="false">'Task Breakdown'!P679</f>
        <v>0</v>
      </c>
      <c r="M185" s="29" t="n">
        <f aca="false">'Task Breakdown'!Q679</f>
        <v>33</v>
      </c>
      <c r="N185" s="29" t="n">
        <f aca="false">'Task Breakdown'!R679</f>
        <v>0</v>
      </c>
      <c r="O185" s="29" t="n">
        <f aca="false">'Task Breakdown'!S679</f>
        <v>0</v>
      </c>
      <c r="P185" s="29" t="n">
        <f aca="false">'Task Breakdown'!T679</f>
        <v>0</v>
      </c>
      <c r="Q185" s="30" t="n">
        <f aca="false">SUM(E185:P185)</f>
        <v>147</v>
      </c>
      <c r="R185" s="31" t="n">
        <f aca="false">IF($Q$199&gt;0,Q185/$Q$199,0)</f>
        <v>0.0270170924462415</v>
      </c>
    </row>
    <row r="186" customFormat="false" ht="15" hidden="false" customHeight="false" outlineLevel="0" collapsed="false">
      <c r="A186" s="26" t="str">
        <f aca="false">'Task Breakdown'!A680</f>
        <v>UC-4.07.02</v>
      </c>
      <c r="B186" s="27" t="str">
        <f aca="false">'Task Breakdown'!G680</f>
        <v>Fix production defects and tune prompts / retrieval</v>
      </c>
      <c r="C186" s="28"/>
      <c r="D186" s="28"/>
      <c r="E186" s="29" t="n">
        <f aca="false">'Task Breakdown'!I680</f>
        <v>0</v>
      </c>
      <c r="F186" s="29" t="n">
        <f aca="false">'Task Breakdown'!J680</f>
        <v>0</v>
      </c>
      <c r="G186" s="29" t="n">
        <f aca="false">'Task Breakdown'!K680</f>
        <v>0</v>
      </c>
      <c r="H186" s="29" t="n">
        <f aca="false">'Task Breakdown'!L680</f>
        <v>0</v>
      </c>
      <c r="I186" s="29" t="n">
        <f aca="false">'Task Breakdown'!M680</f>
        <v>0</v>
      </c>
      <c r="J186" s="29" t="n">
        <f aca="false">'Task Breakdown'!N680</f>
        <v>49</v>
      </c>
      <c r="K186" s="29" t="n">
        <f aca="false">'Task Breakdown'!O680</f>
        <v>0</v>
      </c>
      <c r="L186" s="29" t="n">
        <f aca="false">'Task Breakdown'!P680</f>
        <v>0</v>
      </c>
      <c r="M186" s="29" t="n">
        <f aca="false">'Task Breakdown'!Q680</f>
        <v>33</v>
      </c>
      <c r="N186" s="29" t="n">
        <f aca="false">'Task Breakdown'!R680</f>
        <v>0</v>
      </c>
      <c r="O186" s="29" t="n">
        <f aca="false">'Task Breakdown'!S680</f>
        <v>33</v>
      </c>
      <c r="P186" s="29" t="n">
        <f aca="false">'Task Breakdown'!T680</f>
        <v>0</v>
      </c>
      <c r="Q186" s="30" t="n">
        <f aca="false">SUM(E186:P186)</f>
        <v>115</v>
      </c>
      <c r="R186" s="31" t="n">
        <f aca="false">IF($Q$199&gt;0,Q186/$Q$199,0)</f>
        <v>0.0211358206212093</v>
      </c>
    </row>
    <row r="187" customFormat="false" ht="15" hidden="false" customHeight="false" outlineLevel="0" collapsed="false">
      <c r="A187" s="26" t="str">
        <f aca="false">'Task Breakdown'!A681</f>
        <v>UC-4.07.03</v>
      </c>
      <c r="B187" s="27" t="str">
        <f aca="false">'Task Breakdown'!G681</f>
        <v>Weekly operations and quality review</v>
      </c>
      <c r="C187" s="28"/>
      <c r="D187" s="28"/>
      <c r="E187" s="29" t="n">
        <f aca="false">'Task Breakdown'!I681</f>
        <v>16</v>
      </c>
      <c r="F187" s="29" t="n">
        <f aca="false">'Task Breakdown'!J681</f>
        <v>0</v>
      </c>
      <c r="G187" s="29" t="n">
        <f aca="false">'Task Breakdown'!K681</f>
        <v>0</v>
      </c>
      <c r="H187" s="29" t="n">
        <f aca="false">'Task Breakdown'!L681</f>
        <v>0</v>
      </c>
      <c r="I187" s="29" t="n">
        <f aca="false">'Task Breakdown'!M681</f>
        <v>0</v>
      </c>
      <c r="J187" s="29" t="n">
        <f aca="false">'Task Breakdown'!N681</f>
        <v>0</v>
      </c>
      <c r="K187" s="29" t="n">
        <f aca="false">'Task Breakdown'!O681</f>
        <v>0</v>
      </c>
      <c r="L187" s="29" t="n">
        <f aca="false">'Task Breakdown'!P681</f>
        <v>0</v>
      </c>
      <c r="M187" s="29" t="n">
        <f aca="false">'Task Breakdown'!Q681</f>
        <v>0</v>
      </c>
      <c r="N187" s="29" t="n">
        <f aca="false">'Task Breakdown'!R681</f>
        <v>16</v>
      </c>
      <c r="O187" s="29" t="n">
        <f aca="false">'Task Breakdown'!S681</f>
        <v>0</v>
      </c>
      <c r="P187" s="29" t="n">
        <f aca="false">'Task Breakdown'!T681</f>
        <v>0</v>
      </c>
      <c r="Q187" s="30" t="n">
        <f aca="false">SUM(E187:P187)</f>
        <v>32</v>
      </c>
      <c r="R187" s="31" t="n">
        <f aca="false">IF($Q$199&gt;0,Q187/$Q$199,0)</f>
        <v>0.00588127182503216</v>
      </c>
    </row>
    <row r="188" customFormat="false" ht="15" hidden="false" customHeight="false" outlineLevel="0" collapsed="false">
      <c r="A188" s="9"/>
      <c r="B188" s="10" t="s">
        <v>159</v>
      </c>
      <c r="C188" s="9"/>
      <c r="D188" s="9"/>
      <c r="E188" s="32" t="n">
        <f aca="false">E130+E141+E151+E162+E171+E179+E184</f>
        <v>28</v>
      </c>
      <c r="F188" s="32" t="n">
        <f aca="false">F130+F141+F151+F162+F171+F179+F184</f>
        <v>16</v>
      </c>
      <c r="G188" s="32" t="n">
        <f aca="false">G130+G141+G151+G162+G171+G179+G184</f>
        <v>96</v>
      </c>
      <c r="H188" s="32" t="n">
        <f aca="false">H130+H141+H151+H162+H171+H179+H184</f>
        <v>119</v>
      </c>
      <c r="I188" s="32" t="n">
        <f aca="false">I130+I141+I151+I162+I171+I179+I184</f>
        <v>110</v>
      </c>
      <c r="J188" s="32" t="n">
        <f aca="false">J130+J141+J151+J162+J171+J179+J184</f>
        <v>699</v>
      </c>
      <c r="K188" s="32" t="n">
        <f aca="false">K130+K141+K151+K162+K171+K179+K184</f>
        <v>154</v>
      </c>
      <c r="L188" s="32" t="n">
        <f aca="false">L130+L141+L151+L162+L171+L179+L184</f>
        <v>0</v>
      </c>
      <c r="M188" s="32" t="n">
        <f aca="false">M130+M141+M151+M162+M171+M179+M184</f>
        <v>358</v>
      </c>
      <c r="N188" s="32" t="n">
        <f aca="false">N130+N141+N151+N162+N171+N179+N184</f>
        <v>259</v>
      </c>
      <c r="O188" s="32" t="n">
        <f aca="false">O130+O141+O151+O162+O171+O179+O184</f>
        <v>261</v>
      </c>
      <c r="P188" s="32" t="n">
        <f aca="false">P130+P141+P151+P162+P171+P179+P184</f>
        <v>155</v>
      </c>
      <c r="Q188" s="32" t="n">
        <f aca="false">Q130+Q141+Q151+Q162+Q171+Q179+Q184</f>
        <v>2255</v>
      </c>
      <c r="R188" s="33" t="n">
        <f aca="false">IF($Q$199&gt;0,Q188/$Q$199,0)</f>
        <v>0.414445873920235</v>
      </c>
    </row>
    <row r="190" customFormat="false" ht="15" hidden="false" customHeight="false" outlineLevel="0" collapsed="false">
      <c r="A190" s="21" t="s">
        <v>361</v>
      </c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</row>
    <row r="191" customFormat="false" ht="15" hidden="false" customHeight="false" outlineLevel="0" collapsed="false">
      <c r="A191" s="23" t="s">
        <v>362</v>
      </c>
      <c r="B191" s="23" t="s">
        <v>162</v>
      </c>
      <c r="C191" s="23" t="s">
        <v>46</v>
      </c>
      <c r="D191" s="23" t="s">
        <v>163</v>
      </c>
      <c r="E191" s="24" t="n">
        <f aca="false">SUM(E192:E196)</f>
        <v>366</v>
      </c>
      <c r="F191" s="24" t="n">
        <f aca="false">SUM(F192:F196)</f>
        <v>24</v>
      </c>
      <c r="G191" s="24" t="n">
        <f aca="false">SUM(G192:G196)</f>
        <v>0</v>
      </c>
      <c r="H191" s="24" t="n">
        <f aca="false">SUM(H192:H196)</f>
        <v>0</v>
      </c>
      <c r="I191" s="24" t="n">
        <f aca="false">SUM(I192:I196)</f>
        <v>24</v>
      </c>
      <c r="J191" s="24" t="n">
        <f aca="false">SUM(J192:J196)</f>
        <v>0</v>
      </c>
      <c r="K191" s="24" t="n">
        <f aca="false">SUM(K192:K196)</f>
        <v>0</v>
      </c>
      <c r="L191" s="24" t="n">
        <f aca="false">SUM(L192:L196)</f>
        <v>0</v>
      </c>
      <c r="M191" s="24" t="n">
        <f aca="false">SUM(M192:M196)</f>
        <v>0</v>
      </c>
      <c r="N191" s="24" t="n">
        <f aca="false">SUM(N192:N196)</f>
        <v>0</v>
      </c>
      <c r="O191" s="24" t="n">
        <f aca="false">SUM(O192:O196)</f>
        <v>0</v>
      </c>
      <c r="P191" s="24" t="n">
        <f aca="false">SUM(P192:P196)</f>
        <v>0</v>
      </c>
      <c r="Q191" s="24" t="n">
        <f aca="false">SUM(Q192:Q196)</f>
        <v>414</v>
      </c>
      <c r="R191" s="25" t="n">
        <f aca="false">IF($Q$199&gt;0,Q191/$Q$199,0)</f>
        <v>0.0760889542363536</v>
      </c>
    </row>
    <row r="192" customFormat="false" ht="15" hidden="false" customHeight="false" outlineLevel="0" collapsed="false">
      <c r="A192" s="26" t="str">
        <f aca="false">'Task Breakdown'!A656</f>
        <v>PM-4.01.01</v>
      </c>
      <c r="B192" s="27" t="str">
        <f aca="false">'Task Breakdown'!G656</f>
        <v>Phase plan and schedule</v>
      </c>
      <c r="C192" s="28"/>
      <c r="D192" s="28"/>
      <c r="E192" s="29" t="n">
        <f aca="false">'Task Breakdown'!I656</f>
        <v>73</v>
      </c>
      <c r="F192" s="29" t="n">
        <f aca="false">'Task Breakdown'!J656</f>
        <v>0</v>
      </c>
      <c r="G192" s="29" t="n">
        <f aca="false">'Task Breakdown'!K656</f>
        <v>0</v>
      </c>
      <c r="H192" s="29" t="n">
        <f aca="false">'Task Breakdown'!L656</f>
        <v>0</v>
      </c>
      <c r="I192" s="29" t="n">
        <f aca="false">'Task Breakdown'!M656</f>
        <v>0</v>
      </c>
      <c r="J192" s="29" t="n">
        <f aca="false">'Task Breakdown'!N656</f>
        <v>0</v>
      </c>
      <c r="K192" s="29" t="n">
        <f aca="false">'Task Breakdown'!O656</f>
        <v>0</v>
      </c>
      <c r="L192" s="29" t="n">
        <f aca="false">'Task Breakdown'!P656</f>
        <v>0</v>
      </c>
      <c r="M192" s="29" t="n">
        <f aca="false">'Task Breakdown'!Q656</f>
        <v>0</v>
      </c>
      <c r="N192" s="29" t="n">
        <f aca="false">'Task Breakdown'!R656</f>
        <v>0</v>
      </c>
      <c r="O192" s="29" t="n">
        <f aca="false">'Task Breakdown'!S656</f>
        <v>0</v>
      </c>
      <c r="P192" s="29" t="n">
        <f aca="false">'Task Breakdown'!T656</f>
        <v>0</v>
      </c>
      <c r="Q192" s="30" t="n">
        <f aca="false">SUM(E192:P192)</f>
        <v>73</v>
      </c>
      <c r="R192" s="31" t="n">
        <f aca="false">IF($Q$199&gt;0,Q192/$Q$199,0)</f>
        <v>0.0134166513508546</v>
      </c>
    </row>
    <row r="193" customFormat="false" ht="15" hidden="false" customHeight="false" outlineLevel="0" collapsed="false">
      <c r="A193" s="26" t="str">
        <f aca="false">'Task Breakdown'!A657</f>
        <v>PM-4.01.02</v>
      </c>
      <c r="B193" s="27" t="str">
        <f aca="false">'Task Breakdown'!G657</f>
        <v>Weekly status reporting and RAID log</v>
      </c>
      <c r="C193" s="28"/>
      <c r="D193" s="28"/>
      <c r="E193" s="29" t="n">
        <f aca="false">'Task Breakdown'!I657</f>
        <v>122</v>
      </c>
      <c r="F193" s="29" t="n">
        <f aca="false">'Task Breakdown'!J657</f>
        <v>0</v>
      </c>
      <c r="G193" s="29" t="n">
        <f aca="false">'Task Breakdown'!K657</f>
        <v>0</v>
      </c>
      <c r="H193" s="29" t="n">
        <f aca="false">'Task Breakdown'!L657</f>
        <v>0</v>
      </c>
      <c r="I193" s="29" t="n">
        <f aca="false">'Task Breakdown'!M657</f>
        <v>0</v>
      </c>
      <c r="J193" s="29" t="n">
        <f aca="false">'Task Breakdown'!N657</f>
        <v>0</v>
      </c>
      <c r="K193" s="29" t="n">
        <f aca="false">'Task Breakdown'!O657</f>
        <v>0</v>
      </c>
      <c r="L193" s="29" t="n">
        <f aca="false">'Task Breakdown'!P657</f>
        <v>0</v>
      </c>
      <c r="M193" s="29" t="n">
        <f aca="false">'Task Breakdown'!Q657</f>
        <v>0</v>
      </c>
      <c r="N193" s="29" t="n">
        <f aca="false">'Task Breakdown'!R657</f>
        <v>0</v>
      </c>
      <c r="O193" s="29" t="n">
        <f aca="false">'Task Breakdown'!S657</f>
        <v>0</v>
      </c>
      <c r="P193" s="29" t="n">
        <f aca="false">'Task Breakdown'!T657</f>
        <v>0</v>
      </c>
      <c r="Q193" s="30" t="n">
        <f aca="false">SUM(E193:P193)</f>
        <v>122</v>
      </c>
      <c r="R193" s="31" t="n">
        <f aca="false">IF($Q$199&gt;0,Q193/$Q$199,0)</f>
        <v>0.0224223488329351</v>
      </c>
    </row>
    <row r="194" customFormat="false" ht="15" hidden="false" customHeight="false" outlineLevel="0" collapsed="false">
      <c r="A194" s="26" t="str">
        <f aca="false">'Task Breakdown'!A658</f>
        <v>PM-4.01.03</v>
      </c>
      <c r="B194" s="27" t="str">
        <f aca="false">'Task Breakdown'!G658</f>
        <v>Steering committee preparation</v>
      </c>
      <c r="C194" s="28"/>
      <c r="D194" s="28"/>
      <c r="E194" s="29" t="n">
        <f aca="false">'Task Breakdown'!I658</f>
        <v>73</v>
      </c>
      <c r="F194" s="29" t="n">
        <f aca="false">'Task Breakdown'!J658</f>
        <v>0</v>
      </c>
      <c r="G194" s="29" t="n">
        <f aca="false">'Task Breakdown'!K658</f>
        <v>0</v>
      </c>
      <c r="H194" s="29" t="n">
        <f aca="false">'Task Breakdown'!L658</f>
        <v>0</v>
      </c>
      <c r="I194" s="29" t="n">
        <f aca="false">'Task Breakdown'!M658</f>
        <v>0</v>
      </c>
      <c r="J194" s="29" t="n">
        <f aca="false">'Task Breakdown'!N658</f>
        <v>0</v>
      </c>
      <c r="K194" s="29" t="n">
        <f aca="false">'Task Breakdown'!O658</f>
        <v>0</v>
      </c>
      <c r="L194" s="29" t="n">
        <f aca="false">'Task Breakdown'!P658</f>
        <v>0</v>
      </c>
      <c r="M194" s="29" t="n">
        <f aca="false">'Task Breakdown'!Q658</f>
        <v>0</v>
      </c>
      <c r="N194" s="29" t="n">
        <f aca="false">'Task Breakdown'!R658</f>
        <v>0</v>
      </c>
      <c r="O194" s="29" t="n">
        <f aca="false">'Task Breakdown'!S658</f>
        <v>0</v>
      </c>
      <c r="P194" s="29" t="n">
        <f aca="false">'Task Breakdown'!T658</f>
        <v>0</v>
      </c>
      <c r="Q194" s="30" t="n">
        <f aca="false">SUM(E194:P194)</f>
        <v>73</v>
      </c>
      <c r="R194" s="31" t="n">
        <f aca="false">IF($Q$199&gt;0,Q194/$Q$199,0)</f>
        <v>0.0134166513508546</v>
      </c>
    </row>
    <row r="195" customFormat="false" ht="15" hidden="false" customHeight="false" outlineLevel="0" collapsed="false">
      <c r="A195" s="26" t="str">
        <f aca="false">'Task Breakdown'!A659</f>
        <v>PM-4.01.04</v>
      </c>
      <c r="B195" s="27" t="str">
        <f aca="false">'Task Breakdown'!G659</f>
        <v>Architecture design authority reviews</v>
      </c>
      <c r="C195" s="28"/>
      <c r="D195" s="28"/>
      <c r="E195" s="29" t="n">
        <f aca="false">'Task Breakdown'!I659</f>
        <v>0</v>
      </c>
      <c r="F195" s="29" t="n">
        <f aca="false">'Task Breakdown'!J659</f>
        <v>24</v>
      </c>
      <c r="G195" s="29" t="n">
        <f aca="false">'Task Breakdown'!K659</f>
        <v>0</v>
      </c>
      <c r="H195" s="29" t="n">
        <f aca="false">'Task Breakdown'!L659</f>
        <v>0</v>
      </c>
      <c r="I195" s="29" t="n">
        <f aca="false">'Task Breakdown'!M659</f>
        <v>24</v>
      </c>
      <c r="J195" s="29" t="n">
        <f aca="false">'Task Breakdown'!N659</f>
        <v>0</v>
      </c>
      <c r="K195" s="29" t="n">
        <f aca="false">'Task Breakdown'!O659</f>
        <v>0</v>
      </c>
      <c r="L195" s="29" t="n">
        <f aca="false">'Task Breakdown'!P659</f>
        <v>0</v>
      </c>
      <c r="M195" s="29" t="n">
        <f aca="false">'Task Breakdown'!Q659</f>
        <v>0</v>
      </c>
      <c r="N195" s="29" t="n">
        <f aca="false">'Task Breakdown'!R659</f>
        <v>0</v>
      </c>
      <c r="O195" s="29" t="n">
        <f aca="false">'Task Breakdown'!S659</f>
        <v>0</v>
      </c>
      <c r="P195" s="29" t="n">
        <f aca="false">'Task Breakdown'!T659</f>
        <v>0</v>
      </c>
      <c r="Q195" s="30" t="n">
        <f aca="false">SUM(E195:P195)</f>
        <v>48</v>
      </c>
      <c r="R195" s="31" t="n">
        <f aca="false">IF($Q$199&gt;0,Q195/$Q$199,0)</f>
        <v>0.00882190773754825</v>
      </c>
    </row>
    <row r="196" customFormat="false" ht="15" hidden="false" customHeight="false" outlineLevel="0" collapsed="false">
      <c r="A196" s="26" t="str">
        <f aca="false">'Task Breakdown'!A660</f>
        <v>PM-4.01.05</v>
      </c>
      <c r="B196" s="27" t="str">
        <f aca="false">'Task Breakdown'!G660</f>
        <v>Resource and vendor coordination</v>
      </c>
      <c r="C196" s="28"/>
      <c r="D196" s="28"/>
      <c r="E196" s="29" t="n">
        <f aca="false">'Task Breakdown'!I660</f>
        <v>98</v>
      </c>
      <c r="F196" s="29" t="n">
        <f aca="false">'Task Breakdown'!J660</f>
        <v>0</v>
      </c>
      <c r="G196" s="29" t="n">
        <f aca="false">'Task Breakdown'!K660</f>
        <v>0</v>
      </c>
      <c r="H196" s="29" t="n">
        <f aca="false">'Task Breakdown'!L660</f>
        <v>0</v>
      </c>
      <c r="I196" s="29" t="n">
        <f aca="false">'Task Breakdown'!M660</f>
        <v>0</v>
      </c>
      <c r="J196" s="29" t="n">
        <f aca="false">'Task Breakdown'!N660</f>
        <v>0</v>
      </c>
      <c r="K196" s="29" t="n">
        <f aca="false">'Task Breakdown'!O660</f>
        <v>0</v>
      </c>
      <c r="L196" s="29" t="n">
        <f aca="false">'Task Breakdown'!P660</f>
        <v>0</v>
      </c>
      <c r="M196" s="29" t="n">
        <f aca="false">'Task Breakdown'!Q660</f>
        <v>0</v>
      </c>
      <c r="N196" s="29" t="n">
        <f aca="false">'Task Breakdown'!R660</f>
        <v>0</v>
      </c>
      <c r="O196" s="29" t="n">
        <f aca="false">'Task Breakdown'!S660</f>
        <v>0</v>
      </c>
      <c r="P196" s="29" t="n">
        <f aca="false">'Task Breakdown'!T660</f>
        <v>0</v>
      </c>
      <c r="Q196" s="30" t="n">
        <f aca="false">SUM(E196:P196)</f>
        <v>98</v>
      </c>
      <c r="R196" s="31" t="n">
        <f aca="false">IF($Q$199&gt;0,Q196/$Q$199,0)</f>
        <v>0.018011394964161</v>
      </c>
    </row>
    <row r="197" customFormat="false" ht="15" hidden="false" customHeight="false" outlineLevel="0" collapsed="false">
      <c r="A197" s="9"/>
      <c r="B197" s="10" t="s">
        <v>164</v>
      </c>
      <c r="C197" s="9"/>
      <c r="D197" s="9"/>
      <c r="E197" s="32" t="n">
        <f aca="false">E191</f>
        <v>366</v>
      </c>
      <c r="F197" s="32" t="n">
        <f aca="false">F191</f>
        <v>24</v>
      </c>
      <c r="G197" s="32" t="n">
        <f aca="false">G191</f>
        <v>0</v>
      </c>
      <c r="H197" s="32" t="n">
        <f aca="false">H191</f>
        <v>0</v>
      </c>
      <c r="I197" s="32" t="n">
        <f aca="false">I191</f>
        <v>24</v>
      </c>
      <c r="J197" s="32" t="n">
        <f aca="false">J191</f>
        <v>0</v>
      </c>
      <c r="K197" s="32" t="n">
        <f aca="false">K191</f>
        <v>0</v>
      </c>
      <c r="L197" s="32" t="n">
        <f aca="false">L191</f>
        <v>0</v>
      </c>
      <c r="M197" s="32" t="n">
        <f aca="false">M191</f>
        <v>0</v>
      </c>
      <c r="N197" s="32" t="n">
        <f aca="false">N191</f>
        <v>0</v>
      </c>
      <c r="O197" s="32" t="n">
        <f aca="false">O191</f>
        <v>0</v>
      </c>
      <c r="P197" s="32" t="n">
        <f aca="false">P191</f>
        <v>0</v>
      </c>
      <c r="Q197" s="32" t="n">
        <f aca="false">Q191</f>
        <v>414</v>
      </c>
      <c r="R197" s="33" t="n">
        <f aca="false">IF($Q$199&gt;0,Q197/$Q$199,0)</f>
        <v>0.0760889542363536</v>
      </c>
    </row>
    <row r="199" customFormat="false" ht="15" hidden="false" customHeight="false" outlineLevel="0" collapsed="false">
      <c r="A199" s="34"/>
      <c r="B199" s="35" t="s">
        <v>363</v>
      </c>
      <c r="C199" s="34"/>
      <c r="D199" s="34"/>
      <c r="E199" s="36" t="n">
        <f aca="false">E77+E127+E188+E197</f>
        <v>402</v>
      </c>
      <c r="F199" s="36" t="n">
        <f aca="false">F77+F127+F188+F197</f>
        <v>185</v>
      </c>
      <c r="G199" s="36" t="n">
        <f aca="false">G77+G127+G188+G197</f>
        <v>817</v>
      </c>
      <c r="H199" s="36" t="n">
        <f aca="false">H77+H127+H188+H197</f>
        <v>244</v>
      </c>
      <c r="I199" s="36" t="n">
        <f aca="false">I77+I127+I188+I197</f>
        <v>195</v>
      </c>
      <c r="J199" s="36" t="n">
        <f aca="false">J77+J127+J188+J197</f>
        <v>1143</v>
      </c>
      <c r="K199" s="36" t="n">
        <f aca="false">K77+K127+K188+K197</f>
        <v>661</v>
      </c>
      <c r="L199" s="36" t="n">
        <f aca="false">L77+L127+L188+L197</f>
        <v>201</v>
      </c>
      <c r="M199" s="36" t="n">
        <f aca="false">M77+M127+M188+M197</f>
        <v>406</v>
      </c>
      <c r="N199" s="36" t="n">
        <f aca="false">N77+N127+N188+N197</f>
        <v>446</v>
      </c>
      <c r="O199" s="36" t="n">
        <f aca="false">O77+O127+O188+O197</f>
        <v>488</v>
      </c>
      <c r="P199" s="36" t="n">
        <f aca="false">P77+P127+P188+P197</f>
        <v>253</v>
      </c>
      <c r="Q199" s="36" t="n">
        <f aca="false">Q77+Q127+Q188+Q197</f>
        <v>5441</v>
      </c>
      <c r="R199" s="37" t="n">
        <f aca="false">IF($Q$199&gt;0,Q199/$Q$199,0)</f>
        <v>1</v>
      </c>
    </row>
    <row r="201" customFormat="false" ht="15" hidden="false" customHeight="false" outlineLevel="0" collapsed="false">
      <c r="B201" s="38" t="s">
        <v>166</v>
      </c>
      <c r="Q201" s="39" t="n">
        <f aca="false">IF(Resources!$B$3&gt;0,Q199/Resources!$B$3,0)</f>
        <v>136.025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20"/>
    <col collapsed="false" customWidth="true" hidden="false" outlineLevel="0" max="7" min="7" style="0" width="32"/>
    <col collapsed="false" customWidth="true" hidden="false" outlineLevel="0" max="20" min="8" style="0" width="7"/>
    <col collapsed="false" customWidth="true" hidden="false" outlineLevel="0" max="21" min="21" style="0" width="11"/>
  </cols>
  <sheetData>
    <row r="1" customFormat="false" ht="17.35" hidden="false" customHeight="false" outlineLevel="0" collapsed="false">
      <c r="A1" s="1" t="s">
        <v>364</v>
      </c>
    </row>
    <row r="2" customFormat="false" ht="15" hidden="false" customHeight="false" outlineLevel="0" collapsed="false">
      <c r="A2" s="2" t="s">
        <v>365</v>
      </c>
    </row>
    <row r="4" customFormat="false" ht="30" hidden="false" customHeight="true" outlineLevel="0" collapsed="false">
      <c r="A4" s="4" t="s">
        <v>92</v>
      </c>
      <c r="B4" s="4" t="s">
        <v>49</v>
      </c>
      <c r="C4" s="4" t="s">
        <v>366</v>
      </c>
      <c r="D4" s="4" t="s">
        <v>367</v>
      </c>
      <c r="E4" s="4" t="s">
        <v>368</v>
      </c>
      <c r="F4" s="4" t="s">
        <v>94</v>
      </c>
      <c r="G4" s="4" t="s">
        <v>95</v>
      </c>
      <c r="H4" s="4" t="s">
        <v>369</v>
      </c>
      <c r="I4" s="4" t="s">
        <v>11</v>
      </c>
      <c r="J4" s="4" t="s">
        <v>13</v>
      </c>
      <c r="K4" s="4" t="s">
        <v>15</v>
      </c>
      <c r="L4" s="4" t="s">
        <v>17</v>
      </c>
      <c r="M4" s="4" t="s">
        <v>19</v>
      </c>
      <c r="N4" s="4" t="s">
        <v>21</v>
      </c>
      <c r="O4" s="4" t="s">
        <v>23</v>
      </c>
      <c r="P4" s="4" t="s">
        <v>25</v>
      </c>
      <c r="Q4" s="4" t="s">
        <v>27</v>
      </c>
      <c r="R4" s="4" t="s">
        <v>29</v>
      </c>
      <c r="S4" s="4" t="s">
        <v>31</v>
      </c>
      <c r="T4" s="4" t="s">
        <v>33</v>
      </c>
      <c r="U4" s="4" t="s">
        <v>9</v>
      </c>
    </row>
    <row r="5" customFormat="false" ht="15" hidden="false" customHeight="false" outlineLevel="0" collapsed="false">
      <c r="A5" s="40" t="s">
        <v>98</v>
      </c>
      <c r="B5" s="40" t="s">
        <v>37</v>
      </c>
      <c r="C5" s="40" t="s">
        <v>5</v>
      </c>
      <c r="D5" s="40" t="s">
        <v>370</v>
      </c>
      <c r="E5" s="40" t="s">
        <v>99</v>
      </c>
      <c r="F5" s="40" t="s">
        <v>42</v>
      </c>
      <c r="G5" s="40" t="s">
        <v>100</v>
      </c>
      <c r="H5" s="41" t="n">
        <f aca="false">COUNTIF('Task Breakdown'!$B$5:$B$681,$A5)</f>
        <v>12</v>
      </c>
      <c r="I5" s="29" t="n">
        <f aca="false">SUMIFS('Task Breakdown'!$I$5:$I$681,'Task Breakdown'!$B$5:$B$681,$A5)</f>
        <v>0</v>
      </c>
      <c r="J5" s="29" t="n">
        <f aca="false">SUMIFS('Task Breakdown'!$J$5:$J$681,'Task Breakdown'!$B$5:$B$681,$A5)</f>
        <v>77</v>
      </c>
      <c r="K5" s="29" t="n">
        <f aca="false">SUMIFS('Task Breakdown'!$K$5:$K$681,'Task Breakdown'!$B$5:$B$681,$A5)</f>
        <v>197</v>
      </c>
      <c r="L5" s="29" t="n">
        <f aca="false">SUMIFS('Task Breakdown'!$L$5:$L$681,'Task Breakdown'!$B$5:$B$681,$A5)</f>
        <v>40</v>
      </c>
      <c r="M5" s="29" t="n">
        <f aca="false">SUMIFS('Task Breakdown'!$M$5:$M$681,'Task Breakdown'!$B$5:$B$681,$A5)</f>
        <v>0</v>
      </c>
      <c r="N5" s="29" t="n">
        <f aca="false">SUMIFS('Task Breakdown'!$N$5:$N$681,'Task Breakdown'!$B$5:$B$681,$A5)</f>
        <v>0</v>
      </c>
      <c r="O5" s="29" t="n">
        <f aca="false">SUMIFS('Task Breakdown'!$O$5:$O$681,'Task Breakdown'!$B$5:$B$681,$A5)</f>
        <v>0</v>
      </c>
      <c r="P5" s="29" t="n">
        <f aca="false">SUMIFS('Task Breakdown'!$P$5:$P$681,'Task Breakdown'!$B$5:$B$681,$A5)</f>
        <v>0</v>
      </c>
      <c r="Q5" s="29" t="n">
        <f aca="false">SUMIFS('Task Breakdown'!$Q$5:$Q$681,'Task Breakdown'!$B$5:$B$681,$A5)</f>
        <v>0</v>
      </c>
      <c r="R5" s="29" t="n">
        <f aca="false">SUMIFS('Task Breakdown'!$R$5:$R$681,'Task Breakdown'!$B$5:$B$681,$A5)</f>
        <v>0</v>
      </c>
      <c r="S5" s="29" t="n">
        <f aca="false">SUMIFS('Task Breakdown'!$S$5:$S$681,'Task Breakdown'!$B$5:$B$681,$A5)</f>
        <v>20</v>
      </c>
      <c r="T5" s="29" t="n">
        <f aca="false">SUMIFS('Task Breakdown'!$T$5:$T$681,'Task Breakdown'!$B$5:$B$681,$A5)</f>
        <v>0</v>
      </c>
      <c r="U5" s="42" t="n">
        <f aca="false">SUM(I5:T5)</f>
        <v>334</v>
      </c>
    </row>
    <row r="6" customFormat="false" ht="15" hidden="false" customHeight="false" outlineLevel="0" collapsed="false">
      <c r="A6" s="40" t="s">
        <v>101</v>
      </c>
      <c r="B6" s="40" t="s">
        <v>37</v>
      </c>
      <c r="C6" s="40" t="s">
        <v>5</v>
      </c>
      <c r="D6" s="40" t="s">
        <v>370</v>
      </c>
      <c r="E6" s="40" t="s">
        <v>102</v>
      </c>
      <c r="F6" s="40" t="s">
        <v>42</v>
      </c>
      <c r="G6" s="40" t="s">
        <v>103</v>
      </c>
      <c r="H6" s="41" t="n">
        <f aca="false">COUNTIF('Task Breakdown'!$B$5:$B$681,$A6)</f>
        <v>8</v>
      </c>
      <c r="I6" s="29" t="n">
        <f aca="false">SUMIFS('Task Breakdown'!$I$5:$I$681,'Task Breakdown'!$B$5:$B$681,$A6)</f>
        <v>0</v>
      </c>
      <c r="J6" s="29" t="n">
        <f aca="false">SUMIFS('Task Breakdown'!$J$5:$J$681,'Task Breakdown'!$B$5:$B$681,$A6)</f>
        <v>24</v>
      </c>
      <c r="K6" s="29" t="n">
        <f aca="false">SUMIFS('Task Breakdown'!$K$5:$K$681,'Task Breakdown'!$B$5:$B$681,$A6)</f>
        <v>16</v>
      </c>
      <c r="L6" s="29" t="n">
        <f aca="false">SUMIFS('Task Breakdown'!$L$5:$L$681,'Task Breakdown'!$B$5:$B$681,$A6)</f>
        <v>89</v>
      </c>
      <c r="M6" s="29" t="n">
        <f aca="false">SUMIFS('Task Breakdown'!$M$5:$M$681,'Task Breakdown'!$B$5:$B$681,$A6)</f>
        <v>0</v>
      </c>
      <c r="N6" s="29" t="n">
        <f aca="false">SUMIFS('Task Breakdown'!$N$5:$N$681,'Task Breakdown'!$B$5:$B$681,$A6)</f>
        <v>0</v>
      </c>
      <c r="O6" s="29" t="n">
        <f aca="false">SUMIFS('Task Breakdown'!$O$5:$O$681,'Task Breakdown'!$B$5:$B$681,$A6)</f>
        <v>0</v>
      </c>
      <c r="P6" s="29" t="n">
        <f aca="false">SUMIFS('Task Breakdown'!$P$5:$P$681,'Task Breakdown'!$B$5:$B$681,$A6)</f>
        <v>0</v>
      </c>
      <c r="Q6" s="29" t="n">
        <f aca="false">SUMIFS('Task Breakdown'!$Q$5:$Q$681,'Task Breakdown'!$B$5:$B$681,$A6)</f>
        <v>0</v>
      </c>
      <c r="R6" s="29" t="n">
        <f aca="false">SUMIFS('Task Breakdown'!$R$5:$R$681,'Task Breakdown'!$B$5:$B$681,$A6)</f>
        <v>0</v>
      </c>
      <c r="S6" s="29" t="n">
        <f aca="false">SUMIFS('Task Breakdown'!$S$5:$S$681,'Task Breakdown'!$B$5:$B$681,$A6)</f>
        <v>16</v>
      </c>
      <c r="T6" s="29" t="n">
        <f aca="false">SUMIFS('Task Breakdown'!$T$5:$T$681,'Task Breakdown'!$B$5:$B$681,$A6)</f>
        <v>0</v>
      </c>
      <c r="U6" s="42" t="n">
        <f aca="false">SUM(I6:T6)</f>
        <v>145</v>
      </c>
    </row>
    <row r="7" customFormat="false" ht="15" hidden="false" customHeight="false" outlineLevel="0" collapsed="false">
      <c r="A7" s="40" t="s">
        <v>104</v>
      </c>
      <c r="B7" s="40" t="s">
        <v>37</v>
      </c>
      <c r="C7" s="40" t="s">
        <v>5</v>
      </c>
      <c r="D7" s="40" t="s">
        <v>370</v>
      </c>
      <c r="E7" s="40" t="s">
        <v>105</v>
      </c>
      <c r="F7" s="40" t="s">
        <v>42</v>
      </c>
      <c r="G7" s="40" t="s">
        <v>106</v>
      </c>
      <c r="H7" s="41" t="n">
        <f aca="false">COUNTIF('Task Breakdown'!$B$5:$B$681,$A7)</f>
        <v>7</v>
      </c>
      <c r="I7" s="29" t="n">
        <f aca="false">SUMIFS('Task Breakdown'!$I$5:$I$681,'Task Breakdown'!$B$5:$B$681,$A7)</f>
        <v>0</v>
      </c>
      <c r="J7" s="29" t="n">
        <f aca="false">SUMIFS('Task Breakdown'!$J$5:$J$681,'Task Breakdown'!$B$5:$B$681,$A7)</f>
        <v>27</v>
      </c>
      <c r="K7" s="29" t="n">
        <f aca="false">SUMIFS('Task Breakdown'!$K$5:$K$681,'Task Breakdown'!$B$5:$B$681,$A7)</f>
        <v>0</v>
      </c>
      <c r="L7" s="29" t="n">
        <f aca="false">SUMIFS('Task Breakdown'!$L$5:$L$681,'Task Breakdown'!$B$5:$B$681,$A7)</f>
        <v>86</v>
      </c>
      <c r="M7" s="29" t="n">
        <f aca="false">SUMIFS('Task Breakdown'!$M$5:$M$681,'Task Breakdown'!$B$5:$B$681,$A7)</f>
        <v>0</v>
      </c>
      <c r="N7" s="29" t="n">
        <f aca="false">SUMIFS('Task Breakdown'!$N$5:$N$681,'Task Breakdown'!$B$5:$B$681,$A7)</f>
        <v>0</v>
      </c>
      <c r="O7" s="29" t="n">
        <f aca="false">SUMIFS('Task Breakdown'!$O$5:$O$681,'Task Breakdown'!$B$5:$B$681,$A7)</f>
        <v>0</v>
      </c>
      <c r="P7" s="29" t="n">
        <f aca="false">SUMIFS('Task Breakdown'!$P$5:$P$681,'Task Breakdown'!$B$5:$B$681,$A7)</f>
        <v>0</v>
      </c>
      <c r="Q7" s="29" t="n">
        <f aca="false">SUMIFS('Task Breakdown'!$Q$5:$Q$681,'Task Breakdown'!$B$5:$B$681,$A7)</f>
        <v>0</v>
      </c>
      <c r="R7" s="29" t="n">
        <f aca="false">SUMIFS('Task Breakdown'!$R$5:$R$681,'Task Breakdown'!$B$5:$B$681,$A7)</f>
        <v>20</v>
      </c>
      <c r="S7" s="29" t="n">
        <f aca="false">SUMIFS('Task Breakdown'!$S$5:$S$681,'Task Breakdown'!$B$5:$B$681,$A7)</f>
        <v>0</v>
      </c>
      <c r="T7" s="29" t="n">
        <f aca="false">SUMIFS('Task Breakdown'!$T$5:$T$681,'Task Breakdown'!$B$5:$B$681,$A7)</f>
        <v>0</v>
      </c>
      <c r="U7" s="42" t="n">
        <f aca="false">SUM(I7:T7)</f>
        <v>133</v>
      </c>
    </row>
    <row r="8" customFormat="false" ht="15" hidden="false" customHeight="false" outlineLevel="0" collapsed="false">
      <c r="A8" s="40" t="s">
        <v>107</v>
      </c>
      <c r="B8" s="40" t="s">
        <v>37</v>
      </c>
      <c r="C8" s="40" t="s">
        <v>5</v>
      </c>
      <c r="D8" s="40" t="s">
        <v>370</v>
      </c>
      <c r="E8" s="40" t="s">
        <v>108</v>
      </c>
      <c r="F8" s="40" t="s">
        <v>42</v>
      </c>
      <c r="G8" s="40" t="s">
        <v>109</v>
      </c>
      <c r="H8" s="41" t="n">
        <f aca="false">COUNTIF('Task Breakdown'!$B$5:$B$681,$A8)</f>
        <v>7</v>
      </c>
      <c r="I8" s="29" t="n">
        <f aca="false">SUMIFS('Task Breakdown'!$I$5:$I$681,'Task Breakdown'!$B$5:$B$681,$A8)</f>
        <v>0</v>
      </c>
      <c r="J8" s="29" t="n">
        <f aca="false">SUMIFS('Task Breakdown'!$J$5:$J$681,'Task Breakdown'!$B$5:$B$681,$A8)</f>
        <v>5</v>
      </c>
      <c r="K8" s="29" t="n">
        <f aca="false">SUMIFS('Task Breakdown'!$K$5:$K$681,'Task Breakdown'!$B$5:$B$681,$A8)</f>
        <v>32</v>
      </c>
      <c r="L8" s="29" t="n">
        <f aca="false">SUMIFS('Task Breakdown'!$L$5:$L$681,'Task Breakdown'!$B$5:$B$681,$A8)</f>
        <v>51</v>
      </c>
      <c r="M8" s="29" t="n">
        <f aca="false">SUMIFS('Task Breakdown'!$M$5:$M$681,'Task Breakdown'!$B$5:$B$681,$A8)</f>
        <v>0</v>
      </c>
      <c r="N8" s="29" t="n">
        <f aca="false">SUMIFS('Task Breakdown'!$N$5:$N$681,'Task Breakdown'!$B$5:$B$681,$A8)</f>
        <v>0</v>
      </c>
      <c r="O8" s="29" t="n">
        <f aca="false">SUMIFS('Task Breakdown'!$O$5:$O$681,'Task Breakdown'!$B$5:$B$681,$A8)</f>
        <v>0</v>
      </c>
      <c r="P8" s="29" t="n">
        <f aca="false">SUMIFS('Task Breakdown'!$P$5:$P$681,'Task Breakdown'!$B$5:$B$681,$A8)</f>
        <v>0</v>
      </c>
      <c r="Q8" s="29" t="n">
        <f aca="false">SUMIFS('Task Breakdown'!$Q$5:$Q$681,'Task Breakdown'!$B$5:$B$681,$A8)</f>
        <v>0</v>
      </c>
      <c r="R8" s="29" t="n">
        <f aca="false">SUMIFS('Task Breakdown'!$R$5:$R$681,'Task Breakdown'!$B$5:$B$681,$A8)</f>
        <v>0</v>
      </c>
      <c r="S8" s="29" t="n">
        <f aca="false">SUMIFS('Task Breakdown'!$S$5:$S$681,'Task Breakdown'!$B$5:$B$681,$A8)</f>
        <v>0</v>
      </c>
      <c r="T8" s="29" t="n">
        <f aca="false">SUMIFS('Task Breakdown'!$T$5:$T$681,'Task Breakdown'!$B$5:$B$681,$A8)</f>
        <v>0</v>
      </c>
      <c r="U8" s="42" t="n">
        <f aca="false">SUM(I8:T8)</f>
        <v>88</v>
      </c>
    </row>
    <row r="9" customFormat="false" ht="15" hidden="false" customHeight="false" outlineLevel="0" collapsed="false">
      <c r="A9" s="40" t="s">
        <v>110</v>
      </c>
      <c r="B9" s="40" t="s">
        <v>37</v>
      </c>
      <c r="C9" s="40" t="s">
        <v>5</v>
      </c>
      <c r="D9" s="40" t="s">
        <v>370</v>
      </c>
      <c r="E9" s="40" t="s">
        <v>111</v>
      </c>
      <c r="F9" s="40" t="s">
        <v>42</v>
      </c>
      <c r="G9" s="40" t="s">
        <v>112</v>
      </c>
      <c r="H9" s="41" t="n">
        <f aca="false">COUNTIF('Task Breakdown'!$B$5:$B$681,$A9)</f>
        <v>10</v>
      </c>
      <c r="I9" s="29" t="n">
        <f aca="false">SUMIFS('Task Breakdown'!$I$5:$I$681,'Task Breakdown'!$B$5:$B$681,$A9)</f>
        <v>0</v>
      </c>
      <c r="J9" s="29" t="n">
        <f aca="false">SUMIFS('Task Breakdown'!$J$5:$J$681,'Task Breakdown'!$B$5:$B$681,$A9)</f>
        <v>40</v>
      </c>
      <c r="K9" s="29" t="n">
        <f aca="false">SUMIFS('Task Breakdown'!$K$5:$K$681,'Task Breakdown'!$B$5:$B$681,$A9)</f>
        <v>131</v>
      </c>
      <c r="L9" s="29" t="n">
        <f aca="false">SUMIFS('Task Breakdown'!$L$5:$L$681,'Task Breakdown'!$B$5:$B$681,$A9)</f>
        <v>20</v>
      </c>
      <c r="M9" s="29" t="n">
        <f aca="false">SUMIFS('Task Breakdown'!$M$5:$M$681,'Task Breakdown'!$B$5:$B$681,$A9)</f>
        <v>0</v>
      </c>
      <c r="N9" s="29" t="n">
        <f aca="false">SUMIFS('Task Breakdown'!$N$5:$N$681,'Task Breakdown'!$B$5:$B$681,$A9)</f>
        <v>0</v>
      </c>
      <c r="O9" s="29" t="n">
        <f aca="false">SUMIFS('Task Breakdown'!$O$5:$O$681,'Task Breakdown'!$B$5:$B$681,$A9)</f>
        <v>0</v>
      </c>
      <c r="P9" s="29" t="n">
        <f aca="false">SUMIFS('Task Breakdown'!$P$5:$P$681,'Task Breakdown'!$B$5:$B$681,$A9)</f>
        <v>0</v>
      </c>
      <c r="Q9" s="29" t="n">
        <f aca="false">SUMIFS('Task Breakdown'!$Q$5:$Q$681,'Task Breakdown'!$B$5:$B$681,$A9)</f>
        <v>0</v>
      </c>
      <c r="R9" s="29" t="n">
        <f aca="false">SUMIFS('Task Breakdown'!$R$5:$R$681,'Task Breakdown'!$B$5:$B$681,$A9)</f>
        <v>0</v>
      </c>
      <c r="S9" s="29" t="n">
        <f aca="false">SUMIFS('Task Breakdown'!$S$5:$S$681,'Task Breakdown'!$B$5:$B$681,$A9)</f>
        <v>20</v>
      </c>
      <c r="T9" s="29" t="n">
        <f aca="false">SUMIFS('Task Breakdown'!$T$5:$T$681,'Task Breakdown'!$B$5:$B$681,$A9)</f>
        <v>0</v>
      </c>
      <c r="U9" s="42" t="n">
        <f aca="false">SUM(I9:T9)</f>
        <v>211</v>
      </c>
    </row>
    <row r="10" customFormat="false" ht="15" hidden="false" customHeight="false" outlineLevel="0" collapsed="false">
      <c r="A10" s="40" t="s">
        <v>113</v>
      </c>
      <c r="B10" s="40" t="s">
        <v>37</v>
      </c>
      <c r="C10" s="40" t="s">
        <v>5</v>
      </c>
      <c r="D10" s="40" t="s">
        <v>370</v>
      </c>
      <c r="E10" s="40" t="s">
        <v>114</v>
      </c>
      <c r="F10" s="40" t="s">
        <v>42</v>
      </c>
      <c r="G10" s="40" t="s">
        <v>115</v>
      </c>
      <c r="H10" s="41" t="n">
        <f aca="false">COUNTIF('Task Breakdown'!$B$5:$B$681,$A10)</f>
        <v>11</v>
      </c>
      <c r="I10" s="29" t="n">
        <f aca="false">SUMIFS('Task Breakdown'!$I$5:$I$681,'Task Breakdown'!$B$5:$B$681,$A10)</f>
        <v>0</v>
      </c>
      <c r="J10" s="29" t="n">
        <f aca="false">SUMIFS('Task Breakdown'!$J$5:$J$681,'Task Breakdown'!$B$5:$B$681,$A10)</f>
        <v>35</v>
      </c>
      <c r="K10" s="29" t="n">
        <f aca="false">SUMIFS('Task Breakdown'!$K$5:$K$681,'Task Breakdown'!$B$5:$B$681,$A10)</f>
        <v>244</v>
      </c>
      <c r="L10" s="29" t="n">
        <f aca="false">SUMIFS('Task Breakdown'!$L$5:$L$681,'Task Breakdown'!$B$5:$B$681,$A10)</f>
        <v>0</v>
      </c>
      <c r="M10" s="29" t="n">
        <f aca="false">SUMIFS('Task Breakdown'!$M$5:$M$681,'Task Breakdown'!$B$5:$B$681,$A10)</f>
        <v>0</v>
      </c>
      <c r="N10" s="29" t="n">
        <f aca="false">SUMIFS('Task Breakdown'!$N$5:$N$681,'Task Breakdown'!$B$5:$B$681,$A10)</f>
        <v>0</v>
      </c>
      <c r="O10" s="29" t="n">
        <f aca="false">SUMIFS('Task Breakdown'!$O$5:$O$681,'Task Breakdown'!$B$5:$B$681,$A10)</f>
        <v>0</v>
      </c>
      <c r="P10" s="29" t="n">
        <f aca="false">SUMIFS('Task Breakdown'!$P$5:$P$681,'Task Breakdown'!$B$5:$B$681,$A10)</f>
        <v>0</v>
      </c>
      <c r="Q10" s="29" t="n">
        <f aca="false">SUMIFS('Task Breakdown'!$Q$5:$Q$681,'Task Breakdown'!$B$5:$B$681,$A10)</f>
        <v>0</v>
      </c>
      <c r="R10" s="29" t="n">
        <f aca="false">SUMIFS('Task Breakdown'!$R$5:$R$681,'Task Breakdown'!$B$5:$B$681,$A10)</f>
        <v>0</v>
      </c>
      <c r="S10" s="29" t="n">
        <f aca="false">SUMIFS('Task Breakdown'!$S$5:$S$681,'Task Breakdown'!$B$5:$B$681,$A10)</f>
        <v>20</v>
      </c>
      <c r="T10" s="29" t="n">
        <f aca="false">SUMIFS('Task Breakdown'!$T$5:$T$681,'Task Breakdown'!$B$5:$B$681,$A10)</f>
        <v>0</v>
      </c>
      <c r="U10" s="42" t="n">
        <f aca="false">SUM(I10:T10)</f>
        <v>299</v>
      </c>
    </row>
    <row r="11" customFormat="false" ht="15" hidden="false" customHeight="false" outlineLevel="0" collapsed="false">
      <c r="A11" s="40" t="s">
        <v>116</v>
      </c>
      <c r="B11" s="40" t="s">
        <v>37</v>
      </c>
      <c r="C11" s="40" t="s">
        <v>5</v>
      </c>
      <c r="D11" s="40" t="s">
        <v>370</v>
      </c>
      <c r="E11" s="40" t="s">
        <v>117</v>
      </c>
      <c r="F11" s="40" t="s">
        <v>42</v>
      </c>
      <c r="G11" s="40" t="s">
        <v>118</v>
      </c>
      <c r="H11" s="41" t="n">
        <f aca="false">COUNTIF('Task Breakdown'!$B$5:$B$681,$A11)</f>
        <v>11</v>
      </c>
      <c r="I11" s="29" t="n">
        <f aca="false">SUMIFS('Task Breakdown'!$I$5:$I$681,'Task Breakdown'!$B$5:$B$681,$A11)</f>
        <v>0</v>
      </c>
      <c r="J11" s="29" t="n">
        <f aca="false">SUMIFS('Task Breakdown'!$J$5:$J$681,'Task Breakdown'!$B$5:$B$681,$A11)</f>
        <v>31</v>
      </c>
      <c r="K11" s="29" t="n">
        <f aca="false">SUMIFS('Task Breakdown'!$K$5:$K$681,'Task Breakdown'!$B$5:$B$681,$A11)</f>
        <v>171</v>
      </c>
      <c r="L11" s="29" t="n">
        <f aca="false">SUMIFS('Task Breakdown'!$L$5:$L$681,'Task Breakdown'!$B$5:$B$681,$A11)</f>
        <v>20</v>
      </c>
      <c r="M11" s="29" t="n">
        <f aca="false">SUMIFS('Task Breakdown'!$M$5:$M$681,'Task Breakdown'!$B$5:$B$681,$A11)</f>
        <v>0</v>
      </c>
      <c r="N11" s="29" t="n">
        <f aca="false">SUMIFS('Task Breakdown'!$N$5:$N$681,'Task Breakdown'!$B$5:$B$681,$A11)</f>
        <v>0</v>
      </c>
      <c r="O11" s="29" t="n">
        <f aca="false">SUMIFS('Task Breakdown'!$O$5:$O$681,'Task Breakdown'!$B$5:$B$681,$A11)</f>
        <v>0</v>
      </c>
      <c r="P11" s="29" t="n">
        <f aca="false">SUMIFS('Task Breakdown'!$P$5:$P$681,'Task Breakdown'!$B$5:$B$681,$A11)</f>
        <v>0</v>
      </c>
      <c r="Q11" s="29" t="n">
        <f aca="false">SUMIFS('Task Breakdown'!$Q$5:$Q$681,'Task Breakdown'!$B$5:$B$681,$A11)</f>
        <v>0</v>
      </c>
      <c r="R11" s="29" t="n">
        <f aca="false">SUMIFS('Task Breakdown'!$R$5:$R$681,'Task Breakdown'!$B$5:$B$681,$A11)</f>
        <v>0</v>
      </c>
      <c r="S11" s="29" t="n">
        <f aca="false">SUMIFS('Task Breakdown'!$S$5:$S$681,'Task Breakdown'!$B$5:$B$681,$A11)</f>
        <v>0</v>
      </c>
      <c r="T11" s="29" t="n">
        <f aca="false">SUMIFS('Task Breakdown'!$T$5:$T$681,'Task Breakdown'!$B$5:$B$681,$A11)</f>
        <v>0</v>
      </c>
      <c r="U11" s="42" t="n">
        <f aca="false">SUM(I11:T11)</f>
        <v>222</v>
      </c>
    </row>
    <row r="12" customFormat="false" ht="15" hidden="false" customHeight="false" outlineLevel="0" collapsed="false">
      <c r="A12" s="40" t="s">
        <v>169</v>
      </c>
      <c r="B12" s="40" t="s">
        <v>37</v>
      </c>
      <c r="C12" s="40" t="s">
        <v>6</v>
      </c>
      <c r="D12" s="40" t="s">
        <v>371</v>
      </c>
      <c r="E12" s="40" t="s">
        <v>170</v>
      </c>
      <c r="F12" s="40" t="s">
        <v>43</v>
      </c>
      <c r="G12" s="40" t="s">
        <v>171</v>
      </c>
      <c r="H12" s="41" t="n">
        <f aca="false">COUNTIF('Task Breakdown'!$B$5:$B$681,$A12)</f>
        <v>10</v>
      </c>
      <c r="I12" s="29" t="n">
        <f aca="false">SUMIFS('Task Breakdown'!$I$5:$I$681,'Task Breakdown'!$B$5:$B$681,$A12)</f>
        <v>0</v>
      </c>
      <c r="J12" s="29" t="n">
        <f aca="false">SUMIFS('Task Breakdown'!$J$5:$J$681,'Task Breakdown'!$B$5:$B$681,$A12)</f>
        <v>0</v>
      </c>
      <c r="K12" s="29" t="n">
        <f aca="false">SUMIFS('Task Breakdown'!$K$5:$K$681,'Task Breakdown'!$B$5:$B$681,$A12)</f>
        <v>37</v>
      </c>
      <c r="L12" s="29" t="n">
        <f aca="false">SUMIFS('Task Breakdown'!$L$5:$L$681,'Task Breakdown'!$B$5:$B$681,$A12)</f>
        <v>16</v>
      </c>
      <c r="M12" s="29" t="n">
        <f aca="false">SUMIFS('Task Breakdown'!$M$5:$M$681,'Task Breakdown'!$B$5:$B$681,$A12)</f>
        <v>40</v>
      </c>
      <c r="N12" s="29" t="n">
        <f aca="false">SUMIFS('Task Breakdown'!$N$5:$N$681,'Task Breakdown'!$B$5:$B$681,$A12)</f>
        <v>64</v>
      </c>
      <c r="O12" s="29" t="n">
        <f aca="false">SUMIFS('Task Breakdown'!$O$5:$O$681,'Task Breakdown'!$B$5:$B$681,$A12)</f>
        <v>0</v>
      </c>
      <c r="P12" s="29" t="n">
        <f aca="false">SUMIFS('Task Breakdown'!$P$5:$P$681,'Task Breakdown'!$B$5:$B$681,$A12)</f>
        <v>0</v>
      </c>
      <c r="Q12" s="29" t="n">
        <f aca="false">SUMIFS('Task Breakdown'!$Q$5:$Q$681,'Task Breakdown'!$B$5:$B$681,$A12)</f>
        <v>0</v>
      </c>
      <c r="R12" s="29" t="n">
        <f aca="false">SUMIFS('Task Breakdown'!$R$5:$R$681,'Task Breakdown'!$B$5:$B$681,$A12)</f>
        <v>0</v>
      </c>
      <c r="S12" s="29" t="n">
        <f aca="false">SUMIFS('Task Breakdown'!$S$5:$S$681,'Task Breakdown'!$B$5:$B$681,$A12)</f>
        <v>0</v>
      </c>
      <c r="T12" s="29" t="n">
        <f aca="false">SUMIFS('Task Breakdown'!$T$5:$T$681,'Task Breakdown'!$B$5:$B$681,$A12)</f>
        <v>0</v>
      </c>
      <c r="U12" s="42" t="n">
        <f aca="false">SUM(I12:T12)</f>
        <v>157</v>
      </c>
    </row>
    <row r="13" customFormat="false" ht="23.85" hidden="false" customHeight="false" outlineLevel="0" collapsed="false">
      <c r="A13" s="40" t="s">
        <v>172</v>
      </c>
      <c r="B13" s="40" t="s">
        <v>37</v>
      </c>
      <c r="C13" s="40" t="s">
        <v>6</v>
      </c>
      <c r="D13" s="40" t="s">
        <v>371</v>
      </c>
      <c r="E13" s="40" t="s">
        <v>173</v>
      </c>
      <c r="F13" s="40" t="s">
        <v>43</v>
      </c>
      <c r="G13" s="40" t="s">
        <v>174</v>
      </c>
      <c r="H13" s="41" t="n">
        <f aca="false">COUNTIF('Task Breakdown'!$B$5:$B$681,$A13)</f>
        <v>12</v>
      </c>
      <c r="I13" s="29" t="n">
        <f aca="false">SUMIFS('Task Breakdown'!$I$5:$I$681,'Task Breakdown'!$B$5:$B$681,$A13)</f>
        <v>0</v>
      </c>
      <c r="J13" s="29" t="n">
        <f aca="false">SUMIFS('Task Breakdown'!$J$5:$J$681,'Task Breakdown'!$B$5:$B$681,$A13)</f>
        <v>0</v>
      </c>
      <c r="K13" s="29" t="n">
        <f aca="false">SUMIFS('Task Breakdown'!$K$5:$K$681,'Task Breakdown'!$B$5:$B$681,$A13)</f>
        <v>86</v>
      </c>
      <c r="L13" s="29" t="n">
        <f aca="false">SUMIFS('Task Breakdown'!$L$5:$L$681,'Task Breakdown'!$B$5:$B$681,$A13)</f>
        <v>24</v>
      </c>
      <c r="M13" s="29" t="n">
        <f aca="false">SUMIFS('Task Breakdown'!$M$5:$M$681,'Task Breakdown'!$B$5:$B$681,$A13)</f>
        <v>68</v>
      </c>
      <c r="N13" s="29" t="n">
        <f aca="false">SUMIFS('Task Breakdown'!$N$5:$N$681,'Task Breakdown'!$B$5:$B$681,$A13)</f>
        <v>160</v>
      </c>
      <c r="O13" s="29" t="n">
        <f aca="false">SUMIFS('Task Breakdown'!$O$5:$O$681,'Task Breakdown'!$B$5:$B$681,$A13)</f>
        <v>0</v>
      </c>
      <c r="P13" s="29" t="n">
        <f aca="false">SUMIFS('Task Breakdown'!$P$5:$P$681,'Task Breakdown'!$B$5:$B$681,$A13)</f>
        <v>0</v>
      </c>
      <c r="Q13" s="29" t="n">
        <f aca="false">SUMIFS('Task Breakdown'!$Q$5:$Q$681,'Task Breakdown'!$B$5:$B$681,$A13)</f>
        <v>0</v>
      </c>
      <c r="R13" s="29" t="n">
        <f aca="false">SUMIFS('Task Breakdown'!$R$5:$R$681,'Task Breakdown'!$B$5:$B$681,$A13)</f>
        <v>0</v>
      </c>
      <c r="S13" s="29" t="n">
        <f aca="false">SUMIFS('Task Breakdown'!$S$5:$S$681,'Task Breakdown'!$B$5:$B$681,$A13)</f>
        <v>49</v>
      </c>
      <c r="T13" s="29" t="n">
        <f aca="false">SUMIFS('Task Breakdown'!$T$5:$T$681,'Task Breakdown'!$B$5:$B$681,$A13)</f>
        <v>0</v>
      </c>
      <c r="U13" s="42" t="n">
        <f aca="false">SUM(I13:T13)</f>
        <v>387</v>
      </c>
    </row>
    <row r="14" customFormat="false" ht="23.85" hidden="false" customHeight="false" outlineLevel="0" collapsed="false">
      <c r="A14" s="40" t="s">
        <v>175</v>
      </c>
      <c r="B14" s="40" t="s">
        <v>37</v>
      </c>
      <c r="C14" s="40" t="s">
        <v>6</v>
      </c>
      <c r="D14" s="40" t="s">
        <v>371</v>
      </c>
      <c r="E14" s="40" t="s">
        <v>176</v>
      </c>
      <c r="F14" s="40" t="s">
        <v>43</v>
      </c>
      <c r="G14" s="40" t="s">
        <v>177</v>
      </c>
      <c r="H14" s="41" t="n">
        <f aca="false">COUNTIF('Task Breakdown'!$B$5:$B$681,$A14)</f>
        <v>12</v>
      </c>
      <c r="I14" s="29" t="n">
        <f aca="false">SUMIFS('Task Breakdown'!$I$5:$I$681,'Task Breakdown'!$B$5:$B$681,$A14)</f>
        <v>0</v>
      </c>
      <c r="J14" s="29" t="n">
        <f aca="false">SUMIFS('Task Breakdown'!$J$5:$J$681,'Task Breakdown'!$B$5:$B$681,$A14)</f>
        <v>0</v>
      </c>
      <c r="K14" s="29" t="n">
        <f aca="false">SUMIFS('Task Breakdown'!$K$5:$K$681,'Task Breakdown'!$B$5:$B$681,$A14)</f>
        <v>22</v>
      </c>
      <c r="L14" s="29" t="n">
        <f aca="false">SUMIFS('Task Breakdown'!$L$5:$L$681,'Task Breakdown'!$B$5:$B$681,$A14)</f>
        <v>0</v>
      </c>
      <c r="M14" s="29" t="n">
        <f aca="false">SUMIFS('Task Breakdown'!$M$5:$M$681,'Task Breakdown'!$B$5:$B$681,$A14)</f>
        <v>130</v>
      </c>
      <c r="N14" s="29" t="n">
        <f aca="false">SUMIFS('Task Breakdown'!$N$5:$N$681,'Task Breakdown'!$B$5:$B$681,$A14)</f>
        <v>358</v>
      </c>
      <c r="O14" s="29" t="n">
        <f aca="false">SUMIFS('Task Breakdown'!$O$5:$O$681,'Task Breakdown'!$B$5:$B$681,$A14)</f>
        <v>0</v>
      </c>
      <c r="P14" s="29" t="n">
        <f aca="false">SUMIFS('Task Breakdown'!$P$5:$P$681,'Task Breakdown'!$B$5:$B$681,$A14)</f>
        <v>0</v>
      </c>
      <c r="Q14" s="29" t="n">
        <f aca="false">SUMIFS('Task Breakdown'!$Q$5:$Q$681,'Task Breakdown'!$B$5:$B$681,$A14)</f>
        <v>74</v>
      </c>
      <c r="R14" s="29" t="n">
        <f aca="false">SUMIFS('Task Breakdown'!$R$5:$R$681,'Task Breakdown'!$B$5:$B$681,$A14)</f>
        <v>0</v>
      </c>
      <c r="S14" s="29" t="n">
        <f aca="false">SUMIFS('Task Breakdown'!$S$5:$S$681,'Task Breakdown'!$B$5:$B$681,$A14)</f>
        <v>73</v>
      </c>
      <c r="T14" s="29" t="n">
        <f aca="false">SUMIFS('Task Breakdown'!$T$5:$T$681,'Task Breakdown'!$B$5:$B$681,$A14)</f>
        <v>0</v>
      </c>
      <c r="U14" s="42" t="n">
        <f aca="false">SUM(I14:T14)</f>
        <v>657</v>
      </c>
    </row>
    <row r="15" customFormat="false" ht="15" hidden="false" customHeight="false" outlineLevel="0" collapsed="false">
      <c r="A15" s="40" t="s">
        <v>178</v>
      </c>
      <c r="B15" s="40" t="s">
        <v>37</v>
      </c>
      <c r="C15" s="40" t="s">
        <v>6</v>
      </c>
      <c r="D15" s="40" t="s">
        <v>371</v>
      </c>
      <c r="E15" s="40" t="s">
        <v>179</v>
      </c>
      <c r="F15" s="40" t="s">
        <v>43</v>
      </c>
      <c r="G15" s="40" t="s">
        <v>180</v>
      </c>
      <c r="H15" s="41" t="n">
        <f aca="false">COUNTIF('Task Breakdown'!$B$5:$B$681,$A15)</f>
        <v>11</v>
      </c>
      <c r="I15" s="29" t="n">
        <f aca="false">SUMIFS('Task Breakdown'!$I$5:$I$681,'Task Breakdown'!$B$5:$B$681,$A15)</f>
        <v>0</v>
      </c>
      <c r="J15" s="29" t="n">
        <f aca="false">SUMIFS('Task Breakdown'!$J$5:$J$681,'Task Breakdown'!$B$5:$B$681,$A15)</f>
        <v>0</v>
      </c>
      <c r="K15" s="29" t="n">
        <f aca="false">SUMIFS('Task Breakdown'!$K$5:$K$681,'Task Breakdown'!$B$5:$B$681,$A15)</f>
        <v>9</v>
      </c>
      <c r="L15" s="29" t="n">
        <f aca="false">SUMIFS('Task Breakdown'!$L$5:$L$681,'Task Breakdown'!$B$5:$B$681,$A15)</f>
        <v>0</v>
      </c>
      <c r="M15" s="29" t="n">
        <f aca="false">SUMIFS('Task Breakdown'!$M$5:$M$681,'Task Breakdown'!$B$5:$B$681,$A15)</f>
        <v>44</v>
      </c>
      <c r="N15" s="29" t="n">
        <f aca="false">SUMIFS('Task Breakdown'!$N$5:$N$681,'Task Breakdown'!$B$5:$B$681,$A15)</f>
        <v>171</v>
      </c>
      <c r="O15" s="29" t="n">
        <f aca="false">SUMIFS('Task Breakdown'!$O$5:$O$681,'Task Breakdown'!$B$5:$B$681,$A15)</f>
        <v>20</v>
      </c>
      <c r="P15" s="29" t="n">
        <f aca="false">SUMIFS('Task Breakdown'!$P$5:$P$681,'Task Breakdown'!$B$5:$B$681,$A15)</f>
        <v>0</v>
      </c>
      <c r="Q15" s="29" t="n">
        <f aca="false">SUMIFS('Task Breakdown'!$Q$5:$Q$681,'Task Breakdown'!$B$5:$B$681,$A15)</f>
        <v>0</v>
      </c>
      <c r="R15" s="29" t="n">
        <f aca="false">SUMIFS('Task Breakdown'!$R$5:$R$681,'Task Breakdown'!$B$5:$B$681,$A15)</f>
        <v>0</v>
      </c>
      <c r="S15" s="29" t="n">
        <f aca="false">SUMIFS('Task Breakdown'!$S$5:$S$681,'Task Breakdown'!$B$5:$B$681,$A15)</f>
        <v>31</v>
      </c>
      <c r="T15" s="29" t="n">
        <f aca="false">SUMIFS('Task Breakdown'!$T$5:$T$681,'Task Breakdown'!$B$5:$B$681,$A15)</f>
        <v>0</v>
      </c>
      <c r="U15" s="42" t="n">
        <f aca="false">SUM(I15:T15)</f>
        <v>275</v>
      </c>
    </row>
    <row r="16" customFormat="false" ht="15" hidden="false" customHeight="false" outlineLevel="0" collapsed="false">
      <c r="A16" s="40" t="s">
        <v>181</v>
      </c>
      <c r="B16" s="40" t="s">
        <v>37</v>
      </c>
      <c r="C16" s="40" t="s">
        <v>6</v>
      </c>
      <c r="D16" s="40" t="s">
        <v>371</v>
      </c>
      <c r="E16" s="40" t="s">
        <v>182</v>
      </c>
      <c r="F16" s="40" t="s">
        <v>43</v>
      </c>
      <c r="G16" s="40" t="s">
        <v>183</v>
      </c>
      <c r="H16" s="41" t="n">
        <f aca="false">COUNTIF('Task Breakdown'!$B$5:$B$681,$A16)</f>
        <v>9</v>
      </c>
      <c r="I16" s="29" t="n">
        <f aca="false">SUMIFS('Task Breakdown'!$I$5:$I$681,'Task Breakdown'!$B$5:$B$681,$A16)</f>
        <v>0</v>
      </c>
      <c r="J16" s="29" t="n">
        <f aca="false">SUMIFS('Task Breakdown'!$J$5:$J$681,'Task Breakdown'!$B$5:$B$681,$A16)</f>
        <v>0</v>
      </c>
      <c r="K16" s="29" t="n">
        <f aca="false">SUMIFS('Task Breakdown'!$K$5:$K$681,'Task Breakdown'!$B$5:$B$681,$A16)</f>
        <v>4</v>
      </c>
      <c r="L16" s="29" t="n">
        <f aca="false">SUMIFS('Task Breakdown'!$L$5:$L$681,'Task Breakdown'!$B$5:$B$681,$A16)</f>
        <v>0</v>
      </c>
      <c r="M16" s="29" t="n">
        <f aca="false">SUMIFS('Task Breakdown'!$M$5:$M$681,'Task Breakdown'!$B$5:$B$681,$A16)</f>
        <v>6</v>
      </c>
      <c r="N16" s="29" t="n">
        <f aca="false">SUMIFS('Task Breakdown'!$N$5:$N$681,'Task Breakdown'!$B$5:$B$681,$A16)</f>
        <v>76</v>
      </c>
      <c r="O16" s="29" t="n">
        <f aca="false">SUMIFS('Task Breakdown'!$O$5:$O$681,'Task Breakdown'!$B$5:$B$681,$A16)</f>
        <v>0</v>
      </c>
      <c r="P16" s="29" t="n">
        <f aca="false">SUMIFS('Task Breakdown'!$P$5:$P$681,'Task Breakdown'!$B$5:$B$681,$A16)</f>
        <v>0</v>
      </c>
      <c r="Q16" s="29" t="n">
        <f aca="false">SUMIFS('Task Breakdown'!$Q$5:$Q$681,'Task Breakdown'!$B$5:$B$681,$A16)</f>
        <v>0</v>
      </c>
      <c r="R16" s="29" t="n">
        <f aca="false">SUMIFS('Task Breakdown'!$R$5:$R$681,'Task Breakdown'!$B$5:$B$681,$A16)</f>
        <v>16</v>
      </c>
      <c r="S16" s="29" t="n">
        <f aca="false">SUMIFS('Task Breakdown'!$S$5:$S$681,'Task Breakdown'!$B$5:$B$681,$A16)</f>
        <v>16</v>
      </c>
      <c r="T16" s="29" t="n">
        <f aca="false">SUMIFS('Task Breakdown'!$T$5:$T$681,'Task Breakdown'!$B$5:$B$681,$A16)</f>
        <v>0</v>
      </c>
      <c r="U16" s="42" t="n">
        <f aca="false">SUM(I16:T16)</f>
        <v>118</v>
      </c>
    </row>
    <row r="17" customFormat="false" ht="15" hidden="false" customHeight="false" outlineLevel="0" collapsed="false">
      <c r="A17" s="40" t="s">
        <v>184</v>
      </c>
      <c r="B17" s="40" t="s">
        <v>37</v>
      </c>
      <c r="C17" s="40" t="s">
        <v>6</v>
      </c>
      <c r="D17" s="40" t="s">
        <v>371</v>
      </c>
      <c r="E17" s="40" t="s">
        <v>185</v>
      </c>
      <c r="F17" s="40" t="s">
        <v>43</v>
      </c>
      <c r="G17" s="40" t="s">
        <v>186</v>
      </c>
      <c r="H17" s="41" t="n">
        <f aca="false">COUNTIF('Task Breakdown'!$B$5:$B$681,$A17)</f>
        <v>10</v>
      </c>
      <c r="I17" s="29" t="n">
        <f aca="false">SUMIFS('Task Breakdown'!$I$5:$I$681,'Task Breakdown'!$B$5:$B$681,$A17)</f>
        <v>0</v>
      </c>
      <c r="J17" s="29" t="n">
        <f aca="false">SUMIFS('Task Breakdown'!$J$5:$J$681,'Task Breakdown'!$B$5:$B$681,$A17)</f>
        <v>0</v>
      </c>
      <c r="K17" s="29" t="n">
        <f aca="false">SUMIFS('Task Breakdown'!$K$5:$K$681,'Task Breakdown'!$B$5:$B$681,$A17)</f>
        <v>7</v>
      </c>
      <c r="L17" s="29" t="n">
        <f aca="false">SUMIFS('Task Breakdown'!$L$5:$L$681,'Task Breakdown'!$B$5:$B$681,$A17)</f>
        <v>40</v>
      </c>
      <c r="M17" s="29" t="n">
        <f aca="false">SUMIFS('Task Breakdown'!$M$5:$M$681,'Task Breakdown'!$B$5:$B$681,$A17)</f>
        <v>30</v>
      </c>
      <c r="N17" s="29" t="n">
        <f aca="false">SUMIFS('Task Breakdown'!$N$5:$N$681,'Task Breakdown'!$B$5:$B$681,$A17)</f>
        <v>80</v>
      </c>
      <c r="O17" s="29" t="n">
        <f aca="false">SUMIFS('Task Breakdown'!$O$5:$O$681,'Task Breakdown'!$B$5:$B$681,$A17)</f>
        <v>0</v>
      </c>
      <c r="P17" s="29" t="n">
        <f aca="false">SUMIFS('Task Breakdown'!$P$5:$P$681,'Task Breakdown'!$B$5:$B$681,$A17)</f>
        <v>0</v>
      </c>
      <c r="Q17" s="29" t="n">
        <f aca="false">SUMIFS('Task Breakdown'!$Q$5:$Q$681,'Task Breakdown'!$B$5:$B$681,$A17)</f>
        <v>0</v>
      </c>
      <c r="R17" s="29" t="n">
        <f aca="false">SUMIFS('Task Breakdown'!$R$5:$R$681,'Task Breakdown'!$B$5:$B$681,$A17)</f>
        <v>0</v>
      </c>
      <c r="S17" s="29" t="n">
        <f aca="false">SUMIFS('Task Breakdown'!$S$5:$S$681,'Task Breakdown'!$B$5:$B$681,$A17)</f>
        <v>41</v>
      </c>
      <c r="T17" s="29" t="n">
        <f aca="false">SUMIFS('Task Breakdown'!$T$5:$T$681,'Task Breakdown'!$B$5:$B$681,$A17)</f>
        <v>0</v>
      </c>
      <c r="U17" s="42" t="n">
        <f aca="false">SUM(I17:T17)</f>
        <v>198</v>
      </c>
    </row>
    <row r="18" customFormat="false" ht="15" hidden="false" customHeight="false" outlineLevel="0" collapsed="false">
      <c r="A18" s="40" t="s">
        <v>233</v>
      </c>
      <c r="B18" s="40" t="s">
        <v>37</v>
      </c>
      <c r="C18" s="40" t="s">
        <v>7</v>
      </c>
      <c r="D18" s="40" t="s">
        <v>372</v>
      </c>
      <c r="E18" s="40" t="s">
        <v>234</v>
      </c>
      <c r="F18" s="40" t="s">
        <v>42</v>
      </c>
      <c r="G18" s="40" t="s">
        <v>235</v>
      </c>
      <c r="H18" s="41" t="n">
        <f aca="false">COUNTIF('Task Breakdown'!$B$5:$B$681,$A18)</f>
        <v>10</v>
      </c>
      <c r="I18" s="29" t="n">
        <f aca="false">SUMIFS('Task Breakdown'!$I$5:$I$681,'Task Breakdown'!$B$5:$B$681,$A18)</f>
        <v>0</v>
      </c>
      <c r="J18" s="29" t="n">
        <f aca="false">SUMIFS('Task Breakdown'!$J$5:$J$681,'Task Breakdown'!$B$5:$B$681,$A18)</f>
        <v>15</v>
      </c>
      <c r="K18" s="29" t="n">
        <f aca="false">SUMIFS('Task Breakdown'!$K$5:$K$681,'Task Breakdown'!$B$5:$B$681,$A18)</f>
        <v>54</v>
      </c>
      <c r="L18" s="29" t="n">
        <f aca="false">SUMIFS('Task Breakdown'!$L$5:$L$681,'Task Breakdown'!$B$5:$B$681,$A18)</f>
        <v>0</v>
      </c>
      <c r="M18" s="29" t="n">
        <f aca="false">SUMIFS('Task Breakdown'!$M$5:$M$681,'Task Breakdown'!$B$5:$B$681,$A18)</f>
        <v>0</v>
      </c>
      <c r="N18" s="29" t="n">
        <f aca="false">SUMIFS('Task Breakdown'!$N$5:$N$681,'Task Breakdown'!$B$5:$B$681,$A18)</f>
        <v>63</v>
      </c>
      <c r="O18" s="29" t="n">
        <f aca="false">SUMIFS('Task Breakdown'!$O$5:$O$681,'Task Breakdown'!$B$5:$B$681,$A18)</f>
        <v>0</v>
      </c>
      <c r="P18" s="29" t="n">
        <f aca="false">SUMIFS('Task Breakdown'!$P$5:$P$681,'Task Breakdown'!$B$5:$B$681,$A18)</f>
        <v>0</v>
      </c>
      <c r="Q18" s="29" t="n">
        <f aca="false">SUMIFS('Task Breakdown'!$Q$5:$Q$681,'Task Breakdown'!$B$5:$B$681,$A18)</f>
        <v>0</v>
      </c>
      <c r="R18" s="29" t="n">
        <f aca="false">SUMIFS('Task Breakdown'!$R$5:$R$681,'Task Breakdown'!$B$5:$B$681,$A18)</f>
        <v>0</v>
      </c>
      <c r="S18" s="29" t="n">
        <f aca="false">SUMIFS('Task Breakdown'!$S$5:$S$681,'Task Breakdown'!$B$5:$B$681,$A18)</f>
        <v>16</v>
      </c>
      <c r="T18" s="29" t="n">
        <f aca="false">SUMIFS('Task Breakdown'!$T$5:$T$681,'Task Breakdown'!$B$5:$B$681,$A18)</f>
        <v>0</v>
      </c>
      <c r="U18" s="42" t="n">
        <f aca="false">SUM(I18:T18)</f>
        <v>148</v>
      </c>
    </row>
    <row r="19" customFormat="false" ht="15" hidden="false" customHeight="false" outlineLevel="0" collapsed="false">
      <c r="A19" s="40" t="s">
        <v>236</v>
      </c>
      <c r="B19" s="40" t="s">
        <v>37</v>
      </c>
      <c r="C19" s="40" t="s">
        <v>7</v>
      </c>
      <c r="D19" s="40" t="s">
        <v>372</v>
      </c>
      <c r="E19" s="40" t="s">
        <v>237</v>
      </c>
      <c r="F19" s="40" t="s">
        <v>42</v>
      </c>
      <c r="G19" s="40" t="s">
        <v>238</v>
      </c>
      <c r="H19" s="41" t="n">
        <f aca="false">COUNTIF('Task Breakdown'!$B$5:$B$681,$A19)</f>
        <v>11</v>
      </c>
      <c r="I19" s="29" t="n">
        <f aca="false">SUMIFS('Task Breakdown'!$I$5:$I$681,'Task Breakdown'!$B$5:$B$681,$A19)</f>
        <v>0</v>
      </c>
      <c r="J19" s="29" t="n">
        <f aca="false">SUMIFS('Task Breakdown'!$J$5:$J$681,'Task Breakdown'!$B$5:$B$681,$A19)</f>
        <v>33</v>
      </c>
      <c r="K19" s="29" t="n">
        <f aca="false">SUMIFS('Task Breakdown'!$K$5:$K$681,'Task Breakdown'!$B$5:$B$681,$A19)</f>
        <v>136</v>
      </c>
      <c r="L19" s="29" t="n">
        <f aca="false">SUMIFS('Task Breakdown'!$L$5:$L$681,'Task Breakdown'!$B$5:$B$681,$A19)</f>
        <v>0</v>
      </c>
      <c r="M19" s="29" t="n">
        <f aca="false">SUMIFS('Task Breakdown'!$M$5:$M$681,'Task Breakdown'!$B$5:$B$681,$A19)</f>
        <v>0</v>
      </c>
      <c r="N19" s="29" t="n">
        <f aca="false">SUMIFS('Task Breakdown'!$N$5:$N$681,'Task Breakdown'!$B$5:$B$681,$A19)</f>
        <v>0</v>
      </c>
      <c r="O19" s="29" t="n">
        <f aca="false">SUMIFS('Task Breakdown'!$O$5:$O$681,'Task Breakdown'!$B$5:$B$681,$A19)</f>
        <v>0</v>
      </c>
      <c r="P19" s="29" t="n">
        <f aca="false">SUMIFS('Task Breakdown'!$P$5:$P$681,'Task Breakdown'!$B$5:$B$681,$A19)</f>
        <v>0</v>
      </c>
      <c r="Q19" s="29" t="n">
        <f aca="false">SUMIFS('Task Breakdown'!$Q$5:$Q$681,'Task Breakdown'!$B$5:$B$681,$A19)</f>
        <v>61</v>
      </c>
      <c r="R19" s="29" t="n">
        <f aca="false">SUMIFS('Task Breakdown'!$R$5:$R$681,'Task Breakdown'!$B$5:$B$681,$A19)</f>
        <v>0</v>
      </c>
      <c r="S19" s="29" t="n">
        <f aca="false">SUMIFS('Task Breakdown'!$S$5:$S$681,'Task Breakdown'!$B$5:$B$681,$A19)</f>
        <v>31</v>
      </c>
      <c r="T19" s="29" t="n">
        <f aca="false">SUMIFS('Task Breakdown'!$T$5:$T$681,'Task Breakdown'!$B$5:$B$681,$A19)</f>
        <v>0</v>
      </c>
      <c r="U19" s="42" t="n">
        <f aca="false">SUM(I19:T19)</f>
        <v>261</v>
      </c>
    </row>
    <row r="20" customFormat="false" ht="15" hidden="false" customHeight="false" outlineLevel="0" collapsed="false">
      <c r="A20" s="40" t="s">
        <v>239</v>
      </c>
      <c r="B20" s="40" t="s">
        <v>37</v>
      </c>
      <c r="C20" s="40" t="s">
        <v>7</v>
      </c>
      <c r="D20" s="40" t="s">
        <v>372</v>
      </c>
      <c r="E20" s="40" t="s">
        <v>240</v>
      </c>
      <c r="F20" s="40" t="s">
        <v>43</v>
      </c>
      <c r="G20" s="40" t="s">
        <v>241</v>
      </c>
      <c r="H20" s="41" t="n">
        <f aca="false">COUNTIF('Task Breakdown'!$B$5:$B$681,$A20)</f>
        <v>11</v>
      </c>
      <c r="I20" s="29" t="n">
        <f aca="false">SUMIFS('Task Breakdown'!$I$5:$I$681,'Task Breakdown'!$B$5:$B$681,$A20)</f>
        <v>0</v>
      </c>
      <c r="J20" s="29" t="n">
        <f aca="false">SUMIFS('Task Breakdown'!$J$5:$J$681,'Task Breakdown'!$B$5:$B$681,$A20)</f>
        <v>0</v>
      </c>
      <c r="K20" s="29" t="n">
        <f aca="false">SUMIFS('Task Breakdown'!$K$5:$K$681,'Task Breakdown'!$B$5:$B$681,$A20)</f>
        <v>16</v>
      </c>
      <c r="L20" s="29" t="n">
        <f aca="false">SUMIFS('Task Breakdown'!$L$5:$L$681,'Task Breakdown'!$B$5:$B$681,$A20)</f>
        <v>57</v>
      </c>
      <c r="M20" s="29" t="n">
        <f aca="false">SUMIFS('Task Breakdown'!$M$5:$M$681,'Task Breakdown'!$B$5:$B$681,$A20)</f>
        <v>82</v>
      </c>
      <c r="N20" s="29" t="n">
        <f aca="false">SUMIFS('Task Breakdown'!$N$5:$N$681,'Task Breakdown'!$B$5:$B$681,$A20)</f>
        <v>219</v>
      </c>
      <c r="O20" s="29" t="n">
        <f aca="false">SUMIFS('Task Breakdown'!$O$5:$O$681,'Task Breakdown'!$B$5:$B$681,$A20)</f>
        <v>0</v>
      </c>
      <c r="P20" s="29" t="n">
        <f aca="false">SUMIFS('Task Breakdown'!$P$5:$P$681,'Task Breakdown'!$B$5:$B$681,$A20)</f>
        <v>0</v>
      </c>
      <c r="Q20" s="29" t="n">
        <f aca="false">SUMIFS('Task Breakdown'!$Q$5:$Q$681,'Task Breakdown'!$B$5:$B$681,$A20)</f>
        <v>57</v>
      </c>
      <c r="R20" s="29" t="n">
        <f aca="false">SUMIFS('Task Breakdown'!$R$5:$R$681,'Task Breakdown'!$B$5:$B$681,$A20)</f>
        <v>0</v>
      </c>
      <c r="S20" s="29" t="n">
        <f aca="false">SUMIFS('Task Breakdown'!$S$5:$S$681,'Task Breakdown'!$B$5:$B$681,$A20)</f>
        <v>57</v>
      </c>
      <c r="T20" s="29" t="n">
        <f aca="false">SUMIFS('Task Breakdown'!$T$5:$T$681,'Task Breakdown'!$B$5:$B$681,$A20)</f>
        <v>0</v>
      </c>
      <c r="U20" s="42" t="n">
        <f aca="false">SUM(I20:T20)</f>
        <v>488</v>
      </c>
    </row>
    <row r="21" customFormat="false" ht="15" hidden="false" customHeight="false" outlineLevel="0" collapsed="false">
      <c r="A21" s="40" t="s">
        <v>242</v>
      </c>
      <c r="B21" s="40" t="s">
        <v>37</v>
      </c>
      <c r="C21" s="40" t="s">
        <v>7</v>
      </c>
      <c r="D21" s="40" t="s">
        <v>372</v>
      </c>
      <c r="E21" s="40" t="s">
        <v>243</v>
      </c>
      <c r="F21" s="40" t="s">
        <v>43</v>
      </c>
      <c r="G21" s="40" t="s">
        <v>244</v>
      </c>
      <c r="H21" s="41" t="n">
        <f aca="false">COUNTIF('Task Breakdown'!$B$5:$B$681,$A21)</f>
        <v>11</v>
      </c>
      <c r="I21" s="29" t="n">
        <f aca="false">SUMIFS('Task Breakdown'!$I$5:$I$681,'Task Breakdown'!$B$5:$B$681,$A21)</f>
        <v>0</v>
      </c>
      <c r="J21" s="29" t="n">
        <f aca="false">SUMIFS('Task Breakdown'!$J$5:$J$681,'Task Breakdown'!$B$5:$B$681,$A21)</f>
        <v>0</v>
      </c>
      <c r="K21" s="29" t="n">
        <f aca="false">SUMIFS('Task Breakdown'!$K$5:$K$681,'Task Breakdown'!$B$5:$B$681,$A21)</f>
        <v>13</v>
      </c>
      <c r="L21" s="29" t="n">
        <f aca="false">SUMIFS('Task Breakdown'!$L$5:$L$681,'Task Breakdown'!$B$5:$B$681,$A21)</f>
        <v>0</v>
      </c>
      <c r="M21" s="29" t="n">
        <f aca="false">SUMIFS('Task Breakdown'!$M$5:$M$681,'Task Breakdown'!$B$5:$B$681,$A21)</f>
        <v>19</v>
      </c>
      <c r="N21" s="29" t="n">
        <f aca="false">SUMIFS('Task Breakdown'!$N$5:$N$681,'Task Breakdown'!$B$5:$B$681,$A21)</f>
        <v>73</v>
      </c>
      <c r="O21" s="29" t="n">
        <f aca="false">SUMIFS('Task Breakdown'!$O$5:$O$681,'Task Breakdown'!$B$5:$B$681,$A21)</f>
        <v>0</v>
      </c>
      <c r="P21" s="29" t="n">
        <f aca="false">SUMIFS('Task Breakdown'!$P$5:$P$681,'Task Breakdown'!$B$5:$B$681,$A21)</f>
        <v>0</v>
      </c>
      <c r="Q21" s="29" t="n">
        <f aca="false">SUMIFS('Task Breakdown'!$Q$5:$Q$681,'Task Breakdown'!$B$5:$B$681,$A21)</f>
        <v>185</v>
      </c>
      <c r="R21" s="29" t="n">
        <f aca="false">SUMIFS('Task Breakdown'!$R$5:$R$681,'Task Breakdown'!$B$5:$B$681,$A21)</f>
        <v>49</v>
      </c>
      <c r="S21" s="29" t="n">
        <f aca="false">SUMIFS('Task Breakdown'!$S$5:$S$681,'Task Breakdown'!$B$5:$B$681,$A21)</f>
        <v>49</v>
      </c>
      <c r="T21" s="29" t="n">
        <f aca="false">SUMIFS('Task Breakdown'!$T$5:$T$681,'Task Breakdown'!$B$5:$B$681,$A21)</f>
        <v>0</v>
      </c>
      <c r="U21" s="42" t="n">
        <f aca="false">SUM(I21:T21)</f>
        <v>388</v>
      </c>
    </row>
    <row r="22" customFormat="false" ht="15" hidden="false" customHeight="false" outlineLevel="0" collapsed="false">
      <c r="A22" s="40" t="s">
        <v>245</v>
      </c>
      <c r="B22" s="40" t="s">
        <v>37</v>
      </c>
      <c r="C22" s="40" t="s">
        <v>7</v>
      </c>
      <c r="D22" s="40" t="s">
        <v>372</v>
      </c>
      <c r="E22" s="40" t="s">
        <v>246</v>
      </c>
      <c r="F22" s="40" t="s">
        <v>42</v>
      </c>
      <c r="G22" s="40" t="s">
        <v>247</v>
      </c>
      <c r="H22" s="41" t="n">
        <f aca="false">COUNTIF('Task Breakdown'!$B$5:$B$681,$A22)</f>
        <v>11</v>
      </c>
      <c r="I22" s="29" t="n">
        <f aca="false">SUMIFS('Task Breakdown'!$I$5:$I$681,'Task Breakdown'!$B$5:$B$681,$A22)</f>
        <v>0</v>
      </c>
      <c r="J22" s="29" t="n">
        <f aca="false">SUMIFS('Task Breakdown'!$J$5:$J$681,'Task Breakdown'!$B$5:$B$681,$A22)</f>
        <v>24</v>
      </c>
      <c r="K22" s="29" t="n">
        <f aca="false">SUMIFS('Task Breakdown'!$K$5:$K$681,'Task Breakdown'!$B$5:$B$681,$A22)</f>
        <v>16</v>
      </c>
      <c r="L22" s="29" t="n">
        <f aca="false">SUMIFS('Task Breakdown'!$L$5:$L$681,'Task Breakdown'!$B$5:$B$681,$A22)</f>
        <v>24</v>
      </c>
      <c r="M22" s="29" t="n">
        <f aca="false">SUMIFS('Task Breakdown'!$M$5:$M$681,'Task Breakdown'!$B$5:$B$681,$A22)</f>
        <v>0</v>
      </c>
      <c r="N22" s="29" t="n">
        <f aca="false">SUMIFS('Task Breakdown'!$N$5:$N$681,'Task Breakdown'!$B$5:$B$681,$A22)</f>
        <v>0</v>
      </c>
      <c r="O22" s="29" t="n">
        <f aca="false">SUMIFS('Task Breakdown'!$O$5:$O$681,'Task Breakdown'!$B$5:$B$681,$A22)</f>
        <v>0</v>
      </c>
      <c r="P22" s="29" t="n">
        <f aca="false">SUMIFS('Task Breakdown'!$P$5:$P$681,'Task Breakdown'!$B$5:$B$681,$A22)</f>
        <v>0</v>
      </c>
      <c r="Q22" s="29" t="n">
        <f aca="false">SUMIFS('Task Breakdown'!$Q$5:$Q$681,'Task Breakdown'!$B$5:$B$681,$A22)</f>
        <v>291</v>
      </c>
      <c r="R22" s="29" t="n">
        <f aca="false">SUMIFS('Task Breakdown'!$R$5:$R$681,'Task Breakdown'!$B$5:$B$681,$A22)</f>
        <v>49</v>
      </c>
      <c r="S22" s="29" t="n">
        <f aca="false">SUMIFS('Task Breakdown'!$S$5:$S$681,'Task Breakdown'!$B$5:$B$681,$A22)</f>
        <v>73</v>
      </c>
      <c r="T22" s="29" t="n">
        <f aca="false">SUMIFS('Task Breakdown'!$T$5:$T$681,'Task Breakdown'!$B$5:$B$681,$A22)</f>
        <v>0</v>
      </c>
      <c r="U22" s="42" t="n">
        <f aca="false">SUM(I22:T22)</f>
        <v>477</v>
      </c>
    </row>
    <row r="23" customFormat="false" ht="15" hidden="false" customHeight="false" outlineLevel="0" collapsed="false">
      <c r="A23" s="40" t="s">
        <v>248</v>
      </c>
      <c r="B23" s="40" t="s">
        <v>37</v>
      </c>
      <c r="C23" s="40" t="s">
        <v>7</v>
      </c>
      <c r="D23" s="40" t="s">
        <v>372</v>
      </c>
      <c r="E23" s="40" t="s">
        <v>249</v>
      </c>
      <c r="F23" s="40" t="s">
        <v>42</v>
      </c>
      <c r="G23" s="40" t="s">
        <v>250</v>
      </c>
      <c r="H23" s="41" t="n">
        <f aca="false">COUNTIF('Task Breakdown'!$B$5:$B$681,$A23)</f>
        <v>9</v>
      </c>
      <c r="I23" s="29" t="n">
        <f aca="false">SUMIFS('Task Breakdown'!$I$5:$I$681,'Task Breakdown'!$B$5:$B$681,$A23)</f>
        <v>0</v>
      </c>
      <c r="J23" s="29" t="n">
        <f aca="false">SUMIFS('Task Breakdown'!$J$5:$J$681,'Task Breakdown'!$B$5:$B$681,$A23)</f>
        <v>7</v>
      </c>
      <c r="K23" s="29" t="n">
        <f aca="false">SUMIFS('Task Breakdown'!$K$5:$K$681,'Task Breakdown'!$B$5:$B$681,$A23)</f>
        <v>101</v>
      </c>
      <c r="L23" s="29" t="n">
        <f aca="false">SUMIFS('Task Breakdown'!$L$5:$L$681,'Task Breakdown'!$B$5:$B$681,$A23)</f>
        <v>0</v>
      </c>
      <c r="M23" s="29" t="n">
        <f aca="false">SUMIFS('Task Breakdown'!$M$5:$M$681,'Task Breakdown'!$B$5:$B$681,$A23)</f>
        <v>0</v>
      </c>
      <c r="N23" s="29" t="n">
        <f aca="false">SUMIFS('Task Breakdown'!$N$5:$N$681,'Task Breakdown'!$B$5:$B$681,$A23)</f>
        <v>41</v>
      </c>
      <c r="O23" s="29" t="n">
        <f aca="false">SUMIFS('Task Breakdown'!$O$5:$O$681,'Task Breakdown'!$B$5:$B$681,$A23)</f>
        <v>0</v>
      </c>
      <c r="P23" s="29" t="n">
        <f aca="false">SUMIFS('Task Breakdown'!$P$5:$P$681,'Task Breakdown'!$B$5:$B$681,$A23)</f>
        <v>0</v>
      </c>
      <c r="Q23" s="29" t="n">
        <f aca="false">SUMIFS('Task Breakdown'!$Q$5:$Q$681,'Task Breakdown'!$B$5:$B$681,$A23)</f>
        <v>0</v>
      </c>
      <c r="R23" s="29" t="n">
        <f aca="false">SUMIFS('Task Breakdown'!$R$5:$R$681,'Task Breakdown'!$B$5:$B$681,$A23)</f>
        <v>0</v>
      </c>
      <c r="S23" s="29" t="n">
        <f aca="false">SUMIFS('Task Breakdown'!$S$5:$S$681,'Task Breakdown'!$B$5:$B$681,$A23)</f>
        <v>0</v>
      </c>
      <c r="T23" s="29" t="n">
        <f aca="false">SUMIFS('Task Breakdown'!$T$5:$T$681,'Task Breakdown'!$B$5:$B$681,$A23)</f>
        <v>0</v>
      </c>
      <c r="U23" s="42" t="n">
        <f aca="false">SUM(I23:T23)</f>
        <v>149</v>
      </c>
    </row>
    <row r="24" customFormat="false" ht="15" hidden="false" customHeight="false" outlineLevel="0" collapsed="false">
      <c r="A24" s="40" t="s">
        <v>301</v>
      </c>
      <c r="B24" s="40" t="s">
        <v>37</v>
      </c>
      <c r="C24" s="40" t="s">
        <v>8</v>
      </c>
      <c r="D24" s="40" t="s">
        <v>373</v>
      </c>
      <c r="E24" s="40" t="s">
        <v>302</v>
      </c>
      <c r="F24" s="40" t="s">
        <v>43</v>
      </c>
      <c r="G24" s="40" t="s">
        <v>303</v>
      </c>
      <c r="H24" s="41" t="n">
        <f aca="false">COUNTIF('Task Breakdown'!$B$5:$B$681,$A24)</f>
        <v>11</v>
      </c>
      <c r="I24" s="29" t="n">
        <f aca="false">SUMIFS('Task Breakdown'!$I$5:$I$681,'Task Breakdown'!$B$5:$B$681,$A24)</f>
        <v>0</v>
      </c>
      <c r="J24" s="29" t="n">
        <f aca="false">SUMIFS('Task Breakdown'!$J$5:$J$681,'Task Breakdown'!$B$5:$B$681,$A24)</f>
        <v>0</v>
      </c>
      <c r="K24" s="29" t="n">
        <f aca="false">SUMIFS('Task Breakdown'!$K$5:$K$681,'Task Breakdown'!$B$5:$B$681,$A24)</f>
        <v>12</v>
      </c>
      <c r="L24" s="29" t="n">
        <f aca="false">SUMIFS('Task Breakdown'!$L$5:$L$681,'Task Breakdown'!$B$5:$B$681,$A24)</f>
        <v>0</v>
      </c>
      <c r="M24" s="29" t="n">
        <f aca="false">SUMIFS('Task Breakdown'!$M$5:$M$681,'Task Breakdown'!$B$5:$B$681,$A24)</f>
        <v>42</v>
      </c>
      <c r="N24" s="29" t="n">
        <f aca="false">SUMIFS('Task Breakdown'!$N$5:$N$681,'Task Breakdown'!$B$5:$B$681,$A24)</f>
        <v>208</v>
      </c>
      <c r="O24" s="29" t="n">
        <f aca="false">SUMIFS('Task Breakdown'!$O$5:$O$681,'Task Breakdown'!$B$5:$B$681,$A24)</f>
        <v>0</v>
      </c>
      <c r="P24" s="29" t="n">
        <f aca="false">SUMIFS('Task Breakdown'!$P$5:$P$681,'Task Breakdown'!$B$5:$B$681,$A24)</f>
        <v>0</v>
      </c>
      <c r="Q24" s="29" t="n">
        <f aca="false">SUMIFS('Task Breakdown'!$Q$5:$Q$681,'Task Breakdown'!$B$5:$B$681,$A24)</f>
        <v>0</v>
      </c>
      <c r="R24" s="29" t="n">
        <f aca="false">SUMIFS('Task Breakdown'!$R$5:$R$681,'Task Breakdown'!$B$5:$B$681,$A24)</f>
        <v>24</v>
      </c>
      <c r="S24" s="29" t="n">
        <f aca="false">SUMIFS('Task Breakdown'!$S$5:$S$681,'Task Breakdown'!$B$5:$B$681,$A24)</f>
        <v>73</v>
      </c>
      <c r="T24" s="29" t="n">
        <f aca="false">SUMIFS('Task Breakdown'!$T$5:$T$681,'Task Breakdown'!$B$5:$B$681,$A24)</f>
        <v>0</v>
      </c>
      <c r="U24" s="42" t="n">
        <f aca="false">SUM(I24:T24)</f>
        <v>359</v>
      </c>
    </row>
    <row r="25" customFormat="false" ht="15" hidden="false" customHeight="false" outlineLevel="0" collapsed="false">
      <c r="A25" s="40" t="s">
        <v>304</v>
      </c>
      <c r="B25" s="40" t="s">
        <v>37</v>
      </c>
      <c r="C25" s="40" t="s">
        <v>8</v>
      </c>
      <c r="D25" s="40" t="s">
        <v>373</v>
      </c>
      <c r="E25" s="40" t="s">
        <v>305</v>
      </c>
      <c r="F25" s="40" t="s">
        <v>43</v>
      </c>
      <c r="G25" s="40" t="s">
        <v>306</v>
      </c>
      <c r="H25" s="41" t="n">
        <f aca="false">COUNTIF('Task Breakdown'!$B$5:$B$681,$A25)</f>
        <v>9</v>
      </c>
      <c r="I25" s="29" t="n">
        <f aca="false">SUMIFS('Task Breakdown'!$I$5:$I$681,'Task Breakdown'!$B$5:$B$681,$A25)</f>
        <v>0</v>
      </c>
      <c r="J25" s="29" t="n">
        <f aca="false">SUMIFS('Task Breakdown'!$J$5:$J$681,'Task Breakdown'!$B$5:$B$681,$A25)</f>
        <v>0</v>
      </c>
      <c r="K25" s="29" t="n">
        <f aca="false">SUMIFS('Task Breakdown'!$K$5:$K$681,'Task Breakdown'!$B$5:$B$681,$A25)</f>
        <v>65</v>
      </c>
      <c r="L25" s="29" t="n">
        <f aca="false">SUMIFS('Task Breakdown'!$L$5:$L$681,'Task Breakdown'!$B$5:$B$681,$A25)</f>
        <v>0</v>
      </c>
      <c r="M25" s="29" t="n">
        <f aca="false">SUMIFS('Task Breakdown'!$M$5:$M$681,'Task Breakdown'!$B$5:$B$681,$A25)</f>
        <v>6</v>
      </c>
      <c r="N25" s="29" t="n">
        <f aca="false">SUMIFS('Task Breakdown'!$N$5:$N$681,'Task Breakdown'!$B$5:$B$681,$A25)</f>
        <v>32</v>
      </c>
      <c r="O25" s="29" t="n">
        <f aca="false">SUMIFS('Task Breakdown'!$O$5:$O$681,'Task Breakdown'!$B$5:$B$681,$A25)</f>
        <v>0</v>
      </c>
      <c r="P25" s="29" t="n">
        <f aca="false">SUMIFS('Task Breakdown'!$P$5:$P$681,'Task Breakdown'!$B$5:$B$681,$A25)</f>
        <v>0</v>
      </c>
      <c r="Q25" s="29" t="n">
        <f aca="false">SUMIFS('Task Breakdown'!$Q$5:$Q$681,'Task Breakdown'!$B$5:$B$681,$A25)</f>
        <v>0</v>
      </c>
      <c r="R25" s="29" t="n">
        <f aca="false">SUMIFS('Task Breakdown'!$R$5:$R$681,'Task Breakdown'!$B$5:$B$681,$A25)</f>
        <v>16</v>
      </c>
      <c r="S25" s="29" t="n">
        <f aca="false">SUMIFS('Task Breakdown'!$S$5:$S$681,'Task Breakdown'!$B$5:$B$681,$A25)</f>
        <v>0</v>
      </c>
      <c r="T25" s="29" t="n">
        <f aca="false">SUMIFS('Task Breakdown'!$T$5:$T$681,'Task Breakdown'!$B$5:$B$681,$A25)</f>
        <v>0</v>
      </c>
      <c r="U25" s="42" t="n">
        <f aca="false">SUM(I25:T25)</f>
        <v>119</v>
      </c>
    </row>
    <row r="26" customFormat="false" ht="15" hidden="false" customHeight="false" outlineLevel="0" collapsed="false">
      <c r="A26" s="40" t="s">
        <v>307</v>
      </c>
      <c r="B26" s="40" t="s">
        <v>37</v>
      </c>
      <c r="C26" s="40" t="s">
        <v>8</v>
      </c>
      <c r="D26" s="40" t="s">
        <v>373</v>
      </c>
      <c r="E26" s="40" t="s">
        <v>308</v>
      </c>
      <c r="F26" s="40" t="s">
        <v>43</v>
      </c>
      <c r="G26" s="40" t="s">
        <v>309</v>
      </c>
      <c r="H26" s="41" t="n">
        <f aca="false">COUNTIF('Task Breakdown'!$B$5:$B$681,$A26)</f>
        <v>9</v>
      </c>
      <c r="I26" s="29" t="n">
        <f aca="false">SUMIFS('Task Breakdown'!$I$5:$I$681,'Task Breakdown'!$B$5:$B$681,$A26)</f>
        <v>0</v>
      </c>
      <c r="J26" s="29" t="n">
        <f aca="false">SUMIFS('Task Breakdown'!$J$5:$J$681,'Task Breakdown'!$B$5:$B$681,$A26)</f>
        <v>0</v>
      </c>
      <c r="K26" s="29" t="n">
        <f aca="false">SUMIFS('Task Breakdown'!$K$5:$K$681,'Task Breakdown'!$B$5:$B$681,$A26)</f>
        <v>5</v>
      </c>
      <c r="L26" s="29" t="n">
        <f aca="false">SUMIFS('Task Breakdown'!$L$5:$L$681,'Task Breakdown'!$B$5:$B$681,$A26)</f>
        <v>0</v>
      </c>
      <c r="M26" s="29" t="n">
        <f aca="false">SUMIFS('Task Breakdown'!$M$5:$M$681,'Task Breakdown'!$B$5:$B$681,$A26)</f>
        <v>8</v>
      </c>
      <c r="N26" s="29" t="n">
        <f aca="false">SUMIFS('Task Breakdown'!$N$5:$N$681,'Task Breakdown'!$B$5:$B$681,$A26)</f>
        <v>98</v>
      </c>
      <c r="O26" s="29" t="n">
        <f aca="false">SUMIFS('Task Breakdown'!$O$5:$O$681,'Task Breakdown'!$B$5:$B$681,$A26)</f>
        <v>0</v>
      </c>
      <c r="P26" s="29" t="n">
        <f aca="false">SUMIFS('Task Breakdown'!$P$5:$P$681,'Task Breakdown'!$B$5:$B$681,$A26)</f>
        <v>0</v>
      </c>
      <c r="Q26" s="29" t="n">
        <f aca="false">SUMIFS('Task Breakdown'!$Q$5:$Q$681,'Task Breakdown'!$B$5:$B$681,$A26)</f>
        <v>32</v>
      </c>
      <c r="R26" s="29" t="n">
        <f aca="false">SUMIFS('Task Breakdown'!$R$5:$R$681,'Task Breakdown'!$B$5:$B$681,$A26)</f>
        <v>0</v>
      </c>
      <c r="S26" s="29" t="n">
        <f aca="false">SUMIFS('Task Breakdown'!$S$5:$S$681,'Task Breakdown'!$B$5:$B$681,$A26)</f>
        <v>16</v>
      </c>
      <c r="T26" s="29" t="n">
        <f aca="false">SUMIFS('Task Breakdown'!$T$5:$T$681,'Task Breakdown'!$B$5:$B$681,$A26)</f>
        <v>0</v>
      </c>
      <c r="U26" s="42" t="n">
        <f aca="false">SUM(I26:T26)</f>
        <v>159</v>
      </c>
    </row>
    <row r="27" customFormat="false" ht="15" hidden="false" customHeight="false" outlineLevel="0" collapsed="false">
      <c r="A27" s="40" t="s">
        <v>310</v>
      </c>
      <c r="B27" s="40" t="s">
        <v>37</v>
      </c>
      <c r="C27" s="40" t="s">
        <v>8</v>
      </c>
      <c r="D27" s="40" t="s">
        <v>373</v>
      </c>
      <c r="E27" s="40" t="s">
        <v>311</v>
      </c>
      <c r="F27" s="40" t="s">
        <v>42</v>
      </c>
      <c r="G27" s="40" t="s">
        <v>312</v>
      </c>
      <c r="H27" s="41" t="n">
        <f aca="false">COUNTIF('Task Breakdown'!$B$5:$B$681,$A27)</f>
        <v>11</v>
      </c>
      <c r="I27" s="29" t="n">
        <f aca="false">SUMIFS('Task Breakdown'!$I$5:$I$681,'Task Breakdown'!$B$5:$B$681,$A27)</f>
        <v>0</v>
      </c>
      <c r="J27" s="29" t="n">
        <f aca="false">SUMIFS('Task Breakdown'!$J$5:$J$681,'Task Breakdown'!$B$5:$B$681,$A27)</f>
        <v>36</v>
      </c>
      <c r="K27" s="29" t="n">
        <f aca="false">SUMIFS('Task Breakdown'!$K$5:$K$681,'Task Breakdown'!$B$5:$B$681,$A27)</f>
        <v>155</v>
      </c>
      <c r="L27" s="29" t="n">
        <f aca="false">SUMIFS('Task Breakdown'!$L$5:$L$681,'Task Breakdown'!$B$5:$B$681,$A27)</f>
        <v>0</v>
      </c>
      <c r="M27" s="29" t="n">
        <f aca="false">SUMIFS('Task Breakdown'!$M$5:$M$681,'Task Breakdown'!$B$5:$B$681,$A27)</f>
        <v>0</v>
      </c>
      <c r="N27" s="29" t="n">
        <f aca="false">SUMIFS('Task Breakdown'!$N$5:$N$681,'Task Breakdown'!$B$5:$B$681,$A27)</f>
        <v>0</v>
      </c>
      <c r="O27" s="29" t="n">
        <f aca="false">SUMIFS('Task Breakdown'!$O$5:$O$681,'Task Breakdown'!$B$5:$B$681,$A27)</f>
        <v>0</v>
      </c>
      <c r="P27" s="29" t="n">
        <f aca="false">SUMIFS('Task Breakdown'!$P$5:$P$681,'Task Breakdown'!$B$5:$B$681,$A27)</f>
        <v>0</v>
      </c>
      <c r="Q27" s="29" t="n">
        <f aca="false">SUMIFS('Task Breakdown'!$Q$5:$Q$681,'Task Breakdown'!$B$5:$B$681,$A27)</f>
        <v>0</v>
      </c>
      <c r="R27" s="29" t="n">
        <f aca="false">SUMIFS('Task Breakdown'!$R$5:$R$681,'Task Breakdown'!$B$5:$B$681,$A27)</f>
        <v>0</v>
      </c>
      <c r="S27" s="29" t="n">
        <f aca="false">SUMIFS('Task Breakdown'!$S$5:$S$681,'Task Breakdown'!$B$5:$B$681,$A27)</f>
        <v>49</v>
      </c>
      <c r="T27" s="29" t="n">
        <f aca="false">SUMIFS('Task Breakdown'!$T$5:$T$681,'Task Breakdown'!$B$5:$B$681,$A27)</f>
        <v>0</v>
      </c>
      <c r="U27" s="42" t="n">
        <f aca="false">SUM(I27:T27)</f>
        <v>240</v>
      </c>
    </row>
    <row r="28" customFormat="false" ht="15" hidden="false" customHeight="false" outlineLevel="0" collapsed="false">
      <c r="A28" s="40" t="s">
        <v>313</v>
      </c>
      <c r="B28" s="40" t="s">
        <v>37</v>
      </c>
      <c r="C28" s="40" t="s">
        <v>8</v>
      </c>
      <c r="D28" s="40" t="s">
        <v>373</v>
      </c>
      <c r="E28" s="40" t="s">
        <v>314</v>
      </c>
      <c r="F28" s="40" t="s">
        <v>42</v>
      </c>
      <c r="G28" s="40" t="s">
        <v>315</v>
      </c>
      <c r="H28" s="41" t="n">
        <f aca="false">COUNTIF('Task Breakdown'!$B$5:$B$681,$A28)</f>
        <v>9</v>
      </c>
      <c r="I28" s="29" t="n">
        <f aca="false">SUMIFS('Task Breakdown'!$I$5:$I$681,'Task Breakdown'!$B$5:$B$681,$A28)</f>
        <v>0</v>
      </c>
      <c r="J28" s="29" t="n">
        <f aca="false">SUMIFS('Task Breakdown'!$J$5:$J$681,'Task Breakdown'!$B$5:$B$681,$A28)</f>
        <v>4</v>
      </c>
      <c r="K28" s="29" t="n">
        <f aca="false">SUMIFS('Task Breakdown'!$K$5:$K$681,'Task Breakdown'!$B$5:$B$681,$A28)</f>
        <v>72</v>
      </c>
      <c r="L28" s="29" t="n">
        <f aca="false">SUMIFS('Task Breakdown'!$L$5:$L$681,'Task Breakdown'!$B$5:$B$681,$A28)</f>
        <v>10</v>
      </c>
      <c r="M28" s="29" t="n">
        <f aca="false">SUMIFS('Task Breakdown'!$M$5:$M$681,'Task Breakdown'!$B$5:$B$681,$A28)</f>
        <v>0</v>
      </c>
      <c r="N28" s="29" t="n">
        <f aca="false">SUMIFS('Task Breakdown'!$N$5:$N$681,'Task Breakdown'!$B$5:$B$681,$A28)</f>
        <v>0</v>
      </c>
      <c r="O28" s="29" t="n">
        <f aca="false">SUMIFS('Task Breakdown'!$O$5:$O$681,'Task Breakdown'!$B$5:$B$681,$A28)</f>
        <v>0</v>
      </c>
      <c r="P28" s="29" t="n">
        <f aca="false">SUMIFS('Task Breakdown'!$P$5:$P$681,'Task Breakdown'!$B$5:$B$681,$A28)</f>
        <v>0</v>
      </c>
      <c r="Q28" s="29" t="n">
        <f aca="false">SUMIFS('Task Breakdown'!$Q$5:$Q$681,'Task Breakdown'!$B$5:$B$681,$A28)</f>
        <v>0</v>
      </c>
      <c r="R28" s="29" t="n">
        <f aca="false">SUMIFS('Task Breakdown'!$R$5:$R$681,'Task Breakdown'!$B$5:$B$681,$A28)</f>
        <v>0</v>
      </c>
      <c r="S28" s="29" t="n">
        <f aca="false">SUMIFS('Task Breakdown'!$S$5:$S$681,'Task Breakdown'!$B$5:$B$681,$A28)</f>
        <v>0</v>
      </c>
      <c r="T28" s="29" t="n">
        <f aca="false">SUMIFS('Task Breakdown'!$T$5:$T$681,'Task Breakdown'!$B$5:$B$681,$A28)</f>
        <v>0</v>
      </c>
      <c r="U28" s="42" t="n">
        <f aca="false">SUM(I28:T28)</f>
        <v>86</v>
      </c>
    </row>
    <row r="29" customFormat="false" ht="15" hidden="false" customHeight="false" outlineLevel="0" collapsed="false">
      <c r="A29" s="40" t="s">
        <v>316</v>
      </c>
      <c r="B29" s="40" t="s">
        <v>37</v>
      </c>
      <c r="C29" s="40" t="s">
        <v>8</v>
      </c>
      <c r="D29" s="40" t="s">
        <v>373</v>
      </c>
      <c r="E29" s="40" t="s">
        <v>317</v>
      </c>
      <c r="F29" s="40" t="s">
        <v>42</v>
      </c>
      <c r="G29" s="40" t="s">
        <v>318</v>
      </c>
      <c r="H29" s="41" t="n">
        <f aca="false">COUNTIF('Task Breakdown'!$B$5:$B$681,$A29)</f>
        <v>11</v>
      </c>
      <c r="I29" s="29" t="n">
        <f aca="false">SUMIFS('Task Breakdown'!$I$5:$I$681,'Task Breakdown'!$B$5:$B$681,$A29)</f>
        <v>0</v>
      </c>
      <c r="J29" s="29" t="n">
        <f aca="false">SUMIFS('Task Breakdown'!$J$5:$J$681,'Task Breakdown'!$B$5:$B$681,$A29)</f>
        <v>93</v>
      </c>
      <c r="K29" s="29" t="n">
        <f aca="false">SUMIFS('Task Breakdown'!$K$5:$K$681,'Task Breakdown'!$B$5:$B$681,$A29)</f>
        <v>236</v>
      </c>
      <c r="L29" s="29" t="n">
        <f aca="false">SUMIFS('Task Breakdown'!$L$5:$L$681,'Task Breakdown'!$B$5:$B$681,$A29)</f>
        <v>99</v>
      </c>
      <c r="M29" s="29" t="n">
        <f aca="false">SUMIFS('Task Breakdown'!$M$5:$M$681,'Task Breakdown'!$B$5:$B$681,$A29)</f>
        <v>0</v>
      </c>
      <c r="N29" s="29" t="n">
        <f aca="false">SUMIFS('Task Breakdown'!$N$5:$N$681,'Task Breakdown'!$B$5:$B$681,$A29)</f>
        <v>0</v>
      </c>
      <c r="O29" s="29" t="n">
        <f aca="false">SUMIFS('Task Breakdown'!$O$5:$O$681,'Task Breakdown'!$B$5:$B$681,$A29)</f>
        <v>65</v>
      </c>
      <c r="P29" s="29" t="n">
        <f aca="false">SUMIFS('Task Breakdown'!$P$5:$P$681,'Task Breakdown'!$B$5:$B$681,$A29)</f>
        <v>0</v>
      </c>
      <c r="Q29" s="29" t="n">
        <f aca="false">SUMIFS('Task Breakdown'!$Q$5:$Q$681,'Task Breakdown'!$B$5:$B$681,$A29)</f>
        <v>0</v>
      </c>
      <c r="R29" s="29" t="n">
        <f aca="false">SUMIFS('Task Breakdown'!$R$5:$R$681,'Task Breakdown'!$B$5:$B$681,$A29)</f>
        <v>0</v>
      </c>
      <c r="S29" s="29" t="n">
        <f aca="false">SUMIFS('Task Breakdown'!$S$5:$S$681,'Task Breakdown'!$B$5:$B$681,$A29)</f>
        <v>65</v>
      </c>
      <c r="T29" s="29" t="n">
        <f aca="false">SUMIFS('Task Breakdown'!$T$5:$T$681,'Task Breakdown'!$B$5:$B$681,$A29)</f>
        <v>0</v>
      </c>
      <c r="U29" s="42" t="n">
        <f aca="false">SUM(I29:T29)</f>
        <v>558</v>
      </c>
    </row>
    <row r="30" customFormat="false" ht="23.85" hidden="false" customHeight="false" outlineLevel="0" collapsed="false">
      <c r="A30" s="40" t="s">
        <v>121</v>
      </c>
      <c r="B30" s="40" t="s">
        <v>38</v>
      </c>
      <c r="C30" s="40" t="s">
        <v>5</v>
      </c>
      <c r="D30" s="40" t="s">
        <v>374</v>
      </c>
      <c r="E30" s="40" t="s">
        <v>122</v>
      </c>
      <c r="F30" s="40" t="s">
        <v>44</v>
      </c>
      <c r="G30" s="40" t="s">
        <v>123</v>
      </c>
      <c r="H30" s="41" t="n">
        <f aca="false">COUNTIF('Task Breakdown'!$B$5:$B$681,$A30)</f>
        <v>6</v>
      </c>
      <c r="I30" s="29" t="n">
        <f aca="false">SUMIFS('Task Breakdown'!$I$5:$I$681,'Task Breakdown'!$B$5:$B$681,$A30)</f>
        <v>0</v>
      </c>
      <c r="J30" s="29" t="n">
        <f aca="false">SUMIFS('Task Breakdown'!$J$5:$J$681,'Task Breakdown'!$B$5:$B$681,$A30)</f>
        <v>0</v>
      </c>
      <c r="K30" s="29" t="n">
        <f aca="false">SUMIFS('Task Breakdown'!$K$5:$K$681,'Task Breakdown'!$B$5:$B$681,$A30)</f>
        <v>0</v>
      </c>
      <c r="L30" s="29" t="n">
        <f aca="false">SUMIFS('Task Breakdown'!$L$5:$L$681,'Task Breakdown'!$B$5:$B$681,$A30)</f>
        <v>0</v>
      </c>
      <c r="M30" s="29" t="n">
        <f aca="false">SUMIFS('Task Breakdown'!$M$5:$M$681,'Task Breakdown'!$B$5:$B$681,$A30)</f>
        <v>0</v>
      </c>
      <c r="N30" s="29" t="n">
        <f aca="false">SUMIFS('Task Breakdown'!$N$5:$N$681,'Task Breakdown'!$B$5:$B$681,$A30)</f>
        <v>0</v>
      </c>
      <c r="O30" s="29" t="n">
        <f aca="false">SUMIFS('Task Breakdown'!$O$5:$O$681,'Task Breakdown'!$B$5:$B$681,$A30)</f>
        <v>49</v>
      </c>
      <c r="P30" s="29" t="n">
        <f aca="false">SUMIFS('Task Breakdown'!$P$5:$P$681,'Task Breakdown'!$B$5:$B$681,$A30)</f>
        <v>87</v>
      </c>
      <c r="Q30" s="29" t="n">
        <f aca="false">SUMIFS('Task Breakdown'!$Q$5:$Q$681,'Task Breakdown'!$B$5:$B$681,$A30)</f>
        <v>0</v>
      </c>
      <c r="R30" s="29" t="n">
        <f aca="false">SUMIFS('Task Breakdown'!$R$5:$R$681,'Task Breakdown'!$B$5:$B$681,$A30)</f>
        <v>82</v>
      </c>
      <c r="S30" s="29" t="n">
        <f aca="false">SUMIFS('Task Breakdown'!$S$5:$S$681,'Task Breakdown'!$B$5:$B$681,$A30)</f>
        <v>0</v>
      </c>
      <c r="T30" s="29" t="n">
        <f aca="false">SUMIFS('Task Breakdown'!$T$5:$T$681,'Task Breakdown'!$B$5:$B$681,$A30)</f>
        <v>0</v>
      </c>
      <c r="U30" s="42" t="n">
        <f aca="false">SUM(I30:T30)</f>
        <v>218</v>
      </c>
    </row>
    <row r="31" customFormat="false" ht="15" hidden="false" customHeight="false" outlineLevel="0" collapsed="false">
      <c r="A31" s="40" t="s">
        <v>124</v>
      </c>
      <c r="B31" s="40" t="s">
        <v>38</v>
      </c>
      <c r="C31" s="40" t="s">
        <v>5</v>
      </c>
      <c r="D31" s="40" t="s">
        <v>374</v>
      </c>
      <c r="E31" s="40" t="s">
        <v>125</v>
      </c>
      <c r="F31" s="40" t="s">
        <v>44</v>
      </c>
      <c r="G31" s="40" t="s">
        <v>126</v>
      </c>
      <c r="H31" s="41" t="n">
        <f aca="false">COUNTIF('Task Breakdown'!$B$5:$B$681,$A31)</f>
        <v>7</v>
      </c>
      <c r="I31" s="29" t="n">
        <f aca="false">SUMIFS('Task Breakdown'!$I$5:$I$681,'Task Breakdown'!$B$5:$B$681,$A31)</f>
        <v>0</v>
      </c>
      <c r="J31" s="29" t="n">
        <f aca="false">SUMIFS('Task Breakdown'!$J$5:$J$681,'Task Breakdown'!$B$5:$B$681,$A31)</f>
        <v>0</v>
      </c>
      <c r="K31" s="29" t="n">
        <f aca="false">SUMIFS('Task Breakdown'!$K$5:$K$681,'Task Breakdown'!$B$5:$B$681,$A31)</f>
        <v>0</v>
      </c>
      <c r="L31" s="29" t="n">
        <f aca="false">SUMIFS('Task Breakdown'!$L$5:$L$681,'Task Breakdown'!$B$5:$B$681,$A31)</f>
        <v>40</v>
      </c>
      <c r="M31" s="29" t="n">
        <f aca="false">SUMIFS('Task Breakdown'!$M$5:$M$681,'Task Breakdown'!$B$5:$B$681,$A31)</f>
        <v>0</v>
      </c>
      <c r="N31" s="29" t="n">
        <f aca="false">SUMIFS('Task Breakdown'!$N$5:$N$681,'Task Breakdown'!$B$5:$B$681,$A31)</f>
        <v>0</v>
      </c>
      <c r="O31" s="29" t="n">
        <f aca="false">SUMIFS('Task Breakdown'!$O$5:$O$681,'Task Breakdown'!$B$5:$B$681,$A31)</f>
        <v>20</v>
      </c>
      <c r="P31" s="29" t="n">
        <f aca="false">SUMIFS('Task Breakdown'!$P$5:$P$681,'Task Breakdown'!$B$5:$B$681,$A31)</f>
        <v>96</v>
      </c>
      <c r="Q31" s="29" t="n">
        <f aca="false">SUMIFS('Task Breakdown'!$Q$5:$Q$681,'Task Breakdown'!$B$5:$B$681,$A31)</f>
        <v>0</v>
      </c>
      <c r="R31" s="29" t="n">
        <f aca="false">SUMIFS('Task Breakdown'!$R$5:$R$681,'Task Breakdown'!$B$5:$B$681,$A31)</f>
        <v>0</v>
      </c>
      <c r="S31" s="29" t="n">
        <f aca="false">SUMIFS('Task Breakdown'!$S$5:$S$681,'Task Breakdown'!$B$5:$B$681,$A31)</f>
        <v>0</v>
      </c>
      <c r="T31" s="29" t="n">
        <f aca="false">SUMIFS('Task Breakdown'!$T$5:$T$681,'Task Breakdown'!$B$5:$B$681,$A31)</f>
        <v>0</v>
      </c>
      <c r="U31" s="42" t="n">
        <f aca="false">SUM(I31:T31)</f>
        <v>156</v>
      </c>
    </row>
    <row r="32" customFormat="false" ht="15" hidden="false" customHeight="false" outlineLevel="0" collapsed="false">
      <c r="A32" s="40" t="s">
        <v>127</v>
      </c>
      <c r="B32" s="40" t="s">
        <v>38</v>
      </c>
      <c r="C32" s="40" t="s">
        <v>5</v>
      </c>
      <c r="D32" s="40" t="s">
        <v>374</v>
      </c>
      <c r="E32" s="40" t="s">
        <v>128</v>
      </c>
      <c r="F32" s="40" t="s">
        <v>44</v>
      </c>
      <c r="G32" s="40" t="s">
        <v>129</v>
      </c>
      <c r="H32" s="41" t="n">
        <f aca="false">COUNTIF('Task Breakdown'!$B$5:$B$681,$A32)</f>
        <v>6</v>
      </c>
      <c r="I32" s="29" t="n">
        <f aca="false">SUMIFS('Task Breakdown'!$I$5:$I$681,'Task Breakdown'!$B$5:$B$681,$A32)</f>
        <v>16</v>
      </c>
      <c r="J32" s="29" t="n">
        <f aca="false">SUMIFS('Task Breakdown'!$J$5:$J$681,'Task Breakdown'!$B$5:$B$681,$A32)</f>
        <v>0</v>
      </c>
      <c r="K32" s="29" t="n">
        <f aca="false">SUMIFS('Task Breakdown'!$K$5:$K$681,'Task Breakdown'!$B$5:$B$681,$A32)</f>
        <v>0</v>
      </c>
      <c r="L32" s="29" t="n">
        <f aca="false">SUMIFS('Task Breakdown'!$L$5:$L$681,'Task Breakdown'!$B$5:$B$681,$A32)</f>
        <v>0</v>
      </c>
      <c r="M32" s="29" t="n">
        <f aca="false">SUMIFS('Task Breakdown'!$M$5:$M$681,'Task Breakdown'!$B$5:$B$681,$A32)</f>
        <v>0</v>
      </c>
      <c r="N32" s="29" t="n">
        <f aca="false">SUMIFS('Task Breakdown'!$N$5:$N$681,'Task Breakdown'!$B$5:$B$681,$A32)</f>
        <v>0</v>
      </c>
      <c r="O32" s="29" t="n">
        <f aca="false">SUMIFS('Task Breakdown'!$O$5:$O$681,'Task Breakdown'!$B$5:$B$681,$A32)</f>
        <v>0</v>
      </c>
      <c r="P32" s="29" t="n">
        <f aca="false">SUMIFS('Task Breakdown'!$P$5:$P$681,'Task Breakdown'!$B$5:$B$681,$A32)</f>
        <v>29</v>
      </c>
      <c r="Q32" s="29" t="n">
        <f aca="false">SUMIFS('Task Breakdown'!$Q$5:$Q$681,'Task Breakdown'!$B$5:$B$681,$A32)</f>
        <v>0</v>
      </c>
      <c r="R32" s="29" t="n">
        <f aca="false">SUMIFS('Task Breakdown'!$R$5:$R$681,'Task Breakdown'!$B$5:$B$681,$A32)</f>
        <v>27</v>
      </c>
      <c r="S32" s="29" t="n">
        <f aca="false">SUMIFS('Task Breakdown'!$S$5:$S$681,'Task Breakdown'!$B$5:$B$681,$A32)</f>
        <v>0</v>
      </c>
      <c r="T32" s="29" t="n">
        <f aca="false">SUMIFS('Task Breakdown'!$T$5:$T$681,'Task Breakdown'!$B$5:$B$681,$A32)</f>
        <v>16</v>
      </c>
      <c r="U32" s="42" t="n">
        <f aca="false">SUM(I32:T32)</f>
        <v>88</v>
      </c>
    </row>
    <row r="33" customFormat="false" ht="15" hidden="false" customHeight="false" outlineLevel="0" collapsed="false">
      <c r="A33" s="40" t="s">
        <v>130</v>
      </c>
      <c r="B33" s="40" t="s">
        <v>38</v>
      </c>
      <c r="C33" s="40" t="s">
        <v>5</v>
      </c>
      <c r="D33" s="40" t="s">
        <v>374</v>
      </c>
      <c r="E33" s="40" t="s">
        <v>131</v>
      </c>
      <c r="F33" s="40" t="s">
        <v>42</v>
      </c>
      <c r="G33" s="40" t="s">
        <v>132</v>
      </c>
      <c r="H33" s="41" t="n">
        <f aca="false">COUNTIF('Task Breakdown'!$B$5:$B$681,$A33)</f>
        <v>9</v>
      </c>
      <c r="I33" s="29" t="n">
        <f aca="false">SUMIFS('Task Breakdown'!$I$5:$I$681,'Task Breakdown'!$B$5:$B$681,$A33)</f>
        <v>0</v>
      </c>
      <c r="J33" s="29" t="n">
        <f aca="false">SUMIFS('Task Breakdown'!$J$5:$J$681,'Task Breakdown'!$B$5:$B$681,$A33)</f>
        <v>21</v>
      </c>
      <c r="K33" s="29" t="n">
        <f aca="false">SUMIFS('Task Breakdown'!$K$5:$K$681,'Task Breakdown'!$B$5:$B$681,$A33)</f>
        <v>61</v>
      </c>
      <c r="L33" s="29" t="n">
        <f aca="false">SUMIFS('Task Breakdown'!$L$5:$L$681,'Task Breakdown'!$B$5:$B$681,$A33)</f>
        <v>16</v>
      </c>
      <c r="M33" s="29" t="n">
        <f aca="false">SUMIFS('Task Breakdown'!$M$5:$M$681,'Task Breakdown'!$B$5:$B$681,$A33)</f>
        <v>0</v>
      </c>
      <c r="N33" s="29" t="n">
        <f aca="false">SUMIFS('Task Breakdown'!$N$5:$N$681,'Task Breakdown'!$B$5:$B$681,$A33)</f>
        <v>0</v>
      </c>
      <c r="O33" s="29" t="n">
        <f aca="false">SUMIFS('Task Breakdown'!$O$5:$O$681,'Task Breakdown'!$B$5:$B$681,$A33)</f>
        <v>0</v>
      </c>
      <c r="P33" s="29" t="n">
        <f aca="false">SUMIFS('Task Breakdown'!$P$5:$P$681,'Task Breakdown'!$B$5:$B$681,$A33)</f>
        <v>0</v>
      </c>
      <c r="Q33" s="29" t="n">
        <f aca="false">SUMIFS('Task Breakdown'!$Q$5:$Q$681,'Task Breakdown'!$B$5:$B$681,$A33)</f>
        <v>0</v>
      </c>
      <c r="R33" s="29" t="n">
        <f aca="false">SUMIFS('Task Breakdown'!$R$5:$R$681,'Task Breakdown'!$B$5:$B$681,$A33)</f>
        <v>0</v>
      </c>
      <c r="S33" s="29" t="n">
        <f aca="false">SUMIFS('Task Breakdown'!$S$5:$S$681,'Task Breakdown'!$B$5:$B$681,$A33)</f>
        <v>0</v>
      </c>
      <c r="T33" s="29" t="n">
        <f aca="false">SUMIFS('Task Breakdown'!$T$5:$T$681,'Task Breakdown'!$B$5:$B$681,$A33)</f>
        <v>0</v>
      </c>
      <c r="U33" s="42" t="n">
        <f aca="false">SUM(I33:T33)</f>
        <v>98</v>
      </c>
    </row>
    <row r="34" customFormat="false" ht="15" hidden="false" customHeight="false" outlineLevel="0" collapsed="false">
      <c r="A34" s="40" t="s">
        <v>133</v>
      </c>
      <c r="B34" s="40" t="s">
        <v>38</v>
      </c>
      <c r="C34" s="40" t="s">
        <v>5</v>
      </c>
      <c r="D34" s="40" t="s">
        <v>374</v>
      </c>
      <c r="E34" s="40" t="s">
        <v>134</v>
      </c>
      <c r="F34" s="40" t="s">
        <v>42</v>
      </c>
      <c r="G34" s="40" t="s">
        <v>135</v>
      </c>
      <c r="H34" s="41" t="n">
        <f aca="false">COUNTIF('Task Breakdown'!$B$5:$B$681,$A34)</f>
        <v>9</v>
      </c>
      <c r="I34" s="29" t="n">
        <f aca="false">SUMIFS('Task Breakdown'!$I$5:$I$681,'Task Breakdown'!$B$5:$B$681,$A34)</f>
        <v>0</v>
      </c>
      <c r="J34" s="29" t="n">
        <f aca="false">SUMIFS('Task Breakdown'!$J$5:$J$681,'Task Breakdown'!$B$5:$B$681,$A34)</f>
        <v>22</v>
      </c>
      <c r="K34" s="29" t="n">
        <f aca="false">SUMIFS('Task Breakdown'!$K$5:$K$681,'Task Breakdown'!$B$5:$B$681,$A34)</f>
        <v>65</v>
      </c>
      <c r="L34" s="29" t="n">
        <f aca="false">SUMIFS('Task Breakdown'!$L$5:$L$681,'Task Breakdown'!$B$5:$B$681,$A34)</f>
        <v>0</v>
      </c>
      <c r="M34" s="29" t="n">
        <f aca="false">SUMIFS('Task Breakdown'!$M$5:$M$681,'Task Breakdown'!$B$5:$B$681,$A34)</f>
        <v>0</v>
      </c>
      <c r="N34" s="29" t="n">
        <f aca="false">SUMIFS('Task Breakdown'!$N$5:$N$681,'Task Breakdown'!$B$5:$B$681,$A34)</f>
        <v>0</v>
      </c>
      <c r="O34" s="29" t="n">
        <f aca="false">SUMIFS('Task Breakdown'!$O$5:$O$681,'Task Breakdown'!$B$5:$B$681,$A34)</f>
        <v>32</v>
      </c>
      <c r="P34" s="29" t="n">
        <f aca="false">SUMIFS('Task Breakdown'!$P$5:$P$681,'Task Breakdown'!$B$5:$B$681,$A34)</f>
        <v>0</v>
      </c>
      <c r="Q34" s="29" t="n">
        <f aca="false">SUMIFS('Task Breakdown'!$Q$5:$Q$681,'Task Breakdown'!$B$5:$B$681,$A34)</f>
        <v>0</v>
      </c>
      <c r="R34" s="29" t="n">
        <f aca="false">SUMIFS('Task Breakdown'!$R$5:$R$681,'Task Breakdown'!$B$5:$B$681,$A34)</f>
        <v>0</v>
      </c>
      <c r="S34" s="29" t="n">
        <f aca="false">SUMIFS('Task Breakdown'!$S$5:$S$681,'Task Breakdown'!$B$5:$B$681,$A34)</f>
        <v>0</v>
      </c>
      <c r="T34" s="29" t="n">
        <f aca="false">SUMIFS('Task Breakdown'!$T$5:$T$681,'Task Breakdown'!$B$5:$B$681,$A34)</f>
        <v>0</v>
      </c>
      <c r="U34" s="42" t="n">
        <f aca="false">SUM(I34:T34)</f>
        <v>119</v>
      </c>
    </row>
    <row r="35" customFormat="false" ht="15" hidden="false" customHeight="false" outlineLevel="0" collapsed="false">
      <c r="A35" s="40" t="s">
        <v>136</v>
      </c>
      <c r="B35" s="40" t="s">
        <v>38</v>
      </c>
      <c r="C35" s="40" t="s">
        <v>5</v>
      </c>
      <c r="D35" s="40" t="s">
        <v>374</v>
      </c>
      <c r="E35" s="40" t="s">
        <v>137</v>
      </c>
      <c r="F35" s="40" t="s">
        <v>44</v>
      </c>
      <c r="G35" s="40" t="s">
        <v>138</v>
      </c>
      <c r="H35" s="41" t="n">
        <f aca="false">COUNTIF('Task Breakdown'!$B$5:$B$681,$A35)</f>
        <v>7</v>
      </c>
      <c r="I35" s="29" t="n">
        <f aca="false">SUMIFS('Task Breakdown'!$I$5:$I$681,'Task Breakdown'!$B$5:$B$681,$A35)</f>
        <v>0</v>
      </c>
      <c r="J35" s="29" t="n">
        <f aca="false">SUMIFS('Task Breakdown'!$J$5:$J$681,'Task Breakdown'!$B$5:$B$681,$A35)</f>
        <v>0</v>
      </c>
      <c r="K35" s="29" t="n">
        <f aca="false">SUMIFS('Task Breakdown'!$K$5:$K$681,'Task Breakdown'!$B$5:$B$681,$A35)</f>
        <v>0</v>
      </c>
      <c r="L35" s="29" t="n">
        <f aca="false">SUMIFS('Task Breakdown'!$L$5:$L$681,'Task Breakdown'!$B$5:$B$681,$A35)</f>
        <v>20</v>
      </c>
      <c r="M35" s="29" t="n">
        <f aca="false">SUMIFS('Task Breakdown'!$M$5:$M$681,'Task Breakdown'!$B$5:$B$681,$A35)</f>
        <v>0</v>
      </c>
      <c r="N35" s="29" t="n">
        <f aca="false">SUMIFS('Task Breakdown'!$N$5:$N$681,'Task Breakdown'!$B$5:$B$681,$A35)</f>
        <v>0</v>
      </c>
      <c r="O35" s="29" t="n">
        <f aca="false">SUMIFS('Task Breakdown'!$O$5:$O$681,'Task Breakdown'!$B$5:$B$681,$A35)</f>
        <v>41</v>
      </c>
      <c r="P35" s="29" t="n">
        <f aca="false">SUMIFS('Task Breakdown'!$P$5:$P$681,'Task Breakdown'!$B$5:$B$681,$A35)</f>
        <v>118</v>
      </c>
      <c r="Q35" s="29" t="n">
        <f aca="false">SUMIFS('Task Breakdown'!$Q$5:$Q$681,'Task Breakdown'!$B$5:$B$681,$A35)</f>
        <v>0</v>
      </c>
      <c r="R35" s="29" t="n">
        <f aca="false">SUMIFS('Task Breakdown'!$R$5:$R$681,'Task Breakdown'!$B$5:$B$681,$A35)</f>
        <v>0</v>
      </c>
      <c r="S35" s="29" t="n">
        <f aca="false">SUMIFS('Task Breakdown'!$S$5:$S$681,'Task Breakdown'!$B$5:$B$681,$A35)</f>
        <v>0</v>
      </c>
      <c r="T35" s="29" t="n">
        <f aca="false">SUMIFS('Task Breakdown'!$T$5:$T$681,'Task Breakdown'!$B$5:$B$681,$A35)</f>
        <v>0</v>
      </c>
      <c r="U35" s="42" t="n">
        <f aca="false">SUM(I35:T35)</f>
        <v>179</v>
      </c>
    </row>
    <row r="36" customFormat="false" ht="15" hidden="false" customHeight="false" outlineLevel="0" collapsed="false">
      <c r="A36" s="40" t="s">
        <v>188</v>
      </c>
      <c r="B36" s="40" t="s">
        <v>38</v>
      </c>
      <c r="C36" s="40" t="s">
        <v>6</v>
      </c>
      <c r="D36" s="40" t="s">
        <v>375</v>
      </c>
      <c r="E36" s="40" t="s">
        <v>189</v>
      </c>
      <c r="F36" s="40" t="s">
        <v>44</v>
      </c>
      <c r="G36" s="40" t="s">
        <v>190</v>
      </c>
      <c r="H36" s="41" t="n">
        <f aca="false">COUNTIF('Task Breakdown'!$B$5:$B$681,$A36)</f>
        <v>12</v>
      </c>
      <c r="I36" s="29" t="n">
        <f aca="false">SUMIFS('Task Breakdown'!$I$5:$I$681,'Task Breakdown'!$B$5:$B$681,$A36)</f>
        <v>0</v>
      </c>
      <c r="J36" s="29" t="n">
        <f aca="false">SUMIFS('Task Breakdown'!$J$5:$J$681,'Task Breakdown'!$B$5:$B$681,$A36)</f>
        <v>0</v>
      </c>
      <c r="K36" s="29" t="n">
        <f aca="false">SUMIFS('Task Breakdown'!$K$5:$K$681,'Task Breakdown'!$B$5:$B$681,$A36)</f>
        <v>24</v>
      </c>
      <c r="L36" s="29" t="n">
        <f aca="false">SUMIFS('Task Breakdown'!$L$5:$L$681,'Task Breakdown'!$B$5:$B$681,$A36)</f>
        <v>0</v>
      </c>
      <c r="M36" s="29" t="n">
        <f aca="false">SUMIFS('Task Breakdown'!$M$5:$M$681,'Task Breakdown'!$B$5:$B$681,$A36)</f>
        <v>0</v>
      </c>
      <c r="N36" s="29" t="n">
        <f aca="false">SUMIFS('Task Breakdown'!$N$5:$N$681,'Task Breakdown'!$B$5:$B$681,$A36)</f>
        <v>0</v>
      </c>
      <c r="O36" s="29" t="n">
        <f aca="false">SUMIFS('Task Breakdown'!$O$5:$O$681,'Task Breakdown'!$B$5:$B$681,$A36)</f>
        <v>501</v>
      </c>
      <c r="P36" s="29" t="n">
        <f aca="false">SUMIFS('Task Breakdown'!$P$5:$P$681,'Task Breakdown'!$B$5:$B$681,$A36)</f>
        <v>64</v>
      </c>
      <c r="Q36" s="29" t="n">
        <f aca="false">SUMIFS('Task Breakdown'!$Q$5:$Q$681,'Task Breakdown'!$B$5:$B$681,$A36)</f>
        <v>0</v>
      </c>
      <c r="R36" s="29" t="n">
        <f aca="false">SUMIFS('Task Breakdown'!$R$5:$R$681,'Task Breakdown'!$B$5:$B$681,$A36)</f>
        <v>57</v>
      </c>
      <c r="S36" s="29" t="n">
        <f aca="false">SUMIFS('Task Breakdown'!$S$5:$S$681,'Task Breakdown'!$B$5:$B$681,$A36)</f>
        <v>86</v>
      </c>
      <c r="T36" s="29" t="n">
        <f aca="false">SUMIFS('Task Breakdown'!$T$5:$T$681,'Task Breakdown'!$B$5:$B$681,$A36)</f>
        <v>0</v>
      </c>
      <c r="U36" s="42" t="n">
        <f aca="false">SUM(I36:T36)</f>
        <v>732</v>
      </c>
    </row>
    <row r="37" customFormat="false" ht="15" hidden="false" customHeight="false" outlineLevel="0" collapsed="false">
      <c r="A37" s="40" t="s">
        <v>191</v>
      </c>
      <c r="B37" s="40" t="s">
        <v>38</v>
      </c>
      <c r="C37" s="40" t="s">
        <v>6</v>
      </c>
      <c r="D37" s="40" t="s">
        <v>375</v>
      </c>
      <c r="E37" s="40" t="s">
        <v>192</v>
      </c>
      <c r="F37" s="40" t="s">
        <v>43</v>
      </c>
      <c r="G37" s="40" t="s">
        <v>193</v>
      </c>
      <c r="H37" s="41" t="n">
        <f aca="false">COUNTIF('Task Breakdown'!$B$5:$B$681,$A37)</f>
        <v>11</v>
      </c>
      <c r="I37" s="29" t="n">
        <f aca="false">SUMIFS('Task Breakdown'!$I$5:$I$681,'Task Breakdown'!$B$5:$B$681,$A37)</f>
        <v>0</v>
      </c>
      <c r="J37" s="29" t="n">
        <f aca="false">SUMIFS('Task Breakdown'!$J$5:$J$681,'Task Breakdown'!$B$5:$B$681,$A37)</f>
        <v>0</v>
      </c>
      <c r="K37" s="29" t="n">
        <f aca="false">SUMIFS('Task Breakdown'!$K$5:$K$681,'Task Breakdown'!$B$5:$B$681,$A37)</f>
        <v>12</v>
      </c>
      <c r="L37" s="29" t="n">
        <f aca="false">SUMIFS('Task Breakdown'!$L$5:$L$681,'Task Breakdown'!$B$5:$B$681,$A37)</f>
        <v>0</v>
      </c>
      <c r="M37" s="29" t="n">
        <f aca="false">SUMIFS('Task Breakdown'!$M$5:$M$681,'Task Breakdown'!$B$5:$B$681,$A37)</f>
        <v>18</v>
      </c>
      <c r="N37" s="29" t="n">
        <f aca="false">SUMIFS('Task Breakdown'!$N$5:$N$681,'Task Breakdown'!$B$5:$B$681,$A37)</f>
        <v>159</v>
      </c>
      <c r="O37" s="29" t="n">
        <f aca="false">SUMIFS('Task Breakdown'!$O$5:$O$681,'Task Breakdown'!$B$5:$B$681,$A37)</f>
        <v>123</v>
      </c>
      <c r="P37" s="29" t="n">
        <f aca="false">SUMIFS('Task Breakdown'!$P$5:$P$681,'Task Breakdown'!$B$5:$B$681,$A37)</f>
        <v>0</v>
      </c>
      <c r="Q37" s="29" t="n">
        <f aca="false">SUMIFS('Task Breakdown'!$Q$5:$Q$681,'Task Breakdown'!$B$5:$B$681,$A37)</f>
        <v>0</v>
      </c>
      <c r="R37" s="29" t="n">
        <f aca="false">SUMIFS('Task Breakdown'!$R$5:$R$681,'Task Breakdown'!$B$5:$B$681,$A37)</f>
        <v>0</v>
      </c>
      <c r="S37" s="29" t="n">
        <f aca="false">SUMIFS('Task Breakdown'!$S$5:$S$681,'Task Breakdown'!$B$5:$B$681,$A37)</f>
        <v>49</v>
      </c>
      <c r="T37" s="29" t="n">
        <f aca="false">SUMIFS('Task Breakdown'!$T$5:$T$681,'Task Breakdown'!$B$5:$B$681,$A37)</f>
        <v>0</v>
      </c>
      <c r="U37" s="42" t="n">
        <f aca="false">SUM(I37:T37)</f>
        <v>361</v>
      </c>
    </row>
    <row r="38" customFormat="false" ht="15" hidden="false" customHeight="false" outlineLevel="0" collapsed="false">
      <c r="A38" s="40" t="s">
        <v>194</v>
      </c>
      <c r="B38" s="40" t="s">
        <v>38</v>
      </c>
      <c r="C38" s="40" t="s">
        <v>6</v>
      </c>
      <c r="D38" s="40" t="s">
        <v>375</v>
      </c>
      <c r="E38" s="40" t="s">
        <v>195</v>
      </c>
      <c r="F38" s="40" t="s">
        <v>43</v>
      </c>
      <c r="G38" s="40" t="s">
        <v>196</v>
      </c>
      <c r="H38" s="41" t="n">
        <f aca="false">COUNTIF('Task Breakdown'!$B$5:$B$681,$A38)</f>
        <v>9</v>
      </c>
      <c r="I38" s="29" t="n">
        <f aca="false">SUMIFS('Task Breakdown'!$I$5:$I$681,'Task Breakdown'!$B$5:$B$681,$A38)</f>
        <v>0</v>
      </c>
      <c r="J38" s="29" t="n">
        <f aca="false">SUMIFS('Task Breakdown'!$J$5:$J$681,'Task Breakdown'!$B$5:$B$681,$A38)</f>
        <v>0</v>
      </c>
      <c r="K38" s="29" t="n">
        <f aca="false">SUMIFS('Task Breakdown'!$K$5:$K$681,'Task Breakdown'!$B$5:$B$681,$A38)</f>
        <v>4</v>
      </c>
      <c r="L38" s="29" t="n">
        <f aca="false">SUMIFS('Task Breakdown'!$L$5:$L$681,'Task Breakdown'!$B$5:$B$681,$A38)</f>
        <v>0</v>
      </c>
      <c r="M38" s="29" t="n">
        <f aca="false">SUMIFS('Task Breakdown'!$M$5:$M$681,'Task Breakdown'!$B$5:$B$681,$A38)</f>
        <v>22</v>
      </c>
      <c r="N38" s="29" t="n">
        <f aca="false">SUMIFS('Task Breakdown'!$N$5:$N$681,'Task Breakdown'!$B$5:$B$681,$A38)</f>
        <v>77</v>
      </c>
      <c r="O38" s="29" t="n">
        <f aca="false">SUMIFS('Task Breakdown'!$O$5:$O$681,'Task Breakdown'!$B$5:$B$681,$A38)</f>
        <v>0</v>
      </c>
      <c r="P38" s="29" t="n">
        <f aca="false">SUMIFS('Task Breakdown'!$P$5:$P$681,'Task Breakdown'!$B$5:$B$681,$A38)</f>
        <v>0</v>
      </c>
      <c r="Q38" s="29" t="n">
        <f aca="false">SUMIFS('Task Breakdown'!$Q$5:$Q$681,'Task Breakdown'!$B$5:$B$681,$A38)</f>
        <v>0</v>
      </c>
      <c r="R38" s="29" t="n">
        <f aca="false">SUMIFS('Task Breakdown'!$R$5:$R$681,'Task Breakdown'!$B$5:$B$681,$A38)</f>
        <v>0</v>
      </c>
      <c r="S38" s="29" t="n">
        <f aca="false">SUMIFS('Task Breakdown'!$S$5:$S$681,'Task Breakdown'!$B$5:$B$681,$A38)</f>
        <v>16</v>
      </c>
      <c r="T38" s="29" t="n">
        <f aca="false">SUMIFS('Task Breakdown'!$T$5:$T$681,'Task Breakdown'!$B$5:$B$681,$A38)</f>
        <v>0</v>
      </c>
      <c r="U38" s="42" t="n">
        <f aca="false">SUM(I38:T38)</f>
        <v>119</v>
      </c>
    </row>
    <row r="39" customFormat="false" ht="15" hidden="false" customHeight="false" outlineLevel="0" collapsed="false">
      <c r="A39" s="40" t="s">
        <v>197</v>
      </c>
      <c r="B39" s="40" t="s">
        <v>38</v>
      </c>
      <c r="C39" s="40" t="s">
        <v>6</v>
      </c>
      <c r="D39" s="40" t="s">
        <v>375</v>
      </c>
      <c r="E39" s="40" t="s">
        <v>198</v>
      </c>
      <c r="F39" s="40" t="s">
        <v>43</v>
      </c>
      <c r="G39" s="40" t="s">
        <v>199</v>
      </c>
      <c r="H39" s="41" t="n">
        <f aca="false">COUNTIF('Task Breakdown'!$B$5:$B$681,$A39)</f>
        <v>11</v>
      </c>
      <c r="I39" s="29" t="n">
        <f aca="false">SUMIFS('Task Breakdown'!$I$5:$I$681,'Task Breakdown'!$B$5:$B$681,$A39)</f>
        <v>0</v>
      </c>
      <c r="J39" s="29" t="n">
        <f aca="false">SUMIFS('Task Breakdown'!$J$5:$J$681,'Task Breakdown'!$B$5:$B$681,$A39)</f>
        <v>0</v>
      </c>
      <c r="K39" s="29" t="n">
        <f aca="false">SUMIFS('Task Breakdown'!$K$5:$K$681,'Task Breakdown'!$B$5:$B$681,$A39)</f>
        <v>9</v>
      </c>
      <c r="L39" s="29" t="n">
        <f aca="false">SUMIFS('Task Breakdown'!$L$5:$L$681,'Task Breakdown'!$B$5:$B$681,$A39)</f>
        <v>0</v>
      </c>
      <c r="M39" s="29" t="n">
        <f aca="false">SUMIFS('Task Breakdown'!$M$5:$M$681,'Task Breakdown'!$B$5:$B$681,$A39)</f>
        <v>44</v>
      </c>
      <c r="N39" s="29" t="n">
        <f aca="false">SUMIFS('Task Breakdown'!$N$5:$N$681,'Task Breakdown'!$B$5:$B$681,$A39)</f>
        <v>150</v>
      </c>
      <c r="O39" s="29" t="n">
        <f aca="false">SUMIFS('Task Breakdown'!$O$5:$O$681,'Task Breakdown'!$B$5:$B$681,$A39)</f>
        <v>41</v>
      </c>
      <c r="P39" s="29" t="n">
        <f aca="false">SUMIFS('Task Breakdown'!$P$5:$P$681,'Task Breakdown'!$B$5:$B$681,$A39)</f>
        <v>0</v>
      </c>
      <c r="Q39" s="29" t="n">
        <f aca="false">SUMIFS('Task Breakdown'!$Q$5:$Q$681,'Task Breakdown'!$B$5:$B$681,$A39)</f>
        <v>0</v>
      </c>
      <c r="R39" s="29" t="n">
        <f aca="false">SUMIFS('Task Breakdown'!$R$5:$R$681,'Task Breakdown'!$B$5:$B$681,$A39)</f>
        <v>0</v>
      </c>
      <c r="S39" s="29" t="n">
        <f aca="false">SUMIFS('Task Breakdown'!$S$5:$S$681,'Task Breakdown'!$B$5:$B$681,$A39)</f>
        <v>41</v>
      </c>
      <c r="T39" s="29" t="n">
        <f aca="false">SUMIFS('Task Breakdown'!$T$5:$T$681,'Task Breakdown'!$B$5:$B$681,$A39)</f>
        <v>0</v>
      </c>
      <c r="U39" s="42" t="n">
        <f aca="false">SUM(I39:T39)</f>
        <v>285</v>
      </c>
    </row>
    <row r="40" customFormat="false" ht="15" hidden="false" customHeight="false" outlineLevel="0" collapsed="false">
      <c r="A40" s="40" t="s">
        <v>200</v>
      </c>
      <c r="B40" s="40" t="s">
        <v>38</v>
      </c>
      <c r="C40" s="40" t="s">
        <v>6</v>
      </c>
      <c r="D40" s="40" t="s">
        <v>375</v>
      </c>
      <c r="E40" s="40" t="s">
        <v>201</v>
      </c>
      <c r="F40" s="40" t="s">
        <v>44</v>
      </c>
      <c r="G40" s="40" t="s">
        <v>202</v>
      </c>
      <c r="H40" s="41" t="n">
        <f aca="false">COUNTIF('Task Breakdown'!$B$5:$B$681,$A40)</f>
        <v>9</v>
      </c>
      <c r="I40" s="29" t="n">
        <f aca="false">SUMIFS('Task Breakdown'!$I$5:$I$681,'Task Breakdown'!$B$5:$B$681,$A40)</f>
        <v>0</v>
      </c>
      <c r="J40" s="29" t="n">
        <f aca="false">SUMIFS('Task Breakdown'!$J$5:$J$681,'Task Breakdown'!$B$5:$B$681,$A40)</f>
        <v>0</v>
      </c>
      <c r="K40" s="29" t="n">
        <f aca="false">SUMIFS('Task Breakdown'!$K$5:$K$681,'Task Breakdown'!$B$5:$B$681,$A40)</f>
        <v>10</v>
      </c>
      <c r="L40" s="29" t="n">
        <f aca="false">SUMIFS('Task Breakdown'!$L$5:$L$681,'Task Breakdown'!$B$5:$B$681,$A40)</f>
        <v>0</v>
      </c>
      <c r="M40" s="29" t="n">
        <f aca="false">SUMIFS('Task Breakdown'!$M$5:$M$681,'Task Breakdown'!$B$5:$B$681,$A40)</f>
        <v>0</v>
      </c>
      <c r="N40" s="29" t="n">
        <f aca="false">SUMIFS('Task Breakdown'!$N$5:$N$681,'Task Breakdown'!$B$5:$B$681,$A40)</f>
        <v>0</v>
      </c>
      <c r="O40" s="29" t="n">
        <f aca="false">SUMIFS('Task Breakdown'!$O$5:$O$681,'Task Breakdown'!$B$5:$B$681,$A40)</f>
        <v>152</v>
      </c>
      <c r="P40" s="29" t="n">
        <f aca="false">SUMIFS('Task Breakdown'!$P$5:$P$681,'Task Breakdown'!$B$5:$B$681,$A40)</f>
        <v>65</v>
      </c>
      <c r="Q40" s="29" t="n">
        <f aca="false">SUMIFS('Task Breakdown'!$Q$5:$Q$681,'Task Breakdown'!$B$5:$B$681,$A40)</f>
        <v>0</v>
      </c>
      <c r="R40" s="29" t="n">
        <f aca="false">SUMIFS('Task Breakdown'!$R$5:$R$681,'Task Breakdown'!$B$5:$B$681,$A40)</f>
        <v>25</v>
      </c>
      <c r="S40" s="29" t="n">
        <f aca="false">SUMIFS('Task Breakdown'!$S$5:$S$681,'Task Breakdown'!$B$5:$B$681,$A40)</f>
        <v>49</v>
      </c>
      <c r="T40" s="29" t="n">
        <f aca="false">SUMIFS('Task Breakdown'!$T$5:$T$681,'Task Breakdown'!$B$5:$B$681,$A40)</f>
        <v>0</v>
      </c>
      <c r="U40" s="42" t="n">
        <f aca="false">SUM(I40:T40)</f>
        <v>301</v>
      </c>
    </row>
    <row r="41" customFormat="false" ht="15" hidden="false" customHeight="false" outlineLevel="0" collapsed="false">
      <c r="A41" s="40" t="s">
        <v>203</v>
      </c>
      <c r="B41" s="40" t="s">
        <v>38</v>
      </c>
      <c r="C41" s="40" t="s">
        <v>6</v>
      </c>
      <c r="D41" s="40" t="s">
        <v>375</v>
      </c>
      <c r="E41" s="40" t="s">
        <v>204</v>
      </c>
      <c r="F41" s="40" t="s">
        <v>44</v>
      </c>
      <c r="G41" s="40" t="s">
        <v>205</v>
      </c>
      <c r="H41" s="41" t="n">
        <f aca="false">COUNTIF('Task Breakdown'!$B$5:$B$681,$A41)</f>
        <v>10</v>
      </c>
      <c r="I41" s="29" t="n">
        <f aca="false">SUMIFS('Task Breakdown'!$I$5:$I$681,'Task Breakdown'!$B$5:$B$681,$A41)</f>
        <v>0</v>
      </c>
      <c r="J41" s="29" t="n">
        <f aca="false">SUMIFS('Task Breakdown'!$J$5:$J$681,'Task Breakdown'!$B$5:$B$681,$A41)</f>
        <v>24</v>
      </c>
      <c r="K41" s="29" t="n">
        <f aca="false">SUMIFS('Task Breakdown'!$K$5:$K$681,'Task Breakdown'!$B$5:$B$681,$A41)</f>
        <v>60</v>
      </c>
      <c r="L41" s="29" t="n">
        <f aca="false">SUMIFS('Task Breakdown'!$L$5:$L$681,'Task Breakdown'!$B$5:$B$681,$A41)</f>
        <v>0</v>
      </c>
      <c r="M41" s="29" t="n">
        <f aca="false">SUMIFS('Task Breakdown'!$M$5:$M$681,'Task Breakdown'!$B$5:$B$681,$A41)</f>
        <v>0</v>
      </c>
      <c r="N41" s="29" t="n">
        <f aca="false">SUMIFS('Task Breakdown'!$N$5:$N$681,'Task Breakdown'!$B$5:$B$681,$A41)</f>
        <v>0</v>
      </c>
      <c r="O41" s="29" t="n">
        <f aca="false">SUMIFS('Task Breakdown'!$O$5:$O$681,'Task Breakdown'!$B$5:$B$681,$A41)</f>
        <v>205</v>
      </c>
      <c r="P41" s="29" t="n">
        <f aca="false">SUMIFS('Task Breakdown'!$P$5:$P$681,'Task Breakdown'!$B$5:$B$681,$A41)</f>
        <v>41</v>
      </c>
      <c r="Q41" s="29" t="n">
        <f aca="false">SUMIFS('Task Breakdown'!$Q$5:$Q$681,'Task Breakdown'!$B$5:$B$681,$A41)</f>
        <v>0</v>
      </c>
      <c r="R41" s="29" t="n">
        <f aca="false">SUMIFS('Task Breakdown'!$R$5:$R$681,'Task Breakdown'!$B$5:$B$681,$A41)</f>
        <v>0</v>
      </c>
      <c r="S41" s="29" t="n">
        <f aca="false">SUMIFS('Task Breakdown'!$S$5:$S$681,'Task Breakdown'!$B$5:$B$681,$A41)</f>
        <v>0</v>
      </c>
      <c r="T41" s="29" t="n">
        <f aca="false">SUMIFS('Task Breakdown'!$T$5:$T$681,'Task Breakdown'!$B$5:$B$681,$A41)</f>
        <v>0</v>
      </c>
      <c r="U41" s="42" t="n">
        <f aca="false">SUM(I41:T41)</f>
        <v>330</v>
      </c>
    </row>
    <row r="42" customFormat="false" ht="15" hidden="false" customHeight="false" outlineLevel="0" collapsed="false">
      <c r="A42" s="40" t="s">
        <v>258</v>
      </c>
      <c r="B42" s="40" t="s">
        <v>38</v>
      </c>
      <c r="C42" s="40" t="s">
        <v>7</v>
      </c>
      <c r="D42" s="40" t="s">
        <v>376</v>
      </c>
      <c r="E42" s="40" t="s">
        <v>259</v>
      </c>
      <c r="F42" s="40" t="s">
        <v>43</v>
      </c>
      <c r="G42" s="40" t="s">
        <v>260</v>
      </c>
      <c r="H42" s="41" t="n">
        <f aca="false">COUNTIF('Task Breakdown'!$B$5:$B$681,$A42)</f>
        <v>11</v>
      </c>
      <c r="I42" s="29" t="n">
        <f aca="false">SUMIFS('Task Breakdown'!$I$5:$I$681,'Task Breakdown'!$B$5:$B$681,$A42)</f>
        <v>0</v>
      </c>
      <c r="J42" s="29" t="n">
        <f aca="false">SUMIFS('Task Breakdown'!$J$5:$J$681,'Task Breakdown'!$B$5:$B$681,$A42)</f>
        <v>0</v>
      </c>
      <c r="K42" s="29" t="n">
        <f aca="false">SUMIFS('Task Breakdown'!$K$5:$K$681,'Task Breakdown'!$B$5:$B$681,$A42)</f>
        <v>17</v>
      </c>
      <c r="L42" s="29" t="n">
        <f aca="false">SUMIFS('Task Breakdown'!$L$5:$L$681,'Task Breakdown'!$B$5:$B$681,$A42)</f>
        <v>0</v>
      </c>
      <c r="M42" s="29" t="n">
        <f aca="false">SUMIFS('Task Breakdown'!$M$5:$M$681,'Task Breakdown'!$B$5:$B$681,$A42)</f>
        <v>99</v>
      </c>
      <c r="N42" s="29" t="n">
        <f aca="false">SUMIFS('Task Breakdown'!$N$5:$N$681,'Task Breakdown'!$B$5:$B$681,$A42)</f>
        <v>246</v>
      </c>
      <c r="O42" s="29" t="n">
        <f aca="false">SUMIFS('Task Breakdown'!$O$5:$O$681,'Task Breakdown'!$B$5:$B$681,$A42)</f>
        <v>98</v>
      </c>
      <c r="P42" s="29" t="n">
        <f aca="false">SUMIFS('Task Breakdown'!$P$5:$P$681,'Task Breakdown'!$B$5:$B$681,$A42)</f>
        <v>0</v>
      </c>
      <c r="Q42" s="29" t="n">
        <f aca="false">SUMIFS('Task Breakdown'!$Q$5:$Q$681,'Task Breakdown'!$B$5:$B$681,$A42)</f>
        <v>0</v>
      </c>
      <c r="R42" s="29" t="n">
        <f aca="false">SUMIFS('Task Breakdown'!$R$5:$R$681,'Task Breakdown'!$B$5:$B$681,$A42)</f>
        <v>0</v>
      </c>
      <c r="S42" s="29" t="n">
        <f aca="false">SUMIFS('Task Breakdown'!$S$5:$S$681,'Task Breakdown'!$B$5:$B$681,$A42)</f>
        <v>49</v>
      </c>
      <c r="T42" s="29" t="n">
        <f aca="false">SUMIFS('Task Breakdown'!$T$5:$T$681,'Task Breakdown'!$B$5:$B$681,$A42)</f>
        <v>0</v>
      </c>
      <c r="U42" s="42" t="n">
        <f aca="false">SUM(I42:T42)</f>
        <v>509</v>
      </c>
    </row>
    <row r="43" customFormat="false" ht="15" hidden="false" customHeight="false" outlineLevel="0" collapsed="false">
      <c r="A43" s="40" t="s">
        <v>261</v>
      </c>
      <c r="B43" s="40" t="s">
        <v>38</v>
      </c>
      <c r="C43" s="40" t="s">
        <v>7</v>
      </c>
      <c r="D43" s="40" t="s">
        <v>376</v>
      </c>
      <c r="E43" s="40" t="s">
        <v>262</v>
      </c>
      <c r="F43" s="40" t="s">
        <v>43</v>
      </c>
      <c r="G43" s="40" t="s">
        <v>263</v>
      </c>
      <c r="H43" s="41" t="n">
        <f aca="false">COUNTIF('Task Breakdown'!$B$5:$B$681,$A43)</f>
        <v>9</v>
      </c>
      <c r="I43" s="29" t="n">
        <f aca="false">SUMIFS('Task Breakdown'!$I$5:$I$681,'Task Breakdown'!$B$5:$B$681,$A43)</f>
        <v>0</v>
      </c>
      <c r="J43" s="29" t="n">
        <f aca="false">SUMIFS('Task Breakdown'!$J$5:$J$681,'Task Breakdown'!$B$5:$B$681,$A43)</f>
        <v>0</v>
      </c>
      <c r="K43" s="29" t="n">
        <f aca="false">SUMIFS('Task Breakdown'!$K$5:$K$681,'Task Breakdown'!$B$5:$B$681,$A43)</f>
        <v>9</v>
      </c>
      <c r="L43" s="29" t="n">
        <f aca="false">SUMIFS('Task Breakdown'!$L$5:$L$681,'Task Breakdown'!$B$5:$B$681,$A43)</f>
        <v>0</v>
      </c>
      <c r="M43" s="29" t="n">
        <f aca="false">SUMIFS('Task Breakdown'!$M$5:$M$681,'Task Breakdown'!$B$5:$B$681,$A43)</f>
        <v>14</v>
      </c>
      <c r="N43" s="29" t="n">
        <f aca="false">SUMIFS('Task Breakdown'!$N$5:$N$681,'Task Breakdown'!$B$5:$B$681,$A43)</f>
        <v>149</v>
      </c>
      <c r="O43" s="29" t="n">
        <f aca="false">SUMIFS('Task Breakdown'!$O$5:$O$681,'Task Breakdown'!$B$5:$B$681,$A43)</f>
        <v>61</v>
      </c>
      <c r="P43" s="29" t="n">
        <f aca="false">SUMIFS('Task Breakdown'!$P$5:$P$681,'Task Breakdown'!$B$5:$B$681,$A43)</f>
        <v>0</v>
      </c>
      <c r="Q43" s="29" t="n">
        <f aca="false">SUMIFS('Task Breakdown'!$Q$5:$Q$681,'Task Breakdown'!$B$5:$B$681,$A43)</f>
        <v>0</v>
      </c>
      <c r="R43" s="29" t="n">
        <f aca="false">SUMIFS('Task Breakdown'!$R$5:$R$681,'Task Breakdown'!$B$5:$B$681,$A43)</f>
        <v>20</v>
      </c>
      <c r="S43" s="29" t="n">
        <f aca="false">SUMIFS('Task Breakdown'!$S$5:$S$681,'Task Breakdown'!$B$5:$B$681,$A43)</f>
        <v>20</v>
      </c>
      <c r="T43" s="29" t="n">
        <f aca="false">SUMIFS('Task Breakdown'!$T$5:$T$681,'Task Breakdown'!$B$5:$B$681,$A43)</f>
        <v>0</v>
      </c>
      <c r="U43" s="42" t="n">
        <f aca="false">SUM(I43:T43)</f>
        <v>273</v>
      </c>
    </row>
    <row r="44" customFormat="false" ht="15" hidden="false" customHeight="false" outlineLevel="0" collapsed="false">
      <c r="A44" s="40" t="s">
        <v>264</v>
      </c>
      <c r="B44" s="40" t="s">
        <v>38</v>
      </c>
      <c r="C44" s="40" t="s">
        <v>7</v>
      </c>
      <c r="D44" s="40" t="s">
        <v>376</v>
      </c>
      <c r="E44" s="40" t="s">
        <v>265</v>
      </c>
      <c r="F44" s="40" t="s">
        <v>44</v>
      </c>
      <c r="G44" s="40" t="s">
        <v>266</v>
      </c>
      <c r="H44" s="41" t="n">
        <f aca="false">COUNTIF('Task Breakdown'!$B$5:$B$681,$A44)</f>
        <v>10</v>
      </c>
      <c r="I44" s="29" t="n">
        <f aca="false">SUMIFS('Task Breakdown'!$I$5:$I$681,'Task Breakdown'!$B$5:$B$681,$A44)</f>
        <v>0</v>
      </c>
      <c r="J44" s="29" t="n">
        <f aca="false">SUMIFS('Task Breakdown'!$J$5:$J$681,'Task Breakdown'!$B$5:$B$681,$A44)</f>
        <v>29</v>
      </c>
      <c r="K44" s="29" t="n">
        <f aca="false">SUMIFS('Task Breakdown'!$K$5:$K$681,'Task Breakdown'!$B$5:$B$681,$A44)</f>
        <v>72</v>
      </c>
      <c r="L44" s="29" t="n">
        <f aca="false">SUMIFS('Task Breakdown'!$L$5:$L$681,'Task Breakdown'!$B$5:$B$681,$A44)</f>
        <v>0</v>
      </c>
      <c r="M44" s="29" t="n">
        <f aca="false">SUMIFS('Task Breakdown'!$M$5:$M$681,'Task Breakdown'!$B$5:$B$681,$A44)</f>
        <v>0</v>
      </c>
      <c r="N44" s="29" t="n">
        <f aca="false">SUMIFS('Task Breakdown'!$N$5:$N$681,'Task Breakdown'!$B$5:$B$681,$A44)</f>
        <v>0</v>
      </c>
      <c r="O44" s="29" t="n">
        <f aca="false">SUMIFS('Task Breakdown'!$O$5:$O$681,'Task Breakdown'!$B$5:$B$681,$A44)</f>
        <v>274</v>
      </c>
      <c r="P44" s="29" t="n">
        <f aca="false">SUMIFS('Task Breakdown'!$P$5:$P$681,'Task Breakdown'!$B$5:$B$681,$A44)</f>
        <v>22</v>
      </c>
      <c r="Q44" s="29" t="n">
        <f aca="false">SUMIFS('Task Breakdown'!$Q$5:$Q$681,'Task Breakdown'!$B$5:$B$681,$A44)</f>
        <v>0</v>
      </c>
      <c r="R44" s="29" t="n">
        <f aca="false">SUMIFS('Task Breakdown'!$R$5:$R$681,'Task Breakdown'!$B$5:$B$681,$A44)</f>
        <v>0</v>
      </c>
      <c r="S44" s="29" t="n">
        <f aca="false">SUMIFS('Task Breakdown'!$S$5:$S$681,'Task Breakdown'!$B$5:$B$681,$A44)</f>
        <v>57</v>
      </c>
      <c r="T44" s="29" t="n">
        <f aca="false">SUMIFS('Task Breakdown'!$T$5:$T$681,'Task Breakdown'!$B$5:$B$681,$A44)</f>
        <v>0</v>
      </c>
      <c r="U44" s="42" t="n">
        <f aca="false">SUM(I44:T44)</f>
        <v>454</v>
      </c>
    </row>
    <row r="45" customFormat="false" ht="15" hidden="false" customHeight="false" outlineLevel="0" collapsed="false">
      <c r="A45" s="40" t="s">
        <v>267</v>
      </c>
      <c r="B45" s="40" t="s">
        <v>38</v>
      </c>
      <c r="C45" s="40" t="s">
        <v>7</v>
      </c>
      <c r="D45" s="40" t="s">
        <v>376</v>
      </c>
      <c r="E45" s="40" t="s">
        <v>268</v>
      </c>
      <c r="F45" s="40" t="s">
        <v>43</v>
      </c>
      <c r="G45" s="40" t="s">
        <v>269</v>
      </c>
      <c r="H45" s="41" t="n">
        <f aca="false">COUNTIF('Task Breakdown'!$B$5:$B$681,$A45)</f>
        <v>8</v>
      </c>
      <c r="I45" s="29" t="n">
        <f aca="false">SUMIFS('Task Breakdown'!$I$5:$I$681,'Task Breakdown'!$B$5:$B$681,$A45)</f>
        <v>0</v>
      </c>
      <c r="J45" s="29" t="n">
        <f aca="false">SUMIFS('Task Breakdown'!$J$5:$J$681,'Task Breakdown'!$B$5:$B$681,$A45)</f>
        <v>0</v>
      </c>
      <c r="K45" s="29" t="n">
        <f aca="false">SUMIFS('Task Breakdown'!$K$5:$K$681,'Task Breakdown'!$B$5:$B$681,$A45)</f>
        <v>7</v>
      </c>
      <c r="L45" s="29" t="n">
        <f aca="false">SUMIFS('Task Breakdown'!$L$5:$L$681,'Task Breakdown'!$B$5:$B$681,$A45)</f>
        <v>0</v>
      </c>
      <c r="M45" s="29" t="n">
        <f aca="false">SUMIFS('Task Breakdown'!$M$5:$M$681,'Task Breakdown'!$B$5:$B$681,$A45)</f>
        <v>10</v>
      </c>
      <c r="N45" s="29" t="n">
        <f aca="false">SUMIFS('Task Breakdown'!$N$5:$N$681,'Task Breakdown'!$B$5:$B$681,$A45)</f>
        <v>122</v>
      </c>
      <c r="O45" s="29" t="n">
        <f aca="false">SUMIFS('Task Breakdown'!$O$5:$O$681,'Task Breakdown'!$B$5:$B$681,$A45)</f>
        <v>40</v>
      </c>
      <c r="P45" s="29" t="n">
        <f aca="false">SUMIFS('Task Breakdown'!$P$5:$P$681,'Task Breakdown'!$B$5:$B$681,$A45)</f>
        <v>0</v>
      </c>
      <c r="Q45" s="29" t="n">
        <f aca="false">SUMIFS('Task Breakdown'!$Q$5:$Q$681,'Task Breakdown'!$B$5:$B$681,$A45)</f>
        <v>0</v>
      </c>
      <c r="R45" s="29" t="n">
        <f aca="false">SUMIFS('Task Breakdown'!$R$5:$R$681,'Task Breakdown'!$B$5:$B$681,$A45)</f>
        <v>20</v>
      </c>
      <c r="S45" s="29" t="n">
        <f aca="false">SUMIFS('Task Breakdown'!$S$5:$S$681,'Task Breakdown'!$B$5:$B$681,$A45)</f>
        <v>0</v>
      </c>
      <c r="T45" s="29" t="n">
        <f aca="false">SUMIFS('Task Breakdown'!$T$5:$T$681,'Task Breakdown'!$B$5:$B$681,$A45)</f>
        <v>0</v>
      </c>
      <c r="U45" s="42" t="n">
        <f aca="false">SUM(I45:T45)</f>
        <v>199</v>
      </c>
    </row>
    <row r="46" customFormat="false" ht="15" hidden="false" customHeight="false" outlineLevel="0" collapsed="false">
      <c r="A46" s="40" t="s">
        <v>270</v>
      </c>
      <c r="B46" s="40" t="s">
        <v>38</v>
      </c>
      <c r="C46" s="40" t="s">
        <v>7</v>
      </c>
      <c r="D46" s="40" t="s">
        <v>376</v>
      </c>
      <c r="E46" s="40" t="s">
        <v>271</v>
      </c>
      <c r="F46" s="40" t="s">
        <v>42</v>
      </c>
      <c r="G46" s="40" t="s">
        <v>272</v>
      </c>
      <c r="H46" s="41" t="n">
        <f aca="false">COUNTIF('Task Breakdown'!$B$5:$B$681,$A46)</f>
        <v>7</v>
      </c>
      <c r="I46" s="29" t="n">
        <f aca="false">SUMIFS('Task Breakdown'!$I$5:$I$681,'Task Breakdown'!$B$5:$B$681,$A46)</f>
        <v>0</v>
      </c>
      <c r="J46" s="29" t="n">
        <f aca="false">SUMIFS('Task Breakdown'!$J$5:$J$681,'Task Breakdown'!$B$5:$B$681,$A46)</f>
        <v>13</v>
      </c>
      <c r="K46" s="29" t="n">
        <f aca="false">SUMIFS('Task Breakdown'!$K$5:$K$681,'Task Breakdown'!$B$5:$B$681,$A46)</f>
        <v>0</v>
      </c>
      <c r="L46" s="29" t="n">
        <f aca="false">SUMIFS('Task Breakdown'!$L$5:$L$681,'Task Breakdown'!$B$5:$B$681,$A46)</f>
        <v>107</v>
      </c>
      <c r="M46" s="29" t="n">
        <f aca="false">SUMIFS('Task Breakdown'!$M$5:$M$681,'Task Breakdown'!$B$5:$B$681,$A46)</f>
        <v>0</v>
      </c>
      <c r="N46" s="29" t="n">
        <f aca="false">SUMIFS('Task Breakdown'!$N$5:$N$681,'Task Breakdown'!$B$5:$B$681,$A46)</f>
        <v>73</v>
      </c>
      <c r="O46" s="29" t="n">
        <f aca="false">SUMIFS('Task Breakdown'!$O$5:$O$681,'Task Breakdown'!$B$5:$B$681,$A46)</f>
        <v>0</v>
      </c>
      <c r="P46" s="29" t="n">
        <f aca="false">SUMIFS('Task Breakdown'!$P$5:$P$681,'Task Breakdown'!$B$5:$B$681,$A46)</f>
        <v>0</v>
      </c>
      <c r="Q46" s="29" t="n">
        <f aca="false">SUMIFS('Task Breakdown'!$Q$5:$Q$681,'Task Breakdown'!$B$5:$B$681,$A46)</f>
        <v>0</v>
      </c>
      <c r="R46" s="29" t="n">
        <f aca="false">SUMIFS('Task Breakdown'!$R$5:$R$681,'Task Breakdown'!$B$5:$B$681,$A46)</f>
        <v>0</v>
      </c>
      <c r="S46" s="29" t="n">
        <f aca="false">SUMIFS('Task Breakdown'!$S$5:$S$681,'Task Breakdown'!$B$5:$B$681,$A46)</f>
        <v>49</v>
      </c>
      <c r="T46" s="29" t="n">
        <f aca="false">SUMIFS('Task Breakdown'!$T$5:$T$681,'Task Breakdown'!$B$5:$B$681,$A46)</f>
        <v>0</v>
      </c>
      <c r="U46" s="42" t="n">
        <f aca="false">SUM(I46:T46)</f>
        <v>242</v>
      </c>
    </row>
    <row r="47" customFormat="false" ht="15" hidden="false" customHeight="false" outlineLevel="0" collapsed="false">
      <c r="A47" s="40" t="s">
        <v>273</v>
      </c>
      <c r="B47" s="40" t="s">
        <v>38</v>
      </c>
      <c r="C47" s="40" t="s">
        <v>7</v>
      </c>
      <c r="D47" s="40" t="s">
        <v>376</v>
      </c>
      <c r="E47" s="40" t="s">
        <v>274</v>
      </c>
      <c r="F47" s="40" t="s">
        <v>45</v>
      </c>
      <c r="G47" s="40" t="s">
        <v>275</v>
      </c>
      <c r="H47" s="41" t="n">
        <f aca="false">COUNTIF('Task Breakdown'!$B$5:$B$681,$A47)</f>
        <v>7</v>
      </c>
      <c r="I47" s="29" t="n">
        <f aca="false">SUMIFS('Task Breakdown'!$I$5:$I$681,'Task Breakdown'!$B$5:$B$681,$A47)</f>
        <v>0</v>
      </c>
      <c r="J47" s="29" t="n">
        <f aca="false">SUMIFS('Task Breakdown'!$J$5:$J$681,'Task Breakdown'!$B$5:$B$681,$A47)</f>
        <v>0</v>
      </c>
      <c r="K47" s="29" t="n">
        <f aca="false">SUMIFS('Task Breakdown'!$K$5:$K$681,'Task Breakdown'!$B$5:$B$681,$A47)</f>
        <v>0</v>
      </c>
      <c r="L47" s="29" t="n">
        <f aca="false">SUMIFS('Task Breakdown'!$L$5:$L$681,'Task Breakdown'!$B$5:$B$681,$A47)</f>
        <v>0</v>
      </c>
      <c r="M47" s="29" t="n">
        <f aca="false">SUMIFS('Task Breakdown'!$M$5:$M$681,'Task Breakdown'!$B$5:$B$681,$A47)</f>
        <v>0</v>
      </c>
      <c r="N47" s="29" t="n">
        <f aca="false">SUMIFS('Task Breakdown'!$N$5:$N$681,'Task Breakdown'!$B$5:$B$681,$A47)</f>
        <v>48</v>
      </c>
      <c r="O47" s="29" t="n">
        <f aca="false">SUMIFS('Task Breakdown'!$O$5:$O$681,'Task Breakdown'!$B$5:$B$681,$A47)</f>
        <v>0</v>
      </c>
      <c r="P47" s="29" t="n">
        <f aca="false">SUMIFS('Task Breakdown'!$P$5:$P$681,'Task Breakdown'!$B$5:$B$681,$A47)</f>
        <v>15</v>
      </c>
      <c r="Q47" s="29" t="n">
        <f aca="false">SUMIFS('Task Breakdown'!$Q$5:$Q$681,'Task Breakdown'!$B$5:$B$681,$A47)</f>
        <v>0</v>
      </c>
      <c r="R47" s="29" t="n">
        <f aca="false">SUMIFS('Task Breakdown'!$R$5:$R$681,'Task Breakdown'!$B$5:$B$681,$A47)</f>
        <v>132</v>
      </c>
      <c r="S47" s="29" t="n">
        <f aca="false">SUMIFS('Task Breakdown'!$S$5:$S$681,'Task Breakdown'!$B$5:$B$681,$A47)</f>
        <v>73</v>
      </c>
      <c r="T47" s="29" t="n">
        <f aca="false">SUMIFS('Task Breakdown'!$T$5:$T$681,'Task Breakdown'!$B$5:$B$681,$A47)</f>
        <v>0</v>
      </c>
      <c r="U47" s="42" t="n">
        <f aca="false">SUM(I47:T47)</f>
        <v>268</v>
      </c>
    </row>
    <row r="48" customFormat="false" ht="15" hidden="false" customHeight="false" outlineLevel="0" collapsed="false">
      <c r="A48" s="40" t="s">
        <v>323</v>
      </c>
      <c r="B48" s="40" t="s">
        <v>38</v>
      </c>
      <c r="C48" s="40" t="s">
        <v>8</v>
      </c>
      <c r="D48" s="40" t="s">
        <v>377</v>
      </c>
      <c r="E48" s="40" t="s">
        <v>324</v>
      </c>
      <c r="F48" s="40" t="s">
        <v>44</v>
      </c>
      <c r="G48" s="40" t="s">
        <v>325</v>
      </c>
      <c r="H48" s="41" t="n">
        <f aca="false">COUNTIF('Task Breakdown'!$B$5:$B$681,$A48)</f>
        <v>8</v>
      </c>
      <c r="I48" s="29" t="n">
        <f aca="false">SUMIFS('Task Breakdown'!$I$5:$I$681,'Task Breakdown'!$B$5:$B$681,$A48)</f>
        <v>0</v>
      </c>
      <c r="J48" s="29" t="n">
        <f aca="false">SUMIFS('Task Breakdown'!$J$5:$J$681,'Task Breakdown'!$B$5:$B$681,$A48)</f>
        <v>0</v>
      </c>
      <c r="K48" s="29" t="n">
        <f aca="false">SUMIFS('Task Breakdown'!$K$5:$K$681,'Task Breakdown'!$B$5:$B$681,$A48)</f>
        <v>20</v>
      </c>
      <c r="L48" s="29" t="n">
        <f aca="false">SUMIFS('Task Breakdown'!$L$5:$L$681,'Task Breakdown'!$B$5:$B$681,$A48)</f>
        <v>0</v>
      </c>
      <c r="M48" s="29" t="n">
        <f aca="false">SUMIFS('Task Breakdown'!$M$5:$M$681,'Task Breakdown'!$B$5:$B$681,$A48)</f>
        <v>0</v>
      </c>
      <c r="N48" s="29" t="n">
        <f aca="false">SUMIFS('Task Breakdown'!$N$5:$N$681,'Task Breakdown'!$B$5:$B$681,$A48)</f>
        <v>32</v>
      </c>
      <c r="O48" s="29" t="n">
        <f aca="false">SUMIFS('Task Breakdown'!$O$5:$O$681,'Task Breakdown'!$B$5:$B$681,$A48)</f>
        <v>60</v>
      </c>
      <c r="P48" s="29" t="n">
        <f aca="false">SUMIFS('Task Breakdown'!$P$5:$P$681,'Task Breakdown'!$B$5:$B$681,$A48)</f>
        <v>6</v>
      </c>
      <c r="Q48" s="29" t="n">
        <f aca="false">SUMIFS('Task Breakdown'!$Q$5:$Q$681,'Task Breakdown'!$B$5:$B$681,$A48)</f>
        <v>0</v>
      </c>
      <c r="R48" s="29" t="n">
        <f aca="false">SUMIFS('Task Breakdown'!$R$5:$R$681,'Task Breakdown'!$B$5:$B$681,$A48)</f>
        <v>0</v>
      </c>
      <c r="S48" s="29" t="n">
        <f aca="false">SUMIFS('Task Breakdown'!$S$5:$S$681,'Task Breakdown'!$B$5:$B$681,$A48)</f>
        <v>0</v>
      </c>
      <c r="T48" s="29" t="n">
        <f aca="false">SUMIFS('Task Breakdown'!$T$5:$T$681,'Task Breakdown'!$B$5:$B$681,$A48)</f>
        <v>0</v>
      </c>
      <c r="U48" s="42" t="n">
        <f aca="false">SUM(I48:T48)</f>
        <v>118</v>
      </c>
    </row>
    <row r="49" customFormat="false" ht="15" hidden="false" customHeight="false" outlineLevel="0" collapsed="false">
      <c r="A49" s="40" t="s">
        <v>326</v>
      </c>
      <c r="B49" s="40" t="s">
        <v>38</v>
      </c>
      <c r="C49" s="40" t="s">
        <v>8</v>
      </c>
      <c r="D49" s="40" t="s">
        <v>377</v>
      </c>
      <c r="E49" s="40" t="s">
        <v>327</v>
      </c>
      <c r="F49" s="40" t="s">
        <v>44</v>
      </c>
      <c r="G49" s="40" t="s">
        <v>328</v>
      </c>
      <c r="H49" s="41" t="n">
        <f aca="false">COUNTIF('Task Breakdown'!$B$5:$B$681,$A49)</f>
        <v>5</v>
      </c>
      <c r="I49" s="29" t="n">
        <f aca="false">SUMIFS('Task Breakdown'!$I$5:$I$681,'Task Breakdown'!$B$5:$B$681,$A49)</f>
        <v>0</v>
      </c>
      <c r="J49" s="29" t="n">
        <f aca="false">SUMIFS('Task Breakdown'!$J$5:$J$681,'Task Breakdown'!$B$5:$B$681,$A49)</f>
        <v>0</v>
      </c>
      <c r="K49" s="29" t="n">
        <f aca="false">SUMIFS('Task Breakdown'!$K$5:$K$681,'Task Breakdown'!$B$5:$B$681,$A49)</f>
        <v>0</v>
      </c>
      <c r="L49" s="29" t="n">
        <f aca="false">SUMIFS('Task Breakdown'!$L$5:$L$681,'Task Breakdown'!$B$5:$B$681,$A49)</f>
        <v>0</v>
      </c>
      <c r="M49" s="29" t="n">
        <f aca="false">SUMIFS('Task Breakdown'!$M$5:$M$681,'Task Breakdown'!$B$5:$B$681,$A49)</f>
        <v>0</v>
      </c>
      <c r="N49" s="29" t="n">
        <f aca="false">SUMIFS('Task Breakdown'!$N$5:$N$681,'Task Breakdown'!$B$5:$B$681,$A49)</f>
        <v>0</v>
      </c>
      <c r="O49" s="29" t="n">
        <f aca="false">SUMIFS('Task Breakdown'!$O$5:$O$681,'Task Breakdown'!$B$5:$B$681,$A49)</f>
        <v>32</v>
      </c>
      <c r="P49" s="29" t="n">
        <f aca="false">SUMIFS('Task Breakdown'!$P$5:$P$681,'Task Breakdown'!$B$5:$B$681,$A49)</f>
        <v>76</v>
      </c>
      <c r="Q49" s="29" t="n">
        <f aca="false">SUMIFS('Task Breakdown'!$Q$5:$Q$681,'Task Breakdown'!$B$5:$B$681,$A49)</f>
        <v>0</v>
      </c>
      <c r="R49" s="29" t="n">
        <f aca="false">SUMIFS('Task Breakdown'!$R$5:$R$681,'Task Breakdown'!$B$5:$B$681,$A49)</f>
        <v>0</v>
      </c>
      <c r="S49" s="29" t="n">
        <f aca="false">SUMIFS('Task Breakdown'!$S$5:$S$681,'Task Breakdown'!$B$5:$B$681,$A49)</f>
        <v>0</v>
      </c>
      <c r="T49" s="29" t="n">
        <f aca="false">SUMIFS('Task Breakdown'!$T$5:$T$681,'Task Breakdown'!$B$5:$B$681,$A49)</f>
        <v>0</v>
      </c>
      <c r="U49" s="42" t="n">
        <f aca="false">SUM(I49:T49)</f>
        <v>108</v>
      </c>
    </row>
    <row r="50" customFormat="false" ht="15" hidden="false" customHeight="false" outlineLevel="0" collapsed="false">
      <c r="A50" s="40" t="s">
        <v>329</v>
      </c>
      <c r="B50" s="40" t="s">
        <v>38</v>
      </c>
      <c r="C50" s="40" t="s">
        <v>8</v>
      </c>
      <c r="D50" s="40" t="s">
        <v>377</v>
      </c>
      <c r="E50" s="40" t="s">
        <v>330</v>
      </c>
      <c r="F50" s="40" t="s">
        <v>44</v>
      </c>
      <c r="G50" s="40" t="s">
        <v>331</v>
      </c>
      <c r="H50" s="41" t="n">
        <f aca="false">COUNTIF('Task Breakdown'!$B$5:$B$681,$A50)</f>
        <v>5</v>
      </c>
      <c r="I50" s="29" t="n">
        <f aca="false">SUMIFS('Task Breakdown'!$I$5:$I$681,'Task Breakdown'!$B$5:$B$681,$A50)</f>
        <v>0</v>
      </c>
      <c r="J50" s="29" t="n">
        <f aca="false">SUMIFS('Task Breakdown'!$J$5:$J$681,'Task Breakdown'!$B$5:$B$681,$A50)</f>
        <v>0</v>
      </c>
      <c r="K50" s="29" t="n">
        <f aca="false">SUMIFS('Task Breakdown'!$K$5:$K$681,'Task Breakdown'!$B$5:$B$681,$A50)</f>
        <v>16</v>
      </c>
      <c r="L50" s="29" t="n">
        <f aca="false">SUMIFS('Task Breakdown'!$L$5:$L$681,'Task Breakdown'!$B$5:$B$681,$A50)</f>
        <v>16</v>
      </c>
      <c r="M50" s="29" t="n">
        <f aca="false">SUMIFS('Task Breakdown'!$M$5:$M$681,'Task Breakdown'!$B$5:$B$681,$A50)</f>
        <v>0</v>
      </c>
      <c r="N50" s="29" t="n">
        <f aca="false">SUMIFS('Task Breakdown'!$N$5:$N$681,'Task Breakdown'!$B$5:$B$681,$A50)</f>
        <v>0</v>
      </c>
      <c r="O50" s="29" t="n">
        <f aca="false">SUMIFS('Task Breakdown'!$O$5:$O$681,'Task Breakdown'!$B$5:$B$681,$A50)</f>
        <v>0</v>
      </c>
      <c r="P50" s="29" t="n">
        <f aca="false">SUMIFS('Task Breakdown'!$P$5:$P$681,'Task Breakdown'!$B$5:$B$681,$A50)</f>
        <v>39</v>
      </c>
      <c r="Q50" s="29" t="n">
        <f aca="false">SUMIFS('Task Breakdown'!$Q$5:$Q$681,'Task Breakdown'!$B$5:$B$681,$A50)</f>
        <v>0</v>
      </c>
      <c r="R50" s="29" t="n">
        <f aca="false">SUMIFS('Task Breakdown'!$R$5:$R$681,'Task Breakdown'!$B$5:$B$681,$A50)</f>
        <v>0</v>
      </c>
      <c r="S50" s="29" t="n">
        <f aca="false">SUMIFS('Task Breakdown'!$S$5:$S$681,'Task Breakdown'!$B$5:$B$681,$A50)</f>
        <v>0</v>
      </c>
      <c r="T50" s="29" t="n">
        <f aca="false">SUMIFS('Task Breakdown'!$T$5:$T$681,'Task Breakdown'!$B$5:$B$681,$A50)</f>
        <v>0</v>
      </c>
      <c r="U50" s="42" t="n">
        <f aca="false">SUM(I50:T50)</f>
        <v>71</v>
      </c>
    </row>
    <row r="51" customFormat="false" ht="15" hidden="false" customHeight="false" outlineLevel="0" collapsed="false">
      <c r="A51" s="40" t="s">
        <v>332</v>
      </c>
      <c r="B51" s="40" t="s">
        <v>38</v>
      </c>
      <c r="C51" s="40" t="s">
        <v>8</v>
      </c>
      <c r="D51" s="40" t="s">
        <v>377</v>
      </c>
      <c r="E51" s="40" t="s">
        <v>333</v>
      </c>
      <c r="F51" s="40" t="s">
        <v>42</v>
      </c>
      <c r="G51" s="40" t="s">
        <v>334</v>
      </c>
      <c r="H51" s="41" t="n">
        <f aca="false">COUNTIF('Task Breakdown'!$B$5:$B$681,$A51)</f>
        <v>7</v>
      </c>
      <c r="I51" s="29" t="n">
        <f aca="false">SUMIFS('Task Breakdown'!$I$5:$I$681,'Task Breakdown'!$B$5:$B$681,$A51)</f>
        <v>0</v>
      </c>
      <c r="J51" s="29" t="n">
        <f aca="false">SUMIFS('Task Breakdown'!$J$5:$J$681,'Task Breakdown'!$B$5:$B$681,$A51)</f>
        <v>4</v>
      </c>
      <c r="K51" s="29" t="n">
        <f aca="false">SUMIFS('Task Breakdown'!$K$5:$K$681,'Task Breakdown'!$B$5:$B$681,$A51)</f>
        <v>59</v>
      </c>
      <c r="L51" s="29" t="n">
        <f aca="false">SUMIFS('Task Breakdown'!$L$5:$L$681,'Task Breakdown'!$B$5:$B$681,$A51)</f>
        <v>0</v>
      </c>
      <c r="M51" s="29" t="n">
        <f aca="false">SUMIFS('Task Breakdown'!$M$5:$M$681,'Task Breakdown'!$B$5:$B$681,$A51)</f>
        <v>0</v>
      </c>
      <c r="N51" s="29" t="n">
        <f aca="false">SUMIFS('Task Breakdown'!$N$5:$N$681,'Task Breakdown'!$B$5:$B$681,$A51)</f>
        <v>0</v>
      </c>
      <c r="O51" s="29" t="n">
        <f aca="false">SUMIFS('Task Breakdown'!$O$5:$O$681,'Task Breakdown'!$B$5:$B$681,$A51)</f>
        <v>0</v>
      </c>
      <c r="P51" s="29" t="n">
        <f aca="false">SUMIFS('Task Breakdown'!$P$5:$P$681,'Task Breakdown'!$B$5:$B$681,$A51)</f>
        <v>0</v>
      </c>
      <c r="Q51" s="29" t="n">
        <f aca="false">SUMIFS('Task Breakdown'!$Q$5:$Q$681,'Task Breakdown'!$B$5:$B$681,$A51)</f>
        <v>0</v>
      </c>
      <c r="R51" s="29" t="n">
        <f aca="false">SUMIFS('Task Breakdown'!$R$5:$R$681,'Task Breakdown'!$B$5:$B$681,$A51)</f>
        <v>0</v>
      </c>
      <c r="S51" s="29" t="n">
        <f aca="false">SUMIFS('Task Breakdown'!$S$5:$S$681,'Task Breakdown'!$B$5:$B$681,$A51)</f>
        <v>16</v>
      </c>
      <c r="T51" s="29" t="n">
        <f aca="false">SUMIFS('Task Breakdown'!$T$5:$T$681,'Task Breakdown'!$B$5:$B$681,$A51)</f>
        <v>0</v>
      </c>
      <c r="U51" s="42" t="n">
        <f aca="false">SUM(I51:T51)</f>
        <v>79</v>
      </c>
    </row>
    <row r="52" customFormat="false" ht="15" hidden="false" customHeight="false" outlineLevel="0" collapsed="false">
      <c r="A52" s="40" t="s">
        <v>335</v>
      </c>
      <c r="B52" s="40" t="s">
        <v>38</v>
      </c>
      <c r="C52" s="40" t="s">
        <v>8</v>
      </c>
      <c r="D52" s="40" t="s">
        <v>377</v>
      </c>
      <c r="E52" s="40" t="s">
        <v>336</v>
      </c>
      <c r="F52" s="40" t="s">
        <v>43</v>
      </c>
      <c r="G52" s="40" t="s">
        <v>337</v>
      </c>
      <c r="H52" s="41" t="n">
        <f aca="false">COUNTIF('Task Breakdown'!$B$5:$B$681,$A52)</f>
        <v>7</v>
      </c>
      <c r="I52" s="29" t="n">
        <f aca="false">SUMIFS('Task Breakdown'!$I$5:$I$681,'Task Breakdown'!$B$5:$B$681,$A52)</f>
        <v>0</v>
      </c>
      <c r="J52" s="29" t="n">
        <f aca="false">SUMIFS('Task Breakdown'!$J$5:$J$681,'Task Breakdown'!$B$5:$B$681,$A52)</f>
        <v>0</v>
      </c>
      <c r="K52" s="29" t="n">
        <f aca="false">SUMIFS('Task Breakdown'!$K$5:$K$681,'Task Breakdown'!$B$5:$B$681,$A52)</f>
        <v>3</v>
      </c>
      <c r="L52" s="29" t="n">
        <f aca="false">SUMIFS('Task Breakdown'!$L$5:$L$681,'Task Breakdown'!$B$5:$B$681,$A52)</f>
        <v>0</v>
      </c>
      <c r="M52" s="29" t="n">
        <f aca="false">SUMIFS('Task Breakdown'!$M$5:$M$681,'Task Breakdown'!$B$5:$B$681,$A52)</f>
        <v>5</v>
      </c>
      <c r="N52" s="29" t="n">
        <f aca="false">SUMIFS('Task Breakdown'!$N$5:$N$681,'Task Breakdown'!$B$5:$B$681,$A52)</f>
        <v>58</v>
      </c>
      <c r="O52" s="29" t="n">
        <f aca="false">SUMIFS('Task Breakdown'!$O$5:$O$681,'Task Breakdown'!$B$5:$B$681,$A52)</f>
        <v>32</v>
      </c>
      <c r="P52" s="29" t="n">
        <f aca="false">SUMIFS('Task Breakdown'!$P$5:$P$681,'Task Breakdown'!$B$5:$B$681,$A52)</f>
        <v>0</v>
      </c>
      <c r="Q52" s="29" t="n">
        <f aca="false">SUMIFS('Task Breakdown'!$Q$5:$Q$681,'Task Breakdown'!$B$5:$B$681,$A52)</f>
        <v>0</v>
      </c>
      <c r="R52" s="29" t="n">
        <f aca="false">SUMIFS('Task Breakdown'!$R$5:$R$681,'Task Breakdown'!$B$5:$B$681,$A52)</f>
        <v>0</v>
      </c>
      <c r="S52" s="29" t="n">
        <f aca="false">SUMIFS('Task Breakdown'!$S$5:$S$681,'Task Breakdown'!$B$5:$B$681,$A52)</f>
        <v>0</v>
      </c>
      <c r="T52" s="29" t="n">
        <f aca="false">SUMIFS('Task Breakdown'!$T$5:$T$681,'Task Breakdown'!$B$5:$B$681,$A52)</f>
        <v>0</v>
      </c>
      <c r="U52" s="42" t="n">
        <f aca="false">SUM(I52:T52)</f>
        <v>98</v>
      </c>
    </row>
    <row r="53" customFormat="false" ht="15" hidden="false" customHeight="false" outlineLevel="0" collapsed="false">
      <c r="A53" s="40" t="s">
        <v>338</v>
      </c>
      <c r="B53" s="40" t="s">
        <v>38</v>
      </c>
      <c r="C53" s="40" t="s">
        <v>8</v>
      </c>
      <c r="D53" s="40" t="s">
        <v>377</v>
      </c>
      <c r="E53" s="40" t="s">
        <v>339</v>
      </c>
      <c r="F53" s="40" t="s">
        <v>44</v>
      </c>
      <c r="G53" s="40" t="s">
        <v>340</v>
      </c>
      <c r="H53" s="41" t="n">
        <f aca="false">COUNTIF('Task Breakdown'!$B$5:$B$681,$A53)</f>
        <v>9</v>
      </c>
      <c r="I53" s="29" t="n">
        <f aca="false">SUMIFS('Task Breakdown'!$I$5:$I$681,'Task Breakdown'!$B$5:$B$681,$A53)</f>
        <v>0</v>
      </c>
      <c r="J53" s="29" t="n">
        <f aca="false">SUMIFS('Task Breakdown'!$J$5:$J$681,'Task Breakdown'!$B$5:$B$681,$A53)</f>
        <v>0</v>
      </c>
      <c r="K53" s="29" t="n">
        <f aca="false">SUMIFS('Task Breakdown'!$K$5:$K$681,'Task Breakdown'!$B$5:$B$681,$A53)</f>
        <v>22</v>
      </c>
      <c r="L53" s="29" t="n">
        <f aca="false">SUMIFS('Task Breakdown'!$L$5:$L$681,'Task Breakdown'!$B$5:$B$681,$A53)</f>
        <v>0</v>
      </c>
      <c r="M53" s="29" t="n">
        <f aca="false">SUMIFS('Task Breakdown'!$M$5:$M$681,'Task Breakdown'!$B$5:$B$681,$A53)</f>
        <v>0</v>
      </c>
      <c r="N53" s="29" t="n">
        <f aca="false">SUMIFS('Task Breakdown'!$N$5:$N$681,'Task Breakdown'!$B$5:$B$681,$A53)</f>
        <v>0</v>
      </c>
      <c r="O53" s="29" t="n">
        <f aca="false">SUMIFS('Task Breakdown'!$O$5:$O$681,'Task Breakdown'!$B$5:$B$681,$A53)</f>
        <v>310</v>
      </c>
      <c r="P53" s="29" t="n">
        <f aca="false">SUMIFS('Task Breakdown'!$P$5:$P$681,'Task Breakdown'!$B$5:$B$681,$A53)</f>
        <v>80</v>
      </c>
      <c r="Q53" s="29" t="n">
        <f aca="false">SUMIFS('Task Breakdown'!$Q$5:$Q$681,'Task Breakdown'!$B$5:$B$681,$A53)</f>
        <v>0</v>
      </c>
      <c r="R53" s="29" t="n">
        <f aca="false">SUMIFS('Task Breakdown'!$R$5:$R$681,'Task Breakdown'!$B$5:$B$681,$A53)</f>
        <v>147</v>
      </c>
      <c r="S53" s="29" t="n">
        <f aca="false">SUMIFS('Task Breakdown'!$S$5:$S$681,'Task Breakdown'!$B$5:$B$681,$A53)</f>
        <v>0</v>
      </c>
      <c r="T53" s="29" t="n">
        <f aca="false">SUMIFS('Task Breakdown'!$T$5:$T$681,'Task Breakdown'!$B$5:$B$681,$A53)</f>
        <v>98</v>
      </c>
      <c r="U53" s="42" t="n">
        <f aca="false">SUM(I53:T53)</f>
        <v>657</v>
      </c>
    </row>
    <row r="54" customFormat="false" ht="15" hidden="false" customHeight="false" outlineLevel="0" collapsed="false">
      <c r="A54" s="40" t="s">
        <v>141</v>
      </c>
      <c r="B54" s="40" t="s">
        <v>39</v>
      </c>
      <c r="C54" s="40" t="s">
        <v>5</v>
      </c>
      <c r="D54" s="40" t="s">
        <v>378</v>
      </c>
      <c r="E54" s="40" t="s">
        <v>142</v>
      </c>
      <c r="F54" s="40" t="s">
        <v>45</v>
      </c>
      <c r="G54" s="40" t="s">
        <v>143</v>
      </c>
      <c r="H54" s="41" t="n">
        <f aca="false">COUNTIF('Task Breakdown'!$B$5:$B$681,$A54)</f>
        <v>6</v>
      </c>
      <c r="I54" s="29" t="n">
        <f aca="false">SUMIFS('Task Breakdown'!$I$5:$I$681,'Task Breakdown'!$B$5:$B$681,$A54)</f>
        <v>40</v>
      </c>
      <c r="J54" s="29" t="n">
        <f aca="false">SUMIFS('Task Breakdown'!$J$5:$J$681,'Task Breakdown'!$B$5:$B$681,$A54)</f>
        <v>0</v>
      </c>
      <c r="K54" s="29" t="n">
        <f aca="false">SUMIFS('Task Breakdown'!$K$5:$K$681,'Task Breakdown'!$B$5:$B$681,$A54)</f>
        <v>0</v>
      </c>
      <c r="L54" s="29" t="n">
        <f aca="false">SUMIFS('Task Breakdown'!$L$5:$L$681,'Task Breakdown'!$B$5:$B$681,$A54)</f>
        <v>0</v>
      </c>
      <c r="M54" s="29" t="n">
        <f aca="false">SUMIFS('Task Breakdown'!$M$5:$M$681,'Task Breakdown'!$B$5:$B$681,$A54)</f>
        <v>20</v>
      </c>
      <c r="N54" s="29" t="n">
        <f aca="false">SUMIFS('Task Breakdown'!$N$5:$N$681,'Task Breakdown'!$B$5:$B$681,$A54)</f>
        <v>0</v>
      </c>
      <c r="O54" s="29" t="n">
        <f aca="false">SUMIFS('Task Breakdown'!$O$5:$O$681,'Task Breakdown'!$B$5:$B$681,$A54)</f>
        <v>0</v>
      </c>
      <c r="P54" s="29" t="n">
        <f aca="false">SUMIFS('Task Breakdown'!$P$5:$P$681,'Task Breakdown'!$B$5:$B$681,$A54)</f>
        <v>0</v>
      </c>
      <c r="Q54" s="29" t="n">
        <f aca="false">SUMIFS('Task Breakdown'!$Q$5:$Q$681,'Task Breakdown'!$B$5:$B$681,$A54)</f>
        <v>0</v>
      </c>
      <c r="R54" s="29" t="n">
        <f aca="false">SUMIFS('Task Breakdown'!$R$5:$R$681,'Task Breakdown'!$B$5:$B$681,$A54)</f>
        <v>119</v>
      </c>
      <c r="S54" s="29" t="n">
        <f aca="false">SUMIFS('Task Breakdown'!$S$5:$S$681,'Task Breakdown'!$B$5:$B$681,$A54)</f>
        <v>0</v>
      </c>
      <c r="T54" s="29" t="n">
        <f aca="false">SUMIFS('Task Breakdown'!$T$5:$T$681,'Task Breakdown'!$B$5:$B$681,$A54)</f>
        <v>0</v>
      </c>
      <c r="U54" s="42" t="n">
        <f aca="false">SUM(I54:T54)</f>
        <v>179</v>
      </c>
    </row>
    <row r="55" customFormat="false" ht="15" hidden="false" customHeight="false" outlineLevel="0" collapsed="false">
      <c r="A55" s="40" t="s">
        <v>144</v>
      </c>
      <c r="B55" s="40" t="s">
        <v>39</v>
      </c>
      <c r="C55" s="40" t="s">
        <v>5</v>
      </c>
      <c r="D55" s="40" t="s">
        <v>378</v>
      </c>
      <c r="E55" s="40" t="s">
        <v>145</v>
      </c>
      <c r="F55" s="40" t="s">
        <v>45</v>
      </c>
      <c r="G55" s="40" t="s">
        <v>146</v>
      </c>
      <c r="H55" s="41" t="n">
        <f aca="false">COUNTIF('Task Breakdown'!$B$5:$B$681,$A55)</f>
        <v>5</v>
      </c>
      <c r="I55" s="29" t="n">
        <f aca="false">SUMIFS('Task Breakdown'!$I$5:$I$681,'Task Breakdown'!$B$5:$B$681,$A55)</f>
        <v>16</v>
      </c>
      <c r="J55" s="29" t="n">
        <f aca="false">SUMIFS('Task Breakdown'!$J$5:$J$681,'Task Breakdown'!$B$5:$B$681,$A55)</f>
        <v>0</v>
      </c>
      <c r="K55" s="29" t="n">
        <f aca="false">SUMIFS('Task Breakdown'!$K$5:$K$681,'Task Breakdown'!$B$5:$B$681,$A55)</f>
        <v>0</v>
      </c>
      <c r="L55" s="29" t="n">
        <f aca="false">SUMIFS('Task Breakdown'!$L$5:$L$681,'Task Breakdown'!$B$5:$B$681,$A55)</f>
        <v>0</v>
      </c>
      <c r="M55" s="29" t="n">
        <f aca="false">SUMIFS('Task Breakdown'!$M$5:$M$681,'Task Breakdown'!$B$5:$B$681,$A55)</f>
        <v>16</v>
      </c>
      <c r="N55" s="29" t="n">
        <f aca="false">SUMIFS('Task Breakdown'!$N$5:$N$681,'Task Breakdown'!$B$5:$B$681,$A55)</f>
        <v>0</v>
      </c>
      <c r="O55" s="29" t="n">
        <f aca="false">SUMIFS('Task Breakdown'!$O$5:$O$681,'Task Breakdown'!$B$5:$B$681,$A55)</f>
        <v>0</v>
      </c>
      <c r="P55" s="29" t="n">
        <f aca="false">SUMIFS('Task Breakdown'!$P$5:$P$681,'Task Breakdown'!$B$5:$B$681,$A55)</f>
        <v>16</v>
      </c>
      <c r="Q55" s="29" t="n">
        <f aca="false">SUMIFS('Task Breakdown'!$Q$5:$Q$681,'Task Breakdown'!$B$5:$B$681,$A55)</f>
        <v>0</v>
      </c>
      <c r="R55" s="29" t="n">
        <f aca="false">SUMIFS('Task Breakdown'!$R$5:$R$681,'Task Breakdown'!$B$5:$B$681,$A55)</f>
        <v>58</v>
      </c>
      <c r="S55" s="29" t="n">
        <f aca="false">SUMIFS('Task Breakdown'!$S$5:$S$681,'Task Breakdown'!$B$5:$B$681,$A55)</f>
        <v>0</v>
      </c>
      <c r="T55" s="29" t="n">
        <f aca="false">SUMIFS('Task Breakdown'!$T$5:$T$681,'Task Breakdown'!$B$5:$B$681,$A55)</f>
        <v>0</v>
      </c>
      <c r="U55" s="42" t="n">
        <f aca="false">SUM(I55:T55)</f>
        <v>106</v>
      </c>
    </row>
    <row r="56" customFormat="false" ht="15" hidden="false" customHeight="false" outlineLevel="0" collapsed="false">
      <c r="A56" s="40" t="s">
        <v>147</v>
      </c>
      <c r="B56" s="40" t="s">
        <v>39</v>
      </c>
      <c r="C56" s="40" t="s">
        <v>5</v>
      </c>
      <c r="D56" s="40" t="s">
        <v>378</v>
      </c>
      <c r="E56" s="40" t="s">
        <v>148</v>
      </c>
      <c r="F56" s="40" t="s">
        <v>45</v>
      </c>
      <c r="G56" s="40" t="s">
        <v>149</v>
      </c>
      <c r="H56" s="41" t="n">
        <f aca="false">COUNTIF('Task Breakdown'!$B$5:$B$681,$A56)</f>
        <v>5</v>
      </c>
      <c r="I56" s="29" t="n">
        <f aca="false">SUMIFS('Task Breakdown'!$I$5:$I$681,'Task Breakdown'!$B$5:$B$681,$A56)</f>
        <v>0</v>
      </c>
      <c r="J56" s="29" t="n">
        <f aca="false">SUMIFS('Task Breakdown'!$J$5:$J$681,'Task Breakdown'!$B$5:$B$681,$A56)</f>
        <v>0</v>
      </c>
      <c r="K56" s="29" t="n">
        <f aca="false">SUMIFS('Task Breakdown'!$K$5:$K$681,'Task Breakdown'!$B$5:$B$681,$A56)</f>
        <v>0</v>
      </c>
      <c r="L56" s="29" t="n">
        <f aca="false">SUMIFS('Task Breakdown'!$L$5:$L$681,'Task Breakdown'!$B$5:$B$681,$A56)</f>
        <v>0</v>
      </c>
      <c r="M56" s="29" t="n">
        <f aca="false">SUMIFS('Task Breakdown'!$M$5:$M$681,'Task Breakdown'!$B$5:$B$681,$A56)</f>
        <v>0</v>
      </c>
      <c r="N56" s="29" t="n">
        <f aca="false">SUMIFS('Task Breakdown'!$N$5:$N$681,'Task Breakdown'!$B$5:$B$681,$A56)</f>
        <v>0</v>
      </c>
      <c r="O56" s="29" t="n">
        <f aca="false">SUMIFS('Task Breakdown'!$O$5:$O$681,'Task Breakdown'!$B$5:$B$681,$A56)</f>
        <v>20</v>
      </c>
      <c r="P56" s="29" t="n">
        <f aca="false">SUMIFS('Task Breakdown'!$P$5:$P$681,'Task Breakdown'!$B$5:$B$681,$A56)</f>
        <v>0</v>
      </c>
      <c r="Q56" s="29" t="n">
        <f aca="false">SUMIFS('Task Breakdown'!$Q$5:$Q$681,'Task Breakdown'!$B$5:$B$681,$A56)</f>
        <v>0</v>
      </c>
      <c r="R56" s="29" t="n">
        <f aca="false">SUMIFS('Task Breakdown'!$R$5:$R$681,'Task Breakdown'!$B$5:$B$681,$A56)</f>
        <v>91</v>
      </c>
      <c r="S56" s="29" t="n">
        <f aca="false">SUMIFS('Task Breakdown'!$S$5:$S$681,'Task Breakdown'!$B$5:$B$681,$A56)</f>
        <v>0</v>
      </c>
      <c r="T56" s="29" t="n">
        <f aca="false">SUMIFS('Task Breakdown'!$T$5:$T$681,'Task Breakdown'!$B$5:$B$681,$A56)</f>
        <v>0</v>
      </c>
      <c r="U56" s="42" t="n">
        <f aca="false">SUM(I56:T56)</f>
        <v>111</v>
      </c>
    </row>
    <row r="57" customFormat="false" ht="15" hidden="false" customHeight="false" outlineLevel="0" collapsed="false">
      <c r="A57" s="40" t="s">
        <v>150</v>
      </c>
      <c r="B57" s="40" t="s">
        <v>39</v>
      </c>
      <c r="C57" s="40" t="s">
        <v>5</v>
      </c>
      <c r="D57" s="40" t="s">
        <v>378</v>
      </c>
      <c r="E57" s="40" t="s">
        <v>151</v>
      </c>
      <c r="F57" s="40" t="s">
        <v>45</v>
      </c>
      <c r="G57" s="40" t="s">
        <v>152</v>
      </c>
      <c r="H57" s="41" t="n">
        <f aca="false">COUNTIF('Task Breakdown'!$B$5:$B$681,$A57)</f>
        <v>5</v>
      </c>
      <c r="I57" s="29" t="n">
        <f aca="false">SUMIFS('Task Breakdown'!$I$5:$I$681,'Task Breakdown'!$B$5:$B$681,$A57)</f>
        <v>16</v>
      </c>
      <c r="J57" s="29" t="n">
        <f aca="false">SUMIFS('Task Breakdown'!$J$5:$J$681,'Task Breakdown'!$B$5:$B$681,$A57)</f>
        <v>0</v>
      </c>
      <c r="K57" s="29" t="n">
        <f aca="false">SUMIFS('Task Breakdown'!$K$5:$K$681,'Task Breakdown'!$B$5:$B$681,$A57)</f>
        <v>0</v>
      </c>
      <c r="L57" s="29" t="n">
        <f aca="false">SUMIFS('Task Breakdown'!$L$5:$L$681,'Task Breakdown'!$B$5:$B$681,$A57)</f>
        <v>0</v>
      </c>
      <c r="M57" s="29" t="n">
        <f aca="false">SUMIFS('Task Breakdown'!$M$5:$M$681,'Task Breakdown'!$B$5:$B$681,$A57)</f>
        <v>16</v>
      </c>
      <c r="N57" s="29" t="n">
        <f aca="false">SUMIFS('Task Breakdown'!$N$5:$N$681,'Task Breakdown'!$B$5:$B$681,$A57)</f>
        <v>0</v>
      </c>
      <c r="O57" s="29" t="n">
        <f aca="false">SUMIFS('Task Breakdown'!$O$5:$O$681,'Task Breakdown'!$B$5:$B$681,$A57)</f>
        <v>0</v>
      </c>
      <c r="P57" s="29" t="n">
        <f aca="false">SUMIFS('Task Breakdown'!$P$5:$P$681,'Task Breakdown'!$B$5:$B$681,$A57)</f>
        <v>0</v>
      </c>
      <c r="Q57" s="29" t="n">
        <f aca="false">SUMIFS('Task Breakdown'!$Q$5:$Q$681,'Task Breakdown'!$B$5:$B$681,$A57)</f>
        <v>0</v>
      </c>
      <c r="R57" s="29" t="n">
        <f aca="false">SUMIFS('Task Breakdown'!$R$5:$R$681,'Task Breakdown'!$B$5:$B$681,$A57)</f>
        <v>39</v>
      </c>
      <c r="S57" s="29" t="n">
        <f aca="false">SUMIFS('Task Breakdown'!$S$5:$S$681,'Task Breakdown'!$B$5:$B$681,$A57)</f>
        <v>0</v>
      </c>
      <c r="T57" s="29" t="n">
        <f aca="false">SUMIFS('Task Breakdown'!$T$5:$T$681,'Task Breakdown'!$B$5:$B$681,$A57)</f>
        <v>0</v>
      </c>
      <c r="U57" s="42" t="n">
        <f aca="false">SUM(I57:T57)</f>
        <v>71</v>
      </c>
    </row>
    <row r="58" customFormat="false" ht="15" hidden="false" customHeight="false" outlineLevel="0" collapsed="false">
      <c r="A58" s="40" t="s">
        <v>153</v>
      </c>
      <c r="B58" s="40" t="s">
        <v>39</v>
      </c>
      <c r="C58" s="40" t="s">
        <v>5</v>
      </c>
      <c r="D58" s="40" t="s">
        <v>378</v>
      </c>
      <c r="E58" s="40" t="s">
        <v>154</v>
      </c>
      <c r="F58" s="40" t="s">
        <v>45</v>
      </c>
      <c r="G58" s="40" t="s">
        <v>155</v>
      </c>
      <c r="H58" s="41" t="n">
        <f aca="false">COUNTIF('Task Breakdown'!$B$5:$B$681,$A58)</f>
        <v>5</v>
      </c>
      <c r="I58" s="29" t="n">
        <f aca="false">SUMIFS('Task Breakdown'!$I$5:$I$681,'Task Breakdown'!$B$5:$B$681,$A58)</f>
        <v>0</v>
      </c>
      <c r="J58" s="29" t="n">
        <f aca="false">SUMIFS('Task Breakdown'!$J$5:$J$681,'Task Breakdown'!$B$5:$B$681,$A58)</f>
        <v>0</v>
      </c>
      <c r="K58" s="29" t="n">
        <f aca="false">SUMIFS('Task Breakdown'!$K$5:$K$681,'Task Breakdown'!$B$5:$B$681,$A58)</f>
        <v>0</v>
      </c>
      <c r="L58" s="29" t="n">
        <f aca="false">SUMIFS('Task Breakdown'!$L$5:$L$681,'Task Breakdown'!$B$5:$B$681,$A58)</f>
        <v>16</v>
      </c>
      <c r="M58" s="29" t="n">
        <f aca="false">SUMIFS('Task Breakdown'!$M$5:$M$681,'Task Breakdown'!$B$5:$B$681,$A58)</f>
        <v>16</v>
      </c>
      <c r="N58" s="29" t="n">
        <f aca="false">SUMIFS('Task Breakdown'!$N$5:$N$681,'Task Breakdown'!$B$5:$B$681,$A58)</f>
        <v>0</v>
      </c>
      <c r="O58" s="29" t="n">
        <f aca="false">SUMIFS('Task Breakdown'!$O$5:$O$681,'Task Breakdown'!$B$5:$B$681,$A58)</f>
        <v>0</v>
      </c>
      <c r="P58" s="29" t="n">
        <f aca="false">SUMIFS('Task Breakdown'!$P$5:$P$681,'Task Breakdown'!$B$5:$B$681,$A58)</f>
        <v>0</v>
      </c>
      <c r="Q58" s="29" t="n">
        <f aca="false">SUMIFS('Task Breakdown'!$Q$5:$Q$681,'Task Breakdown'!$B$5:$B$681,$A58)</f>
        <v>0</v>
      </c>
      <c r="R58" s="29" t="n">
        <f aca="false">SUMIFS('Task Breakdown'!$R$5:$R$681,'Task Breakdown'!$B$5:$B$681,$A58)</f>
        <v>39</v>
      </c>
      <c r="S58" s="29" t="n">
        <f aca="false">SUMIFS('Task Breakdown'!$S$5:$S$681,'Task Breakdown'!$B$5:$B$681,$A58)</f>
        <v>0</v>
      </c>
      <c r="T58" s="29" t="n">
        <f aca="false">SUMIFS('Task Breakdown'!$T$5:$T$681,'Task Breakdown'!$B$5:$B$681,$A58)</f>
        <v>0</v>
      </c>
      <c r="U58" s="42" t="n">
        <f aca="false">SUM(I58:T58)</f>
        <v>71</v>
      </c>
    </row>
    <row r="59" customFormat="false" ht="15" hidden="false" customHeight="false" outlineLevel="0" collapsed="false">
      <c r="A59" s="40" t="s">
        <v>156</v>
      </c>
      <c r="B59" s="40" t="s">
        <v>39</v>
      </c>
      <c r="C59" s="40" t="s">
        <v>5</v>
      </c>
      <c r="D59" s="40" t="s">
        <v>378</v>
      </c>
      <c r="E59" s="40" t="s">
        <v>157</v>
      </c>
      <c r="F59" s="40" t="s">
        <v>43</v>
      </c>
      <c r="G59" s="40" t="s">
        <v>158</v>
      </c>
      <c r="H59" s="41" t="n">
        <f aca="false">COUNTIF('Task Breakdown'!$B$5:$B$681,$A59)</f>
        <v>5</v>
      </c>
      <c r="I59" s="29" t="n">
        <f aca="false">SUMIFS('Task Breakdown'!$I$5:$I$681,'Task Breakdown'!$B$5:$B$681,$A59)</f>
        <v>0</v>
      </c>
      <c r="J59" s="29" t="n">
        <f aca="false">SUMIFS('Task Breakdown'!$J$5:$J$681,'Task Breakdown'!$B$5:$B$681,$A59)</f>
        <v>0</v>
      </c>
      <c r="K59" s="29" t="n">
        <f aca="false">SUMIFS('Task Breakdown'!$K$5:$K$681,'Task Breakdown'!$B$5:$B$681,$A59)</f>
        <v>0</v>
      </c>
      <c r="L59" s="29" t="n">
        <f aca="false">SUMIFS('Task Breakdown'!$L$5:$L$681,'Task Breakdown'!$B$5:$B$681,$A59)</f>
        <v>16</v>
      </c>
      <c r="M59" s="29" t="n">
        <f aca="false">SUMIFS('Task Breakdown'!$M$5:$M$681,'Task Breakdown'!$B$5:$B$681,$A59)</f>
        <v>39</v>
      </c>
      <c r="N59" s="29" t="n">
        <f aca="false">SUMIFS('Task Breakdown'!$N$5:$N$681,'Task Breakdown'!$B$5:$B$681,$A59)</f>
        <v>0</v>
      </c>
      <c r="O59" s="29" t="n">
        <f aca="false">SUMIFS('Task Breakdown'!$O$5:$O$681,'Task Breakdown'!$B$5:$B$681,$A59)</f>
        <v>0</v>
      </c>
      <c r="P59" s="29" t="n">
        <f aca="false">SUMIFS('Task Breakdown'!$P$5:$P$681,'Task Breakdown'!$B$5:$B$681,$A59)</f>
        <v>0</v>
      </c>
      <c r="Q59" s="29" t="n">
        <f aca="false">SUMIFS('Task Breakdown'!$Q$5:$Q$681,'Task Breakdown'!$B$5:$B$681,$A59)</f>
        <v>0</v>
      </c>
      <c r="R59" s="29" t="n">
        <f aca="false">SUMIFS('Task Breakdown'!$R$5:$R$681,'Task Breakdown'!$B$5:$B$681,$A59)</f>
        <v>16</v>
      </c>
      <c r="S59" s="29" t="n">
        <f aca="false">SUMIFS('Task Breakdown'!$S$5:$S$681,'Task Breakdown'!$B$5:$B$681,$A59)</f>
        <v>0</v>
      </c>
      <c r="T59" s="29" t="n">
        <f aca="false">SUMIFS('Task Breakdown'!$T$5:$T$681,'Task Breakdown'!$B$5:$B$681,$A59)</f>
        <v>0</v>
      </c>
      <c r="U59" s="42" t="n">
        <f aca="false">SUM(I59:T59)</f>
        <v>71</v>
      </c>
    </row>
    <row r="60" customFormat="false" ht="15" hidden="false" customHeight="false" outlineLevel="0" collapsed="false">
      <c r="A60" s="40" t="s">
        <v>207</v>
      </c>
      <c r="B60" s="40" t="s">
        <v>39</v>
      </c>
      <c r="C60" s="40" t="s">
        <v>6</v>
      </c>
      <c r="D60" s="40" t="s">
        <v>379</v>
      </c>
      <c r="E60" s="40" t="s">
        <v>208</v>
      </c>
      <c r="F60" s="40" t="s">
        <v>45</v>
      </c>
      <c r="G60" s="40" t="s">
        <v>209</v>
      </c>
      <c r="H60" s="41" t="n">
        <f aca="false">COUNTIF('Task Breakdown'!$B$5:$B$681,$A60)</f>
        <v>11</v>
      </c>
      <c r="I60" s="29" t="n">
        <f aca="false">SUMIFS('Task Breakdown'!$I$5:$I$681,'Task Breakdown'!$B$5:$B$681,$A60)</f>
        <v>0</v>
      </c>
      <c r="J60" s="29" t="n">
        <f aca="false">SUMIFS('Task Breakdown'!$J$5:$J$681,'Task Breakdown'!$B$5:$B$681,$A60)</f>
        <v>0</v>
      </c>
      <c r="K60" s="29" t="n">
        <f aca="false">SUMIFS('Task Breakdown'!$K$5:$K$681,'Task Breakdown'!$B$5:$B$681,$A60)</f>
        <v>24</v>
      </c>
      <c r="L60" s="29" t="n">
        <f aca="false">SUMIFS('Task Breakdown'!$L$5:$L$681,'Task Breakdown'!$B$5:$B$681,$A60)</f>
        <v>0</v>
      </c>
      <c r="M60" s="29" t="n">
        <f aca="false">SUMIFS('Task Breakdown'!$M$5:$M$681,'Task Breakdown'!$B$5:$B$681,$A60)</f>
        <v>35</v>
      </c>
      <c r="N60" s="29" t="n">
        <f aca="false">SUMIFS('Task Breakdown'!$N$5:$N$681,'Task Breakdown'!$B$5:$B$681,$A60)</f>
        <v>316</v>
      </c>
      <c r="O60" s="29" t="n">
        <f aca="false">SUMIFS('Task Breakdown'!$O$5:$O$681,'Task Breakdown'!$B$5:$B$681,$A60)</f>
        <v>121</v>
      </c>
      <c r="P60" s="29" t="n">
        <f aca="false">SUMIFS('Task Breakdown'!$P$5:$P$681,'Task Breakdown'!$B$5:$B$681,$A60)</f>
        <v>0</v>
      </c>
      <c r="Q60" s="29" t="n">
        <f aca="false">SUMIFS('Task Breakdown'!$Q$5:$Q$681,'Task Breakdown'!$B$5:$B$681,$A60)</f>
        <v>48</v>
      </c>
      <c r="R60" s="29" t="n">
        <f aca="false">SUMIFS('Task Breakdown'!$R$5:$R$681,'Task Breakdown'!$B$5:$B$681,$A60)</f>
        <v>73</v>
      </c>
      <c r="S60" s="29" t="n">
        <f aca="false">SUMIFS('Task Breakdown'!$S$5:$S$681,'Task Breakdown'!$B$5:$B$681,$A60)</f>
        <v>98</v>
      </c>
      <c r="T60" s="29" t="n">
        <f aca="false">SUMIFS('Task Breakdown'!$T$5:$T$681,'Task Breakdown'!$B$5:$B$681,$A60)</f>
        <v>0</v>
      </c>
      <c r="U60" s="42" t="n">
        <f aca="false">SUM(I60:T60)</f>
        <v>715</v>
      </c>
    </row>
    <row r="61" customFormat="false" ht="15" hidden="false" customHeight="false" outlineLevel="0" collapsed="false">
      <c r="A61" s="40" t="s">
        <v>210</v>
      </c>
      <c r="B61" s="40" t="s">
        <v>39</v>
      </c>
      <c r="C61" s="40" t="s">
        <v>6</v>
      </c>
      <c r="D61" s="40" t="s">
        <v>379</v>
      </c>
      <c r="E61" s="40" t="s">
        <v>211</v>
      </c>
      <c r="F61" s="40" t="s">
        <v>45</v>
      </c>
      <c r="G61" s="40" t="s">
        <v>212</v>
      </c>
      <c r="H61" s="41" t="n">
        <f aca="false">COUNTIF('Task Breakdown'!$B$5:$B$681,$A61)</f>
        <v>10</v>
      </c>
      <c r="I61" s="29" t="n">
        <f aca="false">SUMIFS('Task Breakdown'!$I$5:$I$681,'Task Breakdown'!$B$5:$B$681,$A61)</f>
        <v>0</v>
      </c>
      <c r="J61" s="29" t="n">
        <f aca="false">SUMIFS('Task Breakdown'!$J$5:$J$681,'Task Breakdown'!$B$5:$B$681,$A61)</f>
        <v>0</v>
      </c>
      <c r="K61" s="29" t="n">
        <f aca="false">SUMIFS('Task Breakdown'!$K$5:$K$681,'Task Breakdown'!$B$5:$B$681,$A61)</f>
        <v>19</v>
      </c>
      <c r="L61" s="29" t="n">
        <f aca="false">SUMIFS('Task Breakdown'!$L$5:$L$681,'Task Breakdown'!$B$5:$B$681,$A61)</f>
        <v>0</v>
      </c>
      <c r="M61" s="29" t="n">
        <f aca="false">SUMIFS('Task Breakdown'!$M$5:$M$681,'Task Breakdown'!$B$5:$B$681,$A61)</f>
        <v>28</v>
      </c>
      <c r="N61" s="29" t="n">
        <f aca="false">SUMIFS('Task Breakdown'!$N$5:$N$681,'Task Breakdown'!$B$5:$B$681,$A61)</f>
        <v>251</v>
      </c>
      <c r="O61" s="29" t="n">
        <f aca="false">SUMIFS('Task Breakdown'!$O$5:$O$681,'Task Breakdown'!$B$5:$B$681,$A61)</f>
        <v>48</v>
      </c>
      <c r="P61" s="29" t="n">
        <f aca="false">SUMIFS('Task Breakdown'!$P$5:$P$681,'Task Breakdown'!$B$5:$B$681,$A61)</f>
        <v>0</v>
      </c>
      <c r="Q61" s="29" t="n">
        <f aca="false">SUMIFS('Task Breakdown'!$Q$5:$Q$681,'Task Breakdown'!$B$5:$B$681,$A61)</f>
        <v>48</v>
      </c>
      <c r="R61" s="29" t="n">
        <f aca="false">SUMIFS('Task Breakdown'!$R$5:$R$681,'Task Breakdown'!$B$5:$B$681,$A61)</f>
        <v>74</v>
      </c>
      <c r="S61" s="29" t="n">
        <f aca="false">SUMIFS('Task Breakdown'!$S$5:$S$681,'Task Breakdown'!$B$5:$B$681,$A61)</f>
        <v>98</v>
      </c>
      <c r="T61" s="29" t="n">
        <f aca="false">SUMIFS('Task Breakdown'!$T$5:$T$681,'Task Breakdown'!$B$5:$B$681,$A61)</f>
        <v>0</v>
      </c>
      <c r="U61" s="42" t="n">
        <f aca="false">SUM(I61:T61)</f>
        <v>566</v>
      </c>
    </row>
    <row r="62" customFormat="false" ht="15" hidden="false" customHeight="false" outlineLevel="0" collapsed="false">
      <c r="A62" s="40" t="s">
        <v>213</v>
      </c>
      <c r="B62" s="40" t="s">
        <v>39</v>
      </c>
      <c r="C62" s="40" t="s">
        <v>6</v>
      </c>
      <c r="D62" s="40" t="s">
        <v>379</v>
      </c>
      <c r="E62" s="40" t="s">
        <v>214</v>
      </c>
      <c r="F62" s="40" t="s">
        <v>45</v>
      </c>
      <c r="G62" s="40" t="s">
        <v>215</v>
      </c>
      <c r="H62" s="41" t="n">
        <f aca="false">COUNTIF('Task Breakdown'!$B$5:$B$681,$A62)</f>
        <v>9</v>
      </c>
      <c r="I62" s="29" t="n">
        <f aca="false">SUMIFS('Task Breakdown'!$I$5:$I$681,'Task Breakdown'!$B$5:$B$681,$A62)</f>
        <v>0</v>
      </c>
      <c r="J62" s="29" t="n">
        <f aca="false">SUMIFS('Task Breakdown'!$J$5:$J$681,'Task Breakdown'!$B$5:$B$681,$A62)</f>
        <v>0</v>
      </c>
      <c r="K62" s="29" t="n">
        <f aca="false">SUMIFS('Task Breakdown'!$K$5:$K$681,'Task Breakdown'!$B$5:$B$681,$A62)</f>
        <v>7</v>
      </c>
      <c r="L62" s="29" t="n">
        <f aca="false">SUMIFS('Task Breakdown'!$L$5:$L$681,'Task Breakdown'!$B$5:$B$681,$A62)</f>
        <v>16</v>
      </c>
      <c r="M62" s="29" t="n">
        <f aca="false">SUMIFS('Task Breakdown'!$M$5:$M$681,'Task Breakdown'!$B$5:$B$681,$A62)</f>
        <v>10</v>
      </c>
      <c r="N62" s="29" t="n">
        <f aca="false">SUMIFS('Task Breakdown'!$N$5:$N$681,'Task Breakdown'!$B$5:$B$681,$A62)</f>
        <v>16</v>
      </c>
      <c r="O62" s="29" t="n">
        <f aca="false">SUMIFS('Task Breakdown'!$O$5:$O$681,'Task Breakdown'!$B$5:$B$681,$A62)</f>
        <v>0</v>
      </c>
      <c r="P62" s="29" t="n">
        <f aca="false">SUMIFS('Task Breakdown'!$P$5:$P$681,'Task Breakdown'!$B$5:$B$681,$A62)</f>
        <v>0</v>
      </c>
      <c r="Q62" s="29" t="n">
        <f aca="false">SUMIFS('Task Breakdown'!$Q$5:$Q$681,'Task Breakdown'!$B$5:$B$681,$A62)</f>
        <v>117</v>
      </c>
      <c r="R62" s="29" t="n">
        <f aca="false">SUMIFS('Task Breakdown'!$R$5:$R$681,'Task Breakdown'!$B$5:$B$681,$A62)</f>
        <v>0</v>
      </c>
      <c r="S62" s="29" t="n">
        <f aca="false">SUMIFS('Task Breakdown'!$S$5:$S$681,'Task Breakdown'!$B$5:$B$681,$A62)</f>
        <v>33</v>
      </c>
      <c r="T62" s="29" t="n">
        <f aca="false">SUMIFS('Task Breakdown'!$T$5:$T$681,'Task Breakdown'!$B$5:$B$681,$A62)</f>
        <v>0</v>
      </c>
      <c r="U62" s="42" t="n">
        <f aca="false">SUM(I62:T62)</f>
        <v>199</v>
      </c>
    </row>
    <row r="63" customFormat="false" ht="15" hidden="false" customHeight="false" outlineLevel="0" collapsed="false">
      <c r="A63" s="40" t="s">
        <v>216</v>
      </c>
      <c r="B63" s="40" t="s">
        <v>39</v>
      </c>
      <c r="C63" s="40" t="s">
        <v>6</v>
      </c>
      <c r="D63" s="40" t="s">
        <v>379</v>
      </c>
      <c r="E63" s="40" t="s">
        <v>217</v>
      </c>
      <c r="F63" s="40" t="s">
        <v>45</v>
      </c>
      <c r="G63" s="40" t="s">
        <v>218</v>
      </c>
      <c r="H63" s="41" t="n">
        <f aca="false">COUNTIF('Task Breakdown'!$B$5:$B$681,$A63)</f>
        <v>6</v>
      </c>
      <c r="I63" s="29" t="n">
        <f aca="false">SUMIFS('Task Breakdown'!$I$5:$I$681,'Task Breakdown'!$B$5:$B$681,$A63)</f>
        <v>48</v>
      </c>
      <c r="J63" s="29" t="n">
        <f aca="false">SUMIFS('Task Breakdown'!$J$5:$J$681,'Task Breakdown'!$B$5:$B$681,$A63)</f>
        <v>0</v>
      </c>
      <c r="K63" s="29" t="n">
        <f aca="false">SUMIFS('Task Breakdown'!$K$5:$K$681,'Task Breakdown'!$B$5:$B$681,$A63)</f>
        <v>0</v>
      </c>
      <c r="L63" s="29" t="n">
        <f aca="false">SUMIFS('Task Breakdown'!$L$5:$L$681,'Task Breakdown'!$B$5:$B$681,$A63)</f>
        <v>0</v>
      </c>
      <c r="M63" s="29" t="n">
        <f aca="false">SUMIFS('Task Breakdown'!$M$5:$M$681,'Task Breakdown'!$B$5:$B$681,$A63)</f>
        <v>0</v>
      </c>
      <c r="N63" s="29" t="n">
        <f aca="false">SUMIFS('Task Breakdown'!$N$5:$N$681,'Task Breakdown'!$B$5:$B$681,$A63)</f>
        <v>49</v>
      </c>
      <c r="O63" s="29" t="n">
        <f aca="false">SUMIFS('Task Breakdown'!$O$5:$O$681,'Task Breakdown'!$B$5:$B$681,$A63)</f>
        <v>0</v>
      </c>
      <c r="P63" s="29" t="n">
        <f aca="false">SUMIFS('Task Breakdown'!$P$5:$P$681,'Task Breakdown'!$B$5:$B$681,$A63)</f>
        <v>0</v>
      </c>
      <c r="Q63" s="29" t="n">
        <f aca="false">SUMIFS('Task Breakdown'!$Q$5:$Q$681,'Task Breakdown'!$B$5:$B$681,$A63)</f>
        <v>0</v>
      </c>
      <c r="R63" s="29" t="n">
        <f aca="false">SUMIFS('Task Breakdown'!$R$5:$R$681,'Task Breakdown'!$B$5:$B$681,$A63)</f>
        <v>154</v>
      </c>
      <c r="S63" s="29" t="n">
        <f aca="false">SUMIFS('Task Breakdown'!$S$5:$S$681,'Task Breakdown'!$B$5:$B$681,$A63)</f>
        <v>0</v>
      </c>
      <c r="T63" s="29" t="n">
        <f aca="false">SUMIFS('Task Breakdown'!$T$5:$T$681,'Task Breakdown'!$B$5:$B$681,$A63)</f>
        <v>97</v>
      </c>
      <c r="U63" s="42" t="n">
        <f aca="false">SUM(I63:T63)</f>
        <v>348</v>
      </c>
    </row>
    <row r="64" customFormat="false" ht="15" hidden="false" customHeight="false" outlineLevel="0" collapsed="false">
      <c r="A64" s="40" t="s">
        <v>219</v>
      </c>
      <c r="B64" s="40" t="s">
        <v>39</v>
      </c>
      <c r="C64" s="40" t="s">
        <v>6</v>
      </c>
      <c r="D64" s="40" t="s">
        <v>379</v>
      </c>
      <c r="E64" s="40" t="s">
        <v>220</v>
      </c>
      <c r="F64" s="40" t="s">
        <v>45</v>
      </c>
      <c r="G64" s="40" t="s">
        <v>221</v>
      </c>
      <c r="H64" s="41" t="n">
        <f aca="false">COUNTIF('Task Breakdown'!$B$5:$B$681,$A64)</f>
        <v>5</v>
      </c>
      <c r="I64" s="29" t="n">
        <f aca="false">SUMIFS('Task Breakdown'!$I$5:$I$681,'Task Breakdown'!$B$5:$B$681,$A64)</f>
        <v>0</v>
      </c>
      <c r="J64" s="29" t="n">
        <f aca="false">SUMIFS('Task Breakdown'!$J$5:$J$681,'Task Breakdown'!$B$5:$B$681,$A64)</f>
        <v>0</v>
      </c>
      <c r="K64" s="29" t="n">
        <f aca="false">SUMIFS('Task Breakdown'!$K$5:$K$681,'Task Breakdown'!$B$5:$B$681,$A64)</f>
        <v>0</v>
      </c>
      <c r="L64" s="29" t="n">
        <f aca="false">SUMIFS('Task Breakdown'!$L$5:$L$681,'Task Breakdown'!$B$5:$B$681,$A64)</f>
        <v>0</v>
      </c>
      <c r="M64" s="29" t="n">
        <f aca="false">SUMIFS('Task Breakdown'!$M$5:$M$681,'Task Breakdown'!$B$5:$B$681,$A64)</f>
        <v>0</v>
      </c>
      <c r="N64" s="29" t="n">
        <f aca="false">SUMIFS('Task Breakdown'!$N$5:$N$681,'Task Breakdown'!$B$5:$B$681,$A64)</f>
        <v>32</v>
      </c>
      <c r="O64" s="29" t="n">
        <f aca="false">SUMIFS('Task Breakdown'!$O$5:$O$681,'Task Breakdown'!$B$5:$B$681,$A64)</f>
        <v>0</v>
      </c>
      <c r="P64" s="29" t="n">
        <f aca="false">SUMIFS('Task Breakdown'!$P$5:$P$681,'Task Breakdown'!$B$5:$B$681,$A64)</f>
        <v>0</v>
      </c>
      <c r="Q64" s="29" t="n">
        <f aca="false">SUMIFS('Task Breakdown'!$Q$5:$Q$681,'Task Breakdown'!$B$5:$B$681,$A64)</f>
        <v>0</v>
      </c>
      <c r="R64" s="29" t="n">
        <f aca="false">SUMIFS('Task Breakdown'!$R$5:$R$681,'Task Breakdown'!$B$5:$B$681,$A64)</f>
        <v>59</v>
      </c>
      <c r="S64" s="29" t="n">
        <f aca="false">SUMIFS('Task Breakdown'!$S$5:$S$681,'Task Breakdown'!$B$5:$B$681,$A64)</f>
        <v>16</v>
      </c>
      <c r="T64" s="29" t="n">
        <f aca="false">SUMIFS('Task Breakdown'!$T$5:$T$681,'Task Breakdown'!$B$5:$B$681,$A64)</f>
        <v>0</v>
      </c>
      <c r="U64" s="42" t="n">
        <f aca="false">SUM(I64:T64)</f>
        <v>107</v>
      </c>
    </row>
    <row r="65" customFormat="false" ht="15" hidden="false" customHeight="false" outlineLevel="0" collapsed="false">
      <c r="A65" s="40" t="s">
        <v>222</v>
      </c>
      <c r="B65" s="40" t="s">
        <v>39</v>
      </c>
      <c r="C65" s="40" t="s">
        <v>6</v>
      </c>
      <c r="D65" s="40" t="s">
        <v>379</v>
      </c>
      <c r="E65" s="40" t="s">
        <v>223</v>
      </c>
      <c r="F65" s="40" t="s">
        <v>45</v>
      </c>
      <c r="G65" s="40" t="s">
        <v>224</v>
      </c>
      <c r="H65" s="41" t="n">
        <f aca="false">COUNTIF('Task Breakdown'!$B$5:$B$681,$A65)</f>
        <v>4</v>
      </c>
      <c r="I65" s="29" t="n">
        <f aca="false">SUMIFS('Task Breakdown'!$I$5:$I$681,'Task Breakdown'!$B$5:$B$681,$A65)</f>
        <v>12</v>
      </c>
      <c r="J65" s="29" t="n">
        <f aca="false">SUMIFS('Task Breakdown'!$J$5:$J$681,'Task Breakdown'!$B$5:$B$681,$A65)</f>
        <v>0</v>
      </c>
      <c r="K65" s="29" t="n">
        <f aca="false">SUMIFS('Task Breakdown'!$K$5:$K$681,'Task Breakdown'!$B$5:$B$681,$A65)</f>
        <v>0</v>
      </c>
      <c r="L65" s="29" t="n">
        <f aca="false">SUMIFS('Task Breakdown'!$L$5:$L$681,'Task Breakdown'!$B$5:$B$681,$A65)</f>
        <v>0</v>
      </c>
      <c r="M65" s="29" t="n">
        <f aca="false">SUMIFS('Task Breakdown'!$M$5:$M$681,'Task Breakdown'!$B$5:$B$681,$A65)</f>
        <v>12</v>
      </c>
      <c r="N65" s="29" t="n">
        <f aca="false">SUMIFS('Task Breakdown'!$N$5:$N$681,'Task Breakdown'!$B$5:$B$681,$A65)</f>
        <v>0</v>
      </c>
      <c r="O65" s="29" t="n">
        <f aca="false">SUMIFS('Task Breakdown'!$O$5:$O$681,'Task Breakdown'!$B$5:$B$681,$A65)</f>
        <v>0</v>
      </c>
      <c r="P65" s="29" t="n">
        <f aca="false">SUMIFS('Task Breakdown'!$P$5:$P$681,'Task Breakdown'!$B$5:$B$681,$A65)</f>
        <v>0</v>
      </c>
      <c r="Q65" s="29" t="n">
        <f aca="false">SUMIFS('Task Breakdown'!$Q$5:$Q$681,'Task Breakdown'!$B$5:$B$681,$A65)</f>
        <v>0</v>
      </c>
      <c r="R65" s="29" t="n">
        <f aca="false">SUMIFS('Task Breakdown'!$R$5:$R$681,'Task Breakdown'!$B$5:$B$681,$A65)</f>
        <v>27</v>
      </c>
      <c r="S65" s="29" t="n">
        <f aca="false">SUMIFS('Task Breakdown'!$S$5:$S$681,'Task Breakdown'!$B$5:$B$681,$A65)</f>
        <v>0</v>
      </c>
      <c r="T65" s="29" t="n">
        <f aca="false">SUMIFS('Task Breakdown'!$T$5:$T$681,'Task Breakdown'!$B$5:$B$681,$A65)</f>
        <v>0</v>
      </c>
      <c r="U65" s="42" t="n">
        <f aca="false">SUM(I65:T65)</f>
        <v>51</v>
      </c>
    </row>
    <row r="66" customFormat="false" ht="15" hidden="false" customHeight="false" outlineLevel="0" collapsed="false">
      <c r="A66" s="40" t="s">
        <v>277</v>
      </c>
      <c r="B66" s="40" t="s">
        <v>39</v>
      </c>
      <c r="C66" s="40" t="s">
        <v>7</v>
      </c>
      <c r="D66" s="40" t="s">
        <v>380</v>
      </c>
      <c r="E66" s="40" t="s">
        <v>278</v>
      </c>
      <c r="F66" s="40" t="s">
        <v>45</v>
      </c>
      <c r="G66" s="40" t="s">
        <v>279</v>
      </c>
      <c r="H66" s="41" t="n">
        <f aca="false">COUNTIF('Task Breakdown'!$B$5:$B$681,$A66)</f>
        <v>12</v>
      </c>
      <c r="I66" s="29" t="n">
        <f aca="false">SUMIFS('Task Breakdown'!$I$5:$I$681,'Task Breakdown'!$B$5:$B$681,$A66)</f>
        <v>0</v>
      </c>
      <c r="J66" s="29" t="n">
        <f aca="false">SUMIFS('Task Breakdown'!$J$5:$J$681,'Task Breakdown'!$B$5:$B$681,$A66)</f>
        <v>0</v>
      </c>
      <c r="K66" s="29" t="n">
        <f aca="false">SUMIFS('Task Breakdown'!$K$5:$K$681,'Task Breakdown'!$B$5:$B$681,$A66)</f>
        <v>28</v>
      </c>
      <c r="L66" s="29" t="n">
        <f aca="false">SUMIFS('Task Breakdown'!$L$5:$L$681,'Task Breakdown'!$B$5:$B$681,$A66)</f>
        <v>0</v>
      </c>
      <c r="M66" s="29" t="n">
        <f aca="false">SUMIFS('Task Breakdown'!$M$5:$M$681,'Task Breakdown'!$B$5:$B$681,$A66)</f>
        <v>43</v>
      </c>
      <c r="N66" s="29" t="n">
        <f aca="false">SUMIFS('Task Breakdown'!$N$5:$N$681,'Task Breakdown'!$B$5:$B$681,$A66)</f>
        <v>378</v>
      </c>
      <c r="O66" s="29" t="n">
        <f aca="false">SUMIFS('Task Breakdown'!$O$5:$O$681,'Task Breakdown'!$B$5:$B$681,$A66)</f>
        <v>146</v>
      </c>
      <c r="P66" s="29" t="n">
        <f aca="false">SUMIFS('Task Breakdown'!$P$5:$P$681,'Task Breakdown'!$B$5:$B$681,$A66)</f>
        <v>0</v>
      </c>
      <c r="Q66" s="29" t="n">
        <f aca="false">SUMIFS('Task Breakdown'!$Q$5:$Q$681,'Task Breakdown'!$B$5:$B$681,$A66)</f>
        <v>73</v>
      </c>
      <c r="R66" s="29" t="n">
        <f aca="false">SUMIFS('Task Breakdown'!$R$5:$R$681,'Task Breakdown'!$B$5:$B$681,$A66)</f>
        <v>98</v>
      </c>
      <c r="S66" s="29" t="n">
        <f aca="false">SUMIFS('Task Breakdown'!$S$5:$S$681,'Task Breakdown'!$B$5:$B$681,$A66)</f>
        <v>98</v>
      </c>
      <c r="T66" s="29" t="n">
        <f aca="false">SUMIFS('Task Breakdown'!$T$5:$T$681,'Task Breakdown'!$B$5:$B$681,$A66)</f>
        <v>0</v>
      </c>
      <c r="U66" s="42" t="n">
        <f aca="false">SUM(I66:T66)</f>
        <v>864</v>
      </c>
    </row>
    <row r="67" customFormat="false" ht="15" hidden="false" customHeight="false" outlineLevel="0" collapsed="false">
      <c r="A67" s="40" t="s">
        <v>280</v>
      </c>
      <c r="B67" s="40" t="s">
        <v>39</v>
      </c>
      <c r="C67" s="40" t="s">
        <v>7</v>
      </c>
      <c r="D67" s="40" t="s">
        <v>380</v>
      </c>
      <c r="E67" s="40" t="s">
        <v>281</v>
      </c>
      <c r="F67" s="40" t="s">
        <v>45</v>
      </c>
      <c r="G67" s="40" t="s">
        <v>282</v>
      </c>
      <c r="H67" s="41" t="n">
        <f aca="false">COUNTIF('Task Breakdown'!$B$5:$B$681,$A67)</f>
        <v>11</v>
      </c>
      <c r="I67" s="29" t="n">
        <f aca="false">SUMIFS('Task Breakdown'!$I$5:$I$681,'Task Breakdown'!$B$5:$B$681,$A67)</f>
        <v>0</v>
      </c>
      <c r="J67" s="29" t="n">
        <f aca="false">SUMIFS('Task Breakdown'!$J$5:$J$681,'Task Breakdown'!$B$5:$B$681,$A67)</f>
        <v>0</v>
      </c>
      <c r="K67" s="29" t="n">
        <f aca="false">SUMIFS('Task Breakdown'!$K$5:$K$681,'Task Breakdown'!$B$5:$B$681,$A67)</f>
        <v>24</v>
      </c>
      <c r="L67" s="29" t="n">
        <f aca="false">SUMIFS('Task Breakdown'!$L$5:$L$681,'Task Breakdown'!$B$5:$B$681,$A67)</f>
        <v>0</v>
      </c>
      <c r="M67" s="29" t="n">
        <f aca="false">SUMIFS('Task Breakdown'!$M$5:$M$681,'Task Breakdown'!$B$5:$B$681,$A67)</f>
        <v>37</v>
      </c>
      <c r="N67" s="29" t="n">
        <f aca="false">SUMIFS('Task Breakdown'!$N$5:$N$681,'Task Breakdown'!$B$5:$B$681,$A67)</f>
        <v>318</v>
      </c>
      <c r="O67" s="29" t="n">
        <f aca="false">SUMIFS('Task Breakdown'!$O$5:$O$681,'Task Breakdown'!$B$5:$B$681,$A67)</f>
        <v>121</v>
      </c>
      <c r="P67" s="29" t="n">
        <f aca="false">SUMIFS('Task Breakdown'!$P$5:$P$681,'Task Breakdown'!$B$5:$B$681,$A67)</f>
        <v>0</v>
      </c>
      <c r="Q67" s="29" t="n">
        <f aca="false">SUMIFS('Task Breakdown'!$Q$5:$Q$681,'Task Breakdown'!$B$5:$B$681,$A67)</f>
        <v>49</v>
      </c>
      <c r="R67" s="29" t="n">
        <f aca="false">SUMIFS('Task Breakdown'!$R$5:$R$681,'Task Breakdown'!$B$5:$B$681,$A67)</f>
        <v>98</v>
      </c>
      <c r="S67" s="29" t="n">
        <f aca="false">SUMIFS('Task Breakdown'!$S$5:$S$681,'Task Breakdown'!$B$5:$B$681,$A67)</f>
        <v>98</v>
      </c>
      <c r="T67" s="29" t="n">
        <f aca="false">SUMIFS('Task Breakdown'!$T$5:$T$681,'Task Breakdown'!$B$5:$B$681,$A67)</f>
        <v>0</v>
      </c>
      <c r="U67" s="42" t="n">
        <f aca="false">SUM(I67:T67)</f>
        <v>745</v>
      </c>
    </row>
    <row r="68" customFormat="false" ht="15" hidden="false" customHeight="false" outlineLevel="0" collapsed="false">
      <c r="A68" s="40" t="s">
        <v>283</v>
      </c>
      <c r="B68" s="40" t="s">
        <v>39</v>
      </c>
      <c r="C68" s="40" t="s">
        <v>7</v>
      </c>
      <c r="D68" s="40" t="s">
        <v>380</v>
      </c>
      <c r="E68" s="40" t="s">
        <v>284</v>
      </c>
      <c r="F68" s="40" t="s">
        <v>45</v>
      </c>
      <c r="G68" s="40" t="s">
        <v>285</v>
      </c>
      <c r="H68" s="41" t="n">
        <f aca="false">COUNTIF('Task Breakdown'!$B$5:$B$681,$A68)</f>
        <v>10</v>
      </c>
      <c r="I68" s="29" t="n">
        <f aca="false">SUMIFS('Task Breakdown'!$I$5:$I$681,'Task Breakdown'!$B$5:$B$681,$A68)</f>
        <v>0</v>
      </c>
      <c r="J68" s="29" t="n">
        <f aca="false">SUMIFS('Task Breakdown'!$J$5:$J$681,'Task Breakdown'!$B$5:$B$681,$A68)</f>
        <v>0</v>
      </c>
      <c r="K68" s="29" t="n">
        <f aca="false">SUMIFS('Task Breakdown'!$K$5:$K$681,'Task Breakdown'!$B$5:$B$681,$A68)</f>
        <v>24</v>
      </c>
      <c r="L68" s="29" t="n">
        <f aca="false">SUMIFS('Task Breakdown'!$L$5:$L$681,'Task Breakdown'!$B$5:$B$681,$A68)</f>
        <v>0</v>
      </c>
      <c r="M68" s="29" t="n">
        <f aca="false">SUMIFS('Task Breakdown'!$M$5:$M$681,'Task Breakdown'!$B$5:$B$681,$A68)</f>
        <v>37</v>
      </c>
      <c r="N68" s="29" t="n">
        <f aca="false">SUMIFS('Task Breakdown'!$N$5:$N$681,'Task Breakdown'!$B$5:$B$681,$A68)</f>
        <v>317</v>
      </c>
      <c r="O68" s="29" t="n">
        <f aca="false">SUMIFS('Task Breakdown'!$O$5:$O$681,'Task Breakdown'!$B$5:$B$681,$A68)</f>
        <v>121</v>
      </c>
      <c r="P68" s="29" t="n">
        <f aca="false">SUMIFS('Task Breakdown'!$P$5:$P$681,'Task Breakdown'!$B$5:$B$681,$A68)</f>
        <v>0</v>
      </c>
      <c r="Q68" s="29" t="n">
        <f aca="false">SUMIFS('Task Breakdown'!$Q$5:$Q$681,'Task Breakdown'!$B$5:$B$681,$A68)</f>
        <v>48</v>
      </c>
      <c r="R68" s="29" t="n">
        <f aca="false">SUMIFS('Task Breakdown'!$R$5:$R$681,'Task Breakdown'!$B$5:$B$681,$A68)</f>
        <v>98</v>
      </c>
      <c r="S68" s="29" t="n">
        <f aca="false">SUMIFS('Task Breakdown'!$S$5:$S$681,'Task Breakdown'!$B$5:$B$681,$A68)</f>
        <v>98</v>
      </c>
      <c r="T68" s="29" t="n">
        <f aca="false">SUMIFS('Task Breakdown'!$T$5:$T$681,'Task Breakdown'!$B$5:$B$681,$A68)</f>
        <v>0</v>
      </c>
      <c r="U68" s="42" t="n">
        <f aca="false">SUM(I68:T68)</f>
        <v>743</v>
      </c>
    </row>
    <row r="69" customFormat="false" ht="15" hidden="false" customHeight="false" outlineLevel="0" collapsed="false">
      <c r="A69" s="40" t="s">
        <v>286</v>
      </c>
      <c r="B69" s="40" t="s">
        <v>39</v>
      </c>
      <c r="C69" s="40" t="s">
        <v>7</v>
      </c>
      <c r="D69" s="40" t="s">
        <v>380</v>
      </c>
      <c r="E69" s="40" t="s">
        <v>287</v>
      </c>
      <c r="F69" s="40" t="s">
        <v>43</v>
      </c>
      <c r="G69" s="40" t="s">
        <v>288</v>
      </c>
      <c r="H69" s="41" t="n">
        <f aca="false">COUNTIF('Task Breakdown'!$B$5:$B$681,$A69)</f>
        <v>9</v>
      </c>
      <c r="I69" s="29" t="n">
        <f aca="false">SUMIFS('Task Breakdown'!$I$5:$I$681,'Task Breakdown'!$B$5:$B$681,$A69)</f>
        <v>0</v>
      </c>
      <c r="J69" s="29" t="n">
        <f aca="false">SUMIFS('Task Breakdown'!$J$5:$J$681,'Task Breakdown'!$B$5:$B$681,$A69)</f>
        <v>0</v>
      </c>
      <c r="K69" s="29" t="n">
        <f aca="false">SUMIFS('Task Breakdown'!$K$5:$K$681,'Task Breakdown'!$B$5:$B$681,$A69)</f>
        <v>16</v>
      </c>
      <c r="L69" s="29" t="n">
        <f aca="false">SUMIFS('Task Breakdown'!$L$5:$L$681,'Task Breakdown'!$B$5:$B$681,$A69)</f>
        <v>0</v>
      </c>
      <c r="M69" s="29" t="n">
        <f aca="false">SUMIFS('Task Breakdown'!$M$5:$M$681,'Task Breakdown'!$B$5:$B$681,$A69)</f>
        <v>97</v>
      </c>
      <c r="N69" s="29" t="n">
        <f aca="false">SUMIFS('Task Breakdown'!$N$5:$N$681,'Task Breakdown'!$B$5:$B$681,$A69)</f>
        <v>291</v>
      </c>
      <c r="O69" s="29" t="n">
        <f aca="false">SUMIFS('Task Breakdown'!$O$5:$O$681,'Task Breakdown'!$B$5:$B$681,$A69)</f>
        <v>0</v>
      </c>
      <c r="P69" s="29" t="n">
        <f aca="false">SUMIFS('Task Breakdown'!$P$5:$P$681,'Task Breakdown'!$B$5:$B$681,$A69)</f>
        <v>0</v>
      </c>
      <c r="Q69" s="29" t="n">
        <f aca="false">SUMIFS('Task Breakdown'!$Q$5:$Q$681,'Task Breakdown'!$B$5:$B$681,$A69)</f>
        <v>0</v>
      </c>
      <c r="R69" s="29" t="n">
        <f aca="false">SUMIFS('Task Breakdown'!$R$5:$R$681,'Task Breakdown'!$B$5:$B$681,$A69)</f>
        <v>0</v>
      </c>
      <c r="S69" s="29" t="n">
        <f aca="false">SUMIFS('Task Breakdown'!$S$5:$S$681,'Task Breakdown'!$B$5:$B$681,$A69)</f>
        <v>73</v>
      </c>
      <c r="T69" s="29" t="n">
        <f aca="false">SUMIFS('Task Breakdown'!$T$5:$T$681,'Task Breakdown'!$B$5:$B$681,$A69)</f>
        <v>0</v>
      </c>
      <c r="U69" s="42" t="n">
        <f aca="false">SUM(I69:T69)</f>
        <v>477</v>
      </c>
    </row>
    <row r="70" customFormat="false" ht="15" hidden="false" customHeight="false" outlineLevel="0" collapsed="false">
      <c r="A70" s="40" t="s">
        <v>289</v>
      </c>
      <c r="B70" s="40" t="s">
        <v>39</v>
      </c>
      <c r="C70" s="40" t="s">
        <v>7</v>
      </c>
      <c r="D70" s="40" t="s">
        <v>380</v>
      </c>
      <c r="E70" s="40" t="s">
        <v>290</v>
      </c>
      <c r="F70" s="40" t="s">
        <v>45</v>
      </c>
      <c r="G70" s="40" t="s">
        <v>291</v>
      </c>
      <c r="H70" s="41" t="n">
        <f aca="false">COUNTIF('Task Breakdown'!$B$5:$B$681,$A70)</f>
        <v>11</v>
      </c>
      <c r="I70" s="29" t="n">
        <f aca="false">SUMIFS('Task Breakdown'!$I$5:$I$681,'Task Breakdown'!$B$5:$B$681,$A70)</f>
        <v>0</v>
      </c>
      <c r="J70" s="29" t="n">
        <f aca="false">SUMIFS('Task Breakdown'!$J$5:$J$681,'Task Breakdown'!$B$5:$B$681,$A70)</f>
        <v>0</v>
      </c>
      <c r="K70" s="29" t="n">
        <f aca="false">SUMIFS('Task Breakdown'!$K$5:$K$681,'Task Breakdown'!$B$5:$B$681,$A70)</f>
        <v>24</v>
      </c>
      <c r="L70" s="29" t="n">
        <f aca="false">SUMIFS('Task Breakdown'!$L$5:$L$681,'Task Breakdown'!$B$5:$B$681,$A70)</f>
        <v>20</v>
      </c>
      <c r="M70" s="29" t="n">
        <f aca="false">SUMIFS('Task Breakdown'!$M$5:$M$681,'Task Breakdown'!$B$5:$B$681,$A70)</f>
        <v>35</v>
      </c>
      <c r="N70" s="29" t="n">
        <f aca="false">SUMIFS('Task Breakdown'!$N$5:$N$681,'Task Breakdown'!$B$5:$B$681,$A70)</f>
        <v>0</v>
      </c>
      <c r="O70" s="29" t="n">
        <f aca="false">SUMIFS('Task Breakdown'!$O$5:$O$681,'Task Breakdown'!$B$5:$B$681,$A70)</f>
        <v>0</v>
      </c>
      <c r="P70" s="29" t="n">
        <f aca="false">SUMIFS('Task Breakdown'!$P$5:$P$681,'Task Breakdown'!$B$5:$B$681,$A70)</f>
        <v>0</v>
      </c>
      <c r="Q70" s="29" t="n">
        <f aca="false">SUMIFS('Task Breakdown'!$Q$5:$Q$681,'Task Breakdown'!$B$5:$B$681,$A70)</f>
        <v>478</v>
      </c>
      <c r="R70" s="29" t="n">
        <f aca="false">SUMIFS('Task Breakdown'!$R$5:$R$681,'Task Breakdown'!$B$5:$B$681,$A70)</f>
        <v>61</v>
      </c>
      <c r="S70" s="29" t="n">
        <f aca="false">SUMIFS('Task Breakdown'!$S$5:$S$681,'Task Breakdown'!$B$5:$B$681,$A70)</f>
        <v>102</v>
      </c>
      <c r="T70" s="29" t="n">
        <f aca="false">SUMIFS('Task Breakdown'!$T$5:$T$681,'Task Breakdown'!$B$5:$B$681,$A70)</f>
        <v>0</v>
      </c>
      <c r="U70" s="42" t="n">
        <f aca="false">SUM(I70:T70)</f>
        <v>720</v>
      </c>
    </row>
    <row r="71" customFormat="false" ht="15" hidden="false" customHeight="false" outlineLevel="0" collapsed="false">
      <c r="A71" s="40" t="s">
        <v>292</v>
      </c>
      <c r="B71" s="40" t="s">
        <v>39</v>
      </c>
      <c r="C71" s="40" t="s">
        <v>7</v>
      </c>
      <c r="D71" s="40" t="s">
        <v>380</v>
      </c>
      <c r="E71" s="40" t="s">
        <v>293</v>
      </c>
      <c r="F71" s="40" t="s">
        <v>45</v>
      </c>
      <c r="G71" s="40" t="s">
        <v>294</v>
      </c>
      <c r="H71" s="41" t="n">
        <f aca="false">COUNTIF('Task Breakdown'!$B$5:$B$681,$A71)</f>
        <v>7</v>
      </c>
      <c r="I71" s="29" t="n">
        <f aca="false">SUMIFS('Task Breakdown'!$I$5:$I$681,'Task Breakdown'!$B$5:$B$681,$A71)</f>
        <v>66</v>
      </c>
      <c r="J71" s="29" t="n">
        <f aca="false">SUMIFS('Task Breakdown'!$J$5:$J$681,'Task Breakdown'!$B$5:$B$681,$A71)</f>
        <v>0</v>
      </c>
      <c r="K71" s="29" t="n">
        <f aca="false">SUMIFS('Task Breakdown'!$K$5:$K$681,'Task Breakdown'!$B$5:$B$681,$A71)</f>
        <v>0</v>
      </c>
      <c r="L71" s="29" t="n">
        <f aca="false">SUMIFS('Task Breakdown'!$L$5:$L$681,'Task Breakdown'!$B$5:$B$681,$A71)</f>
        <v>0</v>
      </c>
      <c r="M71" s="29" t="n">
        <f aca="false">SUMIFS('Task Breakdown'!$M$5:$M$681,'Task Breakdown'!$B$5:$B$681,$A71)</f>
        <v>0</v>
      </c>
      <c r="N71" s="29" t="n">
        <f aca="false">SUMIFS('Task Breakdown'!$N$5:$N$681,'Task Breakdown'!$B$5:$B$681,$A71)</f>
        <v>65</v>
      </c>
      <c r="O71" s="29" t="n">
        <f aca="false">SUMIFS('Task Breakdown'!$O$5:$O$681,'Task Breakdown'!$B$5:$B$681,$A71)</f>
        <v>0</v>
      </c>
      <c r="P71" s="29" t="n">
        <f aca="false">SUMIFS('Task Breakdown'!$P$5:$P$681,'Task Breakdown'!$B$5:$B$681,$A71)</f>
        <v>0</v>
      </c>
      <c r="Q71" s="29" t="n">
        <f aca="false">SUMIFS('Task Breakdown'!$Q$5:$Q$681,'Task Breakdown'!$B$5:$B$681,$A71)</f>
        <v>0</v>
      </c>
      <c r="R71" s="29" t="n">
        <f aca="false">SUMIFS('Task Breakdown'!$R$5:$R$681,'Task Breakdown'!$B$5:$B$681,$A71)</f>
        <v>158</v>
      </c>
      <c r="S71" s="29" t="n">
        <f aca="false">SUMIFS('Task Breakdown'!$S$5:$S$681,'Task Breakdown'!$B$5:$B$681,$A71)</f>
        <v>0</v>
      </c>
      <c r="T71" s="29" t="n">
        <f aca="false">SUMIFS('Task Breakdown'!$T$5:$T$681,'Task Breakdown'!$B$5:$B$681,$A71)</f>
        <v>214</v>
      </c>
      <c r="U71" s="42" t="n">
        <f aca="false">SUM(I71:T71)</f>
        <v>503</v>
      </c>
    </row>
    <row r="72" customFormat="false" ht="15" hidden="false" customHeight="false" outlineLevel="0" collapsed="false">
      <c r="A72" s="40" t="s">
        <v>342</v>
      </c>
      <c r="B72" s="40" t="s">
        <v>39</v>
      </c>
      <c r="C72" s="40" t="s">
        <v>8</v>
      </c>
      <c r="D72" s="40" t="s">
        <v>381</v>
      </c>
      <c r="E72" s="40" t="s">
        <v>343</v>
      </c>
      <c r="F72" s="40" t="s">
        <v>45</v>
      </c>
      <c r="G72" s="40" t="s">
        <v>344</v>
      </c>
      <c r="H72" s="41" t="n">
        <f aca="false">COUNTIF('Task Breakdown'!$B$5:$B$681,$A72)</f>
        <v>10</v>
      </c>
      <c r="I72" s="29" t="n">
        <f aca="false">SUMIFS('Task Breakdown'!$I$5:$I$681,'Task Breakdown'!$B$5:$B$681,$A72)</f>
        <v>0</v>
      </c>
      <c r="J72" s="29" t="n">
        <f aca="false">SUMIFS('Task Breakdown'!$J$5:$J$681,'Task Breakdown'!$B$5:$B$681,$A72)</f>
        <v>0</v>
      </c>
      <c r="K72" s="29" t="n">
        <f aca="false">SUMIFS('Task Breakdown'!$K$5:$K$681,'Task Breakdown'!$B$5:$B$681,$A72)</f>
        <v>20</v>
      </c>
      <c r="L72" s="29" t="n">
        <f aca="false">SUMIFS('Task Breakdown'!$L$5:$L$681,'Task Breakdown'!$B$5:$B$681,$A72)</f>
        <v>0</v>
      </c>
      <c r="M72" s="29" t="n">
        <f aca="false">SUMIFS('Task Breakdown'!$M$5:$M$681,'Task Breakdown'!$B$5:$B$681,$A72)</f>
        <v>29</v>
      </c>
      <c r="N72" s="29" t="n">
        <f aca="false">SUMIFS('Task Breakdown'!$N$5:$N$681,'Task Breakdown'!$B$5:$B$681,$A72)</f>
        <v>254</v>
      </c>
      <c r="O72" s="29" t="n">
        <f aca="false">SUMIFS('Task Breakdown'!$O$5:$O$681,'Task Breakdown'!$B$5:$B$681,$A72)</f>
        <v>121</v>
      </c>
      <c r="P72" s="29" t="n">
        <f aca="false">SUMIFS('Task Breakdown'!$P$5:$P$681,'Task Breakdown'!$B$5:$B$681,$A72)</f>
        <v>0</v>
      </c>
      <c r="Q72" s="29" t="n">
        <f aca="false">SUMIFS('Task Breakdown'!$Q$5:$Q$681,'Task Breakdown'!$B$5:$B$681,$A72)</f>
        <v>0</v>
      </c>
      <c r="R72" s="29" t="n">
        <f aca="false">SUMIFS('Task Breakdown'!$R$5:$R$681,'Task Breakdown'!$B$5:$B$681,$A72)</f>
        <v>98</v>
      </c>
      <c r="S72" s="29" t="n">
        <f aca="false">SUMIFS('Task Breakdown'!$S$5:$S$681,'Task Breakdown'!$B$5:$B$681,$A72)</f>
        <v>73</v>
      </c>
      <c r="T72" s="29" t="n">
        <f aca="false">SUMIFS('Task Breakdown'!$T$5:$T$681,'Task Breakdown'!$B$5:$B$681,$A72)</f>
        <v>0</v>
      </c>
      <c r="U72" s="42" t="n">
        <f aca="false">SUM(I72:T72)</f>
        <v>595</v>
      </c>
    </row>
    <row r="73" customFormat="false" ht="15" hidden="false" customHeight="false" outlineLevel="0" collapsed="false">
      <c r="A73" s="40" t="s">
        <v>345</v>
      </c>
      <c r="B73" s="40" t="s">
        <v>39</v>
      </c>
      <c r="C73" s="40" t="s">
        <v>8</v>
      </c>
      <c r="D73" s="40" t="s">
        <v>381</v>
      </c>
      <c r="E73" s="40" t="s">
        <v>346</v>
      </c>
      <c r="F73" s="40" t="s">
        <v>42</v>
      </c>
      <c r="G73" s="40" t="s">
        <v>347</v>
      </c>
      <c r="H73" s="41" t="n">
        <f aca="false">COUNTIF('Task Breakdown'!$B$5:$B$681,$A73)</f>
        <v>9</v>
      </c>
      <c r="I73" s="29" t="n">
        <f aca="false">SUMIFS('Task Breakdown'!$I$5:$I$681,'Task Breakdown'!$B$5:$B$681,$A73)</f>
        <v>0</v>
      </c>
      <c r="J73" s="29" t="n">
        <f aca="false">SUMIFS('Task Breakdown'!$J$5:$J$681,'Task Breakdown'!$B$5:$B$681,$A73)</f>
        <v>16</v>
      </c>
      <c r="K73" s="29" t="n">
        <f aca="false">SUMIFS('Task Breakdown'!$K$5:$K$681,'Task Breakdown'!$B$5:$B$681,$A73)</f>
        <v>52</v>
      </c>
      <c r="L73" s="29" t="n">
        <f aca="false">SUMIFS('Task Breakdown'!$L$5:$L$681,'Task Breakdown'!$B$5:$B$681,$A73)</f>
        <v>61</v>
      </c>
      <c r="M73" s="29" t="n">
        <f aca="false">SUMIFS('Task Breakdown'!$M$5:$M$681,'Task Breakdown'!$B$5:$B$681,$A73)</f>
        <v>0</v>
      </c>
      <c r="N73" s="29" t="n">
        <f aca="false">SUMIFS('Task Breakdown'!$N$5:$N$681,'Task Breakdown'!$B$5:$B$681,$A73)</f>
        <v>0</v>
      </c>
      <c r="O73" s="29" t="n">
        <f aca="false">SUMIFS('Task Breakdown'!$O$5:$O$681,'Task Breakdown'!$B$5:$B$681,$A73)</f>
        <v>0</v>
      </c>
      <c r="P73" s="29" t="n">
        <f aca="false">SUMIFS('Task Breakdown'!$P$5:$P$681,'Task Breakdown'!$B$5:$B$681,$A73)</f>
        <v>0</v>
      </c>
      <c r="Q73" s="29" t="n">
        <f aca="false">SUMIFS('Task Breakdown'!$Q$5:$Q$681,'Task Breakdown'!$B$5:$B$681,$A73)</f>
        <v>153</v>
      </c>
      <c r="R73" s="29" t="n">
        <f aca="false">SUMIFS('Task Breakdown'!$R$5:$R$681,'Task Breakdown'!$B$5:$B$681,$A73)</f>
        <v>0</v>
      </c>
      <c r="S73" s="29" t="n">
        <f aca="false">SUMIFS('Task Breakdown'!$S$5:$S$681,'Task Breakdown'!$B$5:$B$681,$A73)</f>
        <v>41</v>
      </c>
      <c r="T73" s="29" t="n">
        <f aca="false">SUMIFS('Task Breakdown'!$T$5:$T$681,'Task Breakdown'!$B$5:$B$681,$A73)</f>
        <v>0</v>
      </c>
      <c r="U73" s="42" t="n">
        <f aca="false">SUM(I73:T73)</f>
        <v>323</v>
      </c>
    </row>
    <row r="74" customFormat="false" ht="15" hidden="false" customHeight="false" outlineLevel="0" collapsed="false">
      <c r="A74" s="40" t="s">
        <v>348</v>
      </c>
      <c r="B74" s="40" t="s">
        <v>39</v>
      </c>
      <c r="C74" s="40" t="s">
        <v>8</v>
      </c>
      <c r="D74" s="40" t="s">
        <v>381</v>
      </c>
      <c r="E74" s="40" t="s">
        <v>349</v>
      </c>
      <c r="F74" s="40" t="s">
        <v>45</v>
      </c>
      <c r="G74" s="40" t="s">
        <v>350</v>
      </c>
      <c r="H74" s="41" t="n">
        <f aca="false">COUNTIF('Task Breakdown'!$B$5:$B$681,$A74)</f>
        <v>10</v>
      </c>
      <c r="I74" s="29" t="n">
        <f aca="false">SUMIFS('Task Breakdown'!$I$5:$I$681,'Task Breakdown'!$B$5:$B$681,$A74)</f>
        <v>0</v>
      </c>
      <c r="J74" s="29" t="n">
        <f aca="false">SUMIFS('Task Breakdown'!$J$5:$J$681,'Task Breakdown'!$B$5:$B$681,$A74)</f>
        <v>0</v>
      </c>
      <c r="K74" s="29" t="n">
        <f aca="false">SUMIFS('Task Breakdown'!$K$5:$K$681,'Task Breakdown'!$B$5:$B$681,$A74)</f>
        <v>19</v>
      </c>
      <c r="L74" s="29" t="n">
        <f aca="false">SUMIFS('Task Breakdown'!$L$5:$L$681,'Task Breakdown'!$B$5:$B$681,$A74)</f>
        <v>58</v>
      </c>
      <c r="M74" s="29" t="n">
        <f aca="false">SUMIFS('Task Breakdown'!$M$5:$M$681,'Task Breakdown'!$B$5:$B$681,$A74)</f>
        <v>29</v>
      </c>
      <c r="N74" s="29" t="n">
        <f aca="false">SUMIFS('Task Breakdown'!$N$5:$N$681,'Task Breakdown'!$B$5:$B$681,$A74)</f>
        <v>201</v>
      </c>
      <c r="O74" s="29" t="n">
        <f aca="false">SUMIFS('Task Breakdown'!$O$5:$O$681,'Task Breakdown'!$B$5:$B$681,$A74)</f>
        <v>0</v>
      </c>
      <c r="P74" s="29" t="n">
        <f aca="false">SUMIFS('Task Breakdown'!$P$5:$P$681,'Task Breakdown'!$B$5:$B$681,$A74)</f>
        <v>0</v>
      </c>
      <c r="Q74" s="29" t="n">
        <f aca="false">SUMIFS('Task Breakdown'!$Q$5:$Q$681,'Task Breakdown'!$B$5:$B$681,$A74)</f>
        <v>115</v>
      </c>
      <c r="R74" s="29" t="n">
        <f aca="false">SUMIFS('Task Breakdown'!$R$5:$R$681,'Task Breakdown'!$B$5:$B$681,$A74)</f>
        <v>57</v>
      </c>
      <c r="S74" s="29" t="n">
        <f aca="false">SUMIFS('Task Breakdown'!$S$5:$S$681,'Task Breakdown'!$B$5:$B$681,$A74)</f>
        <v>114</v>
      </c>
      <c r="T74" s="29" t="n">
        <f aca="false">SUMIFS('Task Breakdown'!$T$5:$T$681,'Task Breakdown'!$B$5:$B$681,$A74)</f>
        <v>0</v>
      </c>
      <c r="U74" s="42" t="n">
        <f aca="false">SUM(I74:T74)</f>
        <v>593</v>
      </c>
    </row>
    <row r="75" customFormat="false" ht="15" hidden="false" customHeight="false" outlineLevel="0" collapsed="false">
      <c r="A75" s="40" t="s">
        <v>351</v>
      </c>
      <c r="B75" s="40" t="s">
        <v>39</v>
      </c>
      <c r="C75" s="40" t="s">
        <v>8</v>
      </c>
      <c r="D75" s="40" t="s">
        <v>381</v>
      </c>
      <c r="E75" s="40" t="s">
        <v>352</v>
      </c>
      <c r="F75" s="40" t="s">
        <v>43</v>
      </c>
      <c r="G75" s="40" t="s">
        <v>353</v>
      </c>
      <c r="H75" s="41" t="n">
        <f aca="false">COUNTIF('Task Breakdown'!$B$5:$B$681,$A75)</f>
        <v>8</v>
      </c>
      <c r="I75" s="29" t="n">
        <f aca="false">SUMIFS('Task Breakdown'!$I$5:$I$681,'Task Breakdown'!$B$5:$B$681,$A75)</f>
        <v>0</v>
      </c>
      <c r="J75" s="29" t="n">
        <f aca="false">SUMIFS('Task Breakdown'!$J$5:$J$681,'Task Breakdown'!$B$5:$B$681,$A75)</f>
        <v>0</v>
      </c>
      <c r="K75" s="29" t="n">
        <f aca="false">SUMIFS('Task Breakdown'!$K$5:$K$681,'Task Breakdown'!$B$5:$B$681,$A75)</f>
        <v>5</v>
      </c>
      <c r="L75" s="29" t="n">
        <f aca="false">SUMIFS('Task Breakdown'!$L$5:$L$681,'Task Breakdown'!$B$5:$B$681,$A75)</f>
        <v>0</v>
      </c>
      <c r="M75" s="29" t="n">
        <f aca="false">SUMIFS('Task Breakdown'!$M$5:$M$681,'Task Breakdown'!$B$5:$B$681,$A75)</f>
        <v>40</v>
      </c>
      <c r="N75" s="29" t="n">
        <f aca="false">SUMIFS('Task Breakdown'!$N$5:$N$681,'Task Breakdown'!$B$5:$B$681,$A75)</f>
        <v>114</v>
      </c>
      <c r="O75" s="29" t="n">
        <f aca="false">SUMIFS('Task Breakdown'!$O$5:$O$681,'Task Breakdown'!$B$5:$B$681,$A75)</f>
        <v>0</v>
      </c>
      <c r="P75" s="29" t="n">
        <f aca="false">SUMIFS('Task Breakdown'!$P$5:$P$681,'Task Breakdown'!$B$5:$B$681,$A75)</f>
        <v>0</v>
      </c>
      <c r="Q75" s="29" t="n">
        <f aca="false">SUMIFS('Task Breakdown'!$Q$5:$Q$681,'Task Breakdown'!$B$5:$B$681,$A75)</f>
        <v>0</v>
      </c>
      <c r="R75" s="29" t="n">
        <f aca="false">SUMIFS('Task Breakdown'!$R$5:$R$681,'Task Breakdown'!$B$5:$B$681,$A75)</f>
        <v>0</v>
      </c>
      <c r="S75" s="29" t="n">
        <f aca="false">SUMIFS('Task Breakdown'!$S$5:$S$681,'Task Breakdown'!$B$5:$B$681,$A75)</f>
        <v>0</v>
      </c>
      <c r="T75" s="29" t="n">
        <f aca="false">SUMIFS('Task Breakdown'!$T$5:$T$681,'Task Breakdown'!$B$5:$B$681,$A75)</f>
        <v>0</v>
      </c>
      <c r="U75" s="42" t="n">
        <f aca="false">SUM(I75:T75)</f>
        <v>159</v>
      </c>
    </row>
    <row r="76" customFormat="false" ht="15" hidden="false" customHeight="false" outlineLevel="0" collapsed="false">
      <c r="A76" s="40" t="s">
        <v>354</v>
      </c>
      <c r="B76" s="40" t="s">
        <v>39</v>
      </c>
      <c r="C76" s="40" t="s">
        <v>8</v>
      </c>
      <c r="D76" s="40" t="s">
        <v>381</v>
      </c>
      <c r="E76" s="40" t="s">
        <v>355</v>
      </c>
      <c r="F76" s="40" t="s">
        <v>45</v>
      </c>
      <c r="G76" s="40" t="s">
        <v>356</v>
      </c>
      <c r="H76" s="41" t="n">
        <f aca="false">COUNTIF('Task Breakdown'!$B$5:$B$681,$A76)</f>
        <v>7</v>
      </c>
      <c r="I76" s="29" t="n">
        <f aca="false">SUMIFS('Task Breakdown'!$I$5:$I$681,'Task Breakdown'!$B$5:$B$681,$A76)</f>
        <v>0</v>
      </c>
      <c r="J76" s="29" t="n">
        <f aca="false">SUMIFS('Task Breakdown'!$J$5:$J$681,'Task Breakdown'!$B$5:$B$681,$A76)</f>
        <v>0</v>
      </c>
      <c r="K76" s="29" t="n">
        <f aca="false">SUMIFS('Task Breakdown'!$K$5:$K$681,'Task Breakdown'!$B$5:$B$681,$A76)</f>
        <v>0</v>
      </c>
      <c r="L76" s="29" t="n">
        <f aca="false">SUMIFS('Task Breakdown'!$L$5:$L$681,'Task Breakdown'!$B$5:$B$681,$A76)</f>
        <v>0</v>
      </c>
      <c r="M76" s="29" t="n">
        <f aca="false">SUMIFS('Task Breakdown'!$M$5:$M$681,'Task Breakdown'!$B$5:$B$681,$A76)</f>
        <v>0</v>
      </c>
      <c r="N76" s="29" t="n">
        <f aca="false">SUMIFS('Task Breakdown'!$N$5:$N$681,'Task Breakdown'!$B$5:$B$681,$A76)</f>
        <v>0</v>
      </c>
      <c r="O76" s="29" t="n">
        <f aca="false">SUMIFS('Task Breakdown'!$O$5:$O$681,'Task Breakdown'!$B$5:$B$681,$A76)</f>
        <v>0</v>
      </c>
      <c r="P76" s="29" t="n">
        <f aca="false">SUMIFS('Task Breakdown'!$P$5:$P$681,'Task Breakdown'!$B$5:$B$681,$A76)</f>
        <v>0</v>
      </c>
      <c r="Q76" s="29" t="n">
        <f aca="false">SUMIFS('Task Breakdown'!$Q$5:$Q$681,'Task Breakdown'!$B$5:$B$681,$A76)</f>
        <v>24</v>
      </c>
      <c r="R76" s="29" t="n">
        <f aca="false">SUMIFS('Task Breakdown'!$R$5:$R$681,'Task Breakdown'!$B$5:$B$681,$A76)</f>
        <v>61</v>
      </c>
      <c r="S76" s="29" t="n">
        <f aca="false">SUMIFS('Task Breakdown'!$S$5:$S$681,'Task Breakdown'!$B$5:$B$681,$A76)</f>
        <v>0</v>
      </c>
      <c r="T76" s="29" t="n">
        <f aca="false">SUMIFS('Task Breakdown'!$T$5:$T$681,'Task Breakdown'!$B$5:$B$681,$A76)</f>
        <v>155</v>
      </c>
      <c r="U76" s="42" t="n">
        <f aca="false">SUM(I76:T76)</f>
        <v>240</v>
      </c>
    </row>
    <row r="77" customFormat="false" ht="15" hidden="false" customHeight="false" outlineLevel="0" collapsed="false">
      <c r="A77" s="40" t="s">
        <v>357</v>
      </c>
      <c r="B77" s="40" t="s">
        <v>39</v>
      </c>
      <c r="C77" s="40" t="s">
        <v>8</v>
      </c>
      <c r="D77" s="40" t="s">
        <v>381</v>
      </c>
      <c r="E77" s="40" t="s">
        <v>358</v>
      </c>
      <c r="F77" s="40" t="s">
        <v>45</v>
      </c>
      <c r="G77" s="40" t="s">
        <v>359</v>
      </c>
      <c r="H77" s="41" t="n">
        <f aca="false">COUNTIF('Task Breakdown'!$B$5:$B$681,$A77)</f>
        <v>4</v>
      </c>
      <c r="I77" s="29" t="n">
        <f aca="false">SUMIFS('Task Breakdown'!$I$5:$I$681,'Task Breakdown'!$B$5:$B$681,$A77)</f>
        <v>12</v>
      </c>
      <c r="J77" s="29" t="n">
        <f aca="false">SUMIFS('Task Breakdown'!$J$5:$J$681,'Task Breakdown'!$B$5:$B$681,$A77)</f>
        <v>0</v>
      </c>
      <c r="K77" s="29" t="n">
        <f aca="false">SUMIFS('Task Breakdown'!$K$5:$K$681,'Task Breakdown'!$B$5:$B$681,$A77)</f>
        <v>0</v>
      </c>
      <c r="L77" s="29" t="n">
        <f aca="false">SUMIFS('Task Breakdown'!$L$5:$L$681,'Task Breakdown'!$B$5:$B$681,$A77)</f>
        <v>0</v>
      </c>
      <c r="M77" s="29" t="n">
        <f aca="false">SUMIFS('Task Breakdown'!$M$5:$M$681,'Task Breakdown'!$B$5:$B$681,$A77)</f>
        <v>12</v>
      </c>
      <c r="N77" s="29" t="n">
        <f aca="false">SUMIFS('Task Breakdown'!$N$5:$N$681,'Task Breakdown'!$B$5:$B$681,$A77)</f>
        <v>0</v>
      </c>
      <c r="O77" s="29" t="n">
        <f aca="false">SUMIFS('Task Breakdown'!$O$5:$O$681,'Task Breakdown'!$B$5:$B$681,$A77)</f>
        <v>0</v>
      </c>
      <c r="P77" s="29" t="n">
        <f aca="false">SUMIFS('Task Breakdown'!$P$5:$P$681,'Task Breakdown'!$B$5:$B$681,$A77)</f>
        <v>0</v>
      </c>
      <c r="Q77" s="29" t="n">
        <f aca="false">SUMIFS('Task Breakdown'!$Q$5:$Q$681,'Task Breakdown'!$B$5:$B$681,$A77)</f>
        <v>0</v>
      </c>
      <c r="R77" s="29" t="n">
        <f aca="false">SUMIFS('Task Breakdown'!$R$5:$R$681,'Task Breakdown'!$B$5:$B$681,$A77)</f>
        <v>27</v>
      </c>
      <c r="S77" s="29" t="n">
        <f aca="false">SUMIFS('Task Breakdown'!$S$5:$S$681,'Task Breakdown'!$B$5:$B$681,$A77)</f>
        <v>0</v>
      </c>
      <c r="T77" s="29" t="n">
        <f aca="false">SUMIFS('Task Breakdown'!$T$5:$T$681,'Task Breakdown'!$B$5:$B$681,$A77)</f>
        <v>0</v>
      </c>
      <c r="U77" s="42" t="n">
        <f aca="false">SUM(I77:T77)</f>
        <v>51</v>
      </c>
    </row>
    <row r="78" customFormat="false" ht="23.85" hidden="false" customHeight="false" outlineLevel="0" collapsed="false">
      <c r="A78" s="40" t="s">
        <v>161</v>
      </c>
      <c r="B78" s="40" t="s">
        <v>40</v>
      </c>
      <c r="C78" s="40" t="s">
        <v>5</v>
      </c>
      <c r="D78" s="40" t="s">
        <v>382</v>
      </c>
      <c r="E78" s="40" t="s">
        <v>162</v>
      </c>
      <c r="F78" s="40" t="s">
        <v>46</v>
      </c>
      <c r="G78" s="40" t="s">
        <v>163</v>
      </c>
      <c r="H78" s="41" t="n">
        <f aca="false">COUNTIF('Task Breakdown'!$B$5:$B$681,$A78)</f>
        <v>5</v>
      </c>
      <c r="I78" s="29" t="n">
        <f aca="false">SUMIFS('Task Breakdown'!$I$5:$I$681,'Task Breakdown'!$B$5:$B$681,$A78)</f>
        <v>366</v>
      </c>
      <c r="J78" s="29" t="n">
        <f aca="false">SUMIFS('Task Breakdown'!$J$5:$J$681,'Task Breakdown'!$B$5:$B$681,$A78)</f>
        <v>24</v>
      </c>
      <c r="K78" s="29" t="n">
        <f aca="false">SUMIFS('Task Breakdown'!$K$5:$K$681,'Task Breakdown'!$B$5:$B$681,$A78)</f>
        <v>0</v>
      </c>
      <c r="L78" s="29" t="n">
        <f aca="false">SUMIFS('Task Breakdown'!$L$5:$L$681,'Task Breakdown'!$B$5:$B$681,$A78)</f>
        <v>0</v>
      </c>
      <c r="M78" s="29" t="n">
        <f aca="false">SUMIFS('Task Breakdown'!$M$5:$M$681,'Task Breakdown'!$B$5:$B$681,$A78)</f>
        <v>24</v>
      </c>
      <c r="N78" s="29" t="n">
        <f aca="false">SUMIFS('Task Breakdown'!$N$5:$N$681,'Task Breakdown'!$B$5:$B$681,$A78)</f>
        <v>0</v>
      </c>
      <c r="O78" s="29" t="n">
        <f aca="false">SUMIFS('Task Breakdown'!$O$5:$O$681,'Task Breakdown'!$B$5:$B$681,$A78)</f>
        <v>0</v>
      </c>
      <c r="P78" s="29" t="n">
        <f aca="false">SUMIFS('Task Breakdown'!$P$5:$P$681,'Task Breakdown'!$B$5:$B$681,$A78)</f>
        <v>0</v>
      </c>
      <c r="Q78" s="29" t="n">
        <f aca="false">SUMIFS('Task Breakdown'!$Q$5:$Q$681,'Task Breakdown'!$B$5:$B$681,$A78)</f>
        <v>0</v>
      </c>
      <c r="R78" s="29" t="n">
        <f aca="false">SUMIFS('Task Breakdown'!$R$5:$R$681,'Task Breakdown'!$B$5:$B$681,$A78)</f>
        <v>0</v>
      </c>
      <c r="S78" s="29" t="n">
        <f aca="false">SUMIFS('Task Breakdown'!$S$5:$S$681,'Task Breakdown'!$B$5:$B$681,$A78)</f>
        <v>0</v>
      </c>
      <c r="T78" s="29" t="n">
        <f aca="false">SUMIFS('Task Breakdown'!$T$5:$T$681,'Task Breakdown'!$B$5:$B$681,$A78)</f>
        <v>0</v>
      </c>
      <c r="U78" s="42" t="n">
        <f aca="false">SUM(I78:T78)</f>
        <v>414</v>
      </c>
    </row>
    <row r="79" customFormat="false" ht="23.85" hidden="false" customHeight="false" outlineLevel="0" collapsed="false">
      <c r="A79" s="40" t="s">
        <v>229</v>
      </c>
      <c r="B79" s="40" t="s">
        <v>40</v>
      </c>
      <c r="C79" s="40" t="s">
        <v>6</v>
      </c>
      <c r="D79" s="40" t="s">
        <v>383</v>
      </c>
      <c r="E79" s="40" t="s">
        <v>162</v>
      </c>
      <c r="F79" s="40" t="s">
        <v>46</v>
      </c>
      <c r="G79" s="40" t="s">
        <v>163</v>
      </c>
      <c r="H79" s="41" t="n">
        <f aca="false">COUNTIF('Task Breakdown'!$B$5:$B$681,$A79)</f>
        <v>5</v>
      </c>
      <c r="I79" s="29" t="n">
        <f aca="false">SUMIFS('Task Breakdown'!$I$5:$I$681,'Task Breakdown'!$B$5:$B$681,$A79)</f>
        <v>366</v>
      </c>
      <c r="J79" s="29" t="n">
        <f aca="false">SUMIFS('Task Breakdown'!$J$5:$J$681,'Task Breakdown'!$B$5:$B$681,$A79)</f>
        <v>24</v>
      </c>
      <c r="K79" s="29" t="n">
        <f aca="false">SUMIFS('Task Breakdown'!$K$5:$K$681,'Task Breakdown'!$B$5:$B$681,$A79)</f>
        <v>0</v>
      </c>
      <c r="L79" s="29" t="n">
        <f aca="false">SUMIFS('Task Breakdown'!$L$5:$L$681,'Task Breakdown'!$B$5:$B$681,$A79)</f>
        <v>0</v>
      </c>
      <c r="M79" s="29" t="n">
        <f aca="false">SUMIFS('Task Breakdown'!$M$5:$M$681,'Task Breakdown'!$B$5:$B$681,$A79)</f>
        <v>24</v>
      </c>
      <c r="N79" s="29" t="n">
        <f aca="false">SUMIFS('Task Breakdown'!$N$5:$N$681,'Task Breakdown'!$B$5:$B$681,$A79)</f>
        <v>0</v>
      </c>
      <c r="O79" s="29" t="n">
        <f aca="false">SUMIFS('Task Breakdown'!$O$5:$O$681,'Task Breakdown'!$B$5:$B$681,$A79)</f>
        <v>0</v>
      </c>
      <c r="P79" s="29" t="n">
        <f aca="false">SUMIFS('Task Breakdown'!$P$5:$P$681,'Task Breakdown'!$B$5:$B$681,$A79)</f>
        <v>0</v>
      </c>
      <c r="Q79" s="29" t="n">
        <f aca="false">SUMIFS('Task Breakdown'!$Q$5:$Q$681,'Task Breakdown'!$B$5:$B$681,$A79)</f>
        <v>0</v>
      </c>
      <c r="R79" s="29" t="n">
        <f aca="false">SUMIFS('Task Breakdown'!$R$5:$R$681,'Task Breakdown'!$B$5:$B$681,$A79)</f>
        <v>0</v>
      </c>
      <c r="S79" s="29" t="n">
        <f aca="false">SUMIFS('Task Breakdown'!$S$5:$S$681,'Task Breakdown'!$B$5:$B$681,$A79)</f>
        <v>0</v>
      </c>
      <c r="T79" s="29" t="n">
        <f aca="false">SUMIFS('Task Breakdown'!$T$5:$T$681,'Task Breakdown'!$B$5:$B$681,$A79)</f>
        <v>0</v>
      </c>
      <c r="U79" s="42" t="n">
        <f aca="false">SUM(I79:T79)</f>
        <v>414</v>
      </c>
    </row>
    <row r="80" customFormat="false" ht="23.85" hidden="false" customHeight="false" outlineLevel="0" collapsed="false">
      <c r="A80" s="40" t="s">
        <v>297</v>
      </c>
      <c r="B80" s="40" t="s">
        <v>40</v>
      </c>
      <c r="C80" s="40" t="s">
        <v>7</v>
      </c>
      <c r="D80" s="40" t="s">
        <v>372</v>
      </c>
      <c r="E80" s="40" t="s">
        <v>162</v>
      </c>
      <c r="F80" s="40" t="s">
        <v>46</v>
      </c>
      <c r="G80" s="40" t="s">
        <v>163</v>
      </c>
      <c r="H80" s="41" t="n">
        <f aca="false">COUNTIF('Task Breakdown'!$B$5:$B$681,$A80)</f>
        <v>5</v>
      </c>
      <c r="I80" s="29" t="n">
        <f aca="false">SUMIFS('Task Breakdown'!$I$5:$I$681,'Task Breakdown'!$B$5:$B$681,$A80)</f>
        <v>366</v>
      </c>
      <c r="J80" s="29" t="n">
        <f aca="false">SUMIFS('Task Breakdown'!$J$5:$J$681,'Task Breakdown'!$B$5:$B$681,$A80)</f>
        <v>24</v>
      </c>
      <c r="K80" s="29" t="n">
        <f aca="false">SUMIFS('Task Breakdown'!$K$5:$K$681,'Task Breakdown'!$B$5:$B$681,$A80)</f>
        <v>0</v>
      </c>
      <c r="L80" s="29" t="n">
        <f aca="false">SUMIFS('Task Breakdown'!$L$5:$L$681,'Task Breakdown'!$B$5:$B$681,$A80)</f>
        <v>0</v>
      </c>
      <c r="M80" s="29" t="n">
        <f aca="false">SUMIFS('Task Breakdown'!$M$5:$M$681,'Task Breakdown'!$B$5:$B$681,$A80)</f>
        <v>24</v>
      </c>
      <c r="N80" s="29" t="n">
        <f aca="false">SUMIFS('Task Breakdown'!$N$5:$N$681,'Task Breakdown'!$B$5:$B$681,$A80)</f>
        <v>0</v>
      </c>
      <c r="O80" s="29" t="n">
        <f aca="false">SUMIFS('Task Breakdown'!$O$5:$O$681,'Task Breakdown'!$B$5:$B$681,$A80)</f>
        <v>0</v>
      </c>
      <c r="P80" s="29" t="n">
        <f aca="false">SUMIFS('Task Breakdown'!$P$5:$P$681,'Task Breakdown'!$B$5:$B$681,$A80)</f>
        <v>0</v>
      </c>
      <c r="Q80" s="29" t="n">
        <f aca="false">SUMIFS('Task Breakdown'!$Q$5:$Q$681,'Task Breakdown'!$B$5:$B$681,$A80)</f>
        <v>0</v>
      </c>
      <c r="R80" s="29" t="n">
        <f aca="false">SUMIFS('Task Breakdown'!$R$5:$R$681,'Task Breakdown'!$B$5:$B$681,$A80)</f>
        <v>0</v>
      </c>
      <c r="S80" s="29" t="n">
        <f aca="false">SUMIFS('Task Breakdown'!$S$5:$S$681,'Task Breakdown'!$B$5:$B$681,$A80)</f>
        <v>0</v>
      </c>
      <c r="T80" s="29" t="n">
        <f aca="false">SUMIFS('Task Breakdown'!$T$5:$T$681,'Task Breakdown'!$B$5:$B$681,$A80)</f>
        <v>0</v>
      </c>
      <c r="U80" s="42" t="n">
        <f aca="false">SUM(I80:T80)</f>
        <v>414</v>
      </c>
    </row>
    <row r="81" customFormat="false" ht="23.85" hidden="false" customHeight="false" outlineLevel="0" collapsed="false">
      <c r="A81" s="40" t="s">
        <v>362</v>
      </c>
      <c r="B81" s="40" t="s">
        <v>40</v>
      </c>
      <c r="C81" s="40" t="s">
        <v>8</v>
      </c>
      <c r="D81" s="40" t="s">
        <v>384</v>
      </c>
      <c r="E81" s="40" t="s">
        <v>162</v>
      </c>
      <c r="F81" s="40" t="s">
        <v>46</v>
      </c>
      <c r="G81" s="40" t="s">
        <v>163</v>
      </c>
      <c r="H81" s="41" t="n">
        <f aca="false">COUNTIF('Task Breakdown'!$B$5:$B$681,$A81)</f>
        <v>5</v>
      </c>
      <c r="I81" s="29" t="n">
        <f aca="false">SUMIFS('Task Breakdown'!$I$5:$I$681,'Task Breakdown'!$B$5:$B$681,$A81)</f>
        <v>366</v>
      </c>
      <c r="J81" s="29" t="n">
        <f aca="false">SUMIFS('Task Breakdown'!$J$5:$J$681,'Task Breakdown'!$B$5:$B$681,$A81)</f>
        <v>24</v>
      </c>
      <c r="K81" s="29" t="n">
        <f aca="false">SUMIFS('Task Breakdown'!$K$5:$K$681,'Task Breakdown'!$B$5:$B$681,$A81)</f>
        <v>0</v>
      </c>
      <c r="L81" s="29" t="n">
        <f aca="false">SUMIFS('Task Breakdown'!$L$5:$L$681,'Task Breakdown'!$B$5:$B$681,$A81)</f>
        <v>0</v>
      </c>
      <c r="M81" s="29" t="n">
        <f aca="false">SUMIFS('Task Breakdown'!$M$5:$M$681,'Task Breakdown'!$B$5:$B$681,$A81)</f>
        <v>24</v>
      </c>
      <c r="N81" s="29" t="n">
        <f aca="false">SUMIFS('Task Breakdown'!$N$5:$N$681,'Task Breakdown'!$B$5:$B$681,$A81)</f>
        <v>0</v>
      </c>
      <c r="O81" s="29" t="n">
        <f aca="false">SUMIFS('Task Breakdown'!$O$5:$O$681,'Task Breakdown'!$B$5:$B$681,$A81)</f>
        <v>0</v>
      </c>
      <c r="P81" s="29" t="n">
        <f aca="false">SUMIFS('Task Breakdown'!$P$5:$P$681,'Task Breakdown'!$B$5:$B$681,$A81)</f>
        <v>0</v>
      </c>
      <c r="Q81" s="29" t="n">
        <f aca="false">SUMIFS('Task Breakdown'!$Q$5:$Q$681,'Task Breakdown'!$B$5:$B$681,$A81)</f>
        <v>0</v>
      </c>
      <c r="R81" s="29" t="n">
        <f aca="false">SUMIFS('Task Breakdown'!$R$5:$R$681,'Task Breakdown'!$B$5:$B$681,$A81)</f>
        <v>0</v>
      </c>
      <c r="S81" s="29" t="n">
        <f aca="false">SUMIFS('Task Breakdown'!$S$5:$S$681,'Task Breakdown'!$B$5:$B$681,$A81)</f>
        <v>0</v>
      </c>
      <c r="T81" s="29" t="n">
        <f aca="false">SUMIFS('Task Breakdown'!$T$5:$T$681,'Task Breakdown'!$B$5:$B$681,$A81)</f>
        <v>0</v>
      </c>
      <c r="U81" s="42" t="n">
        <f aca="false">SUM(I81:T81)</f>
        <v>414</v>
      </c>
    </row>
    <row r="82" customFormat="false" ht="15" hidden="false" customHeight="false" outlineLevel="0" collapsed="false">
      <c r="A82" s="40" t="s">
        <v>251</v>
      </c>
      <c r="B82" s="40" t="s">
        <v>37</v>
      </c>
      <c r="C82" s="40" t="s">
        <v>7</v>
      </c>
      <c r="D82" s="40" t="s">
        <v>372</v>
      </c>
      <c r="E82" s="40" t="s">
        <v>252</v>
      </c>
      <c r="F82" s="40" t="s">
        <v>42</v>
      </c>
      <c r="G82" s="40" t="s">
        <v>253</v>
      </c>
      <c r="H82" s="41" t="n">
        <f aca="false">COUNTIF('Task Breakdown'!$B$5:$B$681,$A82)</f>
        <v>4</v>
      </c>
      <c r="I82" s="29" t="n">
        <f aca="false">SUMIFS('Task Breakdown'!$I$5:$I$681,'Task Breakdown'!$B$5:$B$681,$A82)</f>
        <v>0</v>
      </c>
      <c r="J82" s="29" t="n">
        <f aca="false">SUMIFS('Task Breakdown'!$J$5:$J$681,'Task Breakdown'!$B$5:$B$681,$A82)</f>
        <v>8</v>
      </c>
      <c r="K82" s="29" t="n">
        <f aca="false">SUMIFS('Task Breakdown'!$K$5:$K$681,'Task Breakdown'!$B$5:$B$681,$A82)</f>
        <v>24</v>
      </c>
      <c r="L82" s="29" t="n">
        <f aca="false">SUMIFS('Task Breakdown'!$L$5:$L$681,'Task Breakdown'!$B$5:$B$681,$A82)</f>
        <v>65</v>
      </c>
      <c r="M82" s="29" t="n">
        <f aca="false">SUMIFS('Task Breakdown'!$M$5:$M$681,'Task Breakdown'!$B$5:$B$681,$A82)</f>
        <v>0</v>
      </c>
      <c r="N82" s="29" t="n">
        <f aca="false">SUMIFS('Task Breakdown'!$N$5:$N$681,'Task Breakdown'!$B$5:$B$681,$A82)</f>
        <v>16</v>
      </c>
      <c r="O82" s="29" t="n">
        <f aca="false">SUMIFS('Task Breakdown'!$O$5:$O$681,'Task Breakdown'!$B$5:$B$681,$A82)</f>
        <v>0</v>
      </c>
      <c r="P82" s="29" t="n">
        <f aca="false">SUMIFS('Task Breakdown'!$P$5:$P$681,'Task Breakdown'!$B$5:$B$681,$A82)</f>
        <v>0</v>
      </c>
      <c r="Q82" s="29" t="n">
        <f aca="false">SUMIFS('Task Breakdown'!$Q$5:$Q$681,'Task Breakdown'!$B$5:$B$681,$A82)</f>
        <v>16</v>
      </c>
      <c r="R82" s="29" t="n">
        <f aca="false">SUMIFS('Task Breakdown'!$R$5:$R$681,'Task Breakdown'!$B$5:$B$681,$A82)</f>
        <v>0</v>
      </c>
      <c r="S82" s="29" t="n">
        <f aca="false">SUMIFS('Task Breakdown'!$S$5:$S$681,'Task Breakdown'!$B$5:$B$681,$A82)</f>
        <v>16</v>
      </c>
      <c r="T82" s="29" t="n">
        <f aca="false">SUMIFS('Task Breakdown'!$T$5:$T$681,'Task Breakdown'!$B$5:$B$681,$A82)</f>
        <v>0</v>
      </c>
      <c r="U82" s="42" t="n">
        <f aca="false">SUM(I82:T82)</f>
        <v>145</v>
      </c>
    </row>
    <row r="83" customFormat="false" ht="23.85" hidden="false" customHeight="false" outlineLevel="0" collapsed="false">
      <c r="A83" s="40" t="s">
        <v>319</v>
      </c>
      <c r="B83" s="40" t="s">
        <v>37</v>
      </c>
      <c r="C83" s="40" t="s">
        <v>8</v>
      </c>
      <c r="D83" s="40" t="s">
        <v>373</v>
      </c>
      <c r="E83" s="40" t="s">
        <v>320</v>
      </c>
      <c r="F83" s="40" t="s">
        <v>42</v>
      </c>
      <c r="G83" s="40" t="s">
        <v>321</v>
      </c>
      <c r="H83" s="41" t="n">
        <f aca="false">COUNTIF('Task Breakdown'!$B$5:$B$681,$A83)</f>
        <v>4</v>
      </c>
      <c r="I83" s="29" t="n">
        <f aca="false">SUMIFS('Task Breakdown'!$I$5:$I$681,'Task Breakdown'!$B$5:$B$681,$A83)</f>
        <v>8</v>
      </c>
      <c r="J83" s="29" t="n">
        <f aca="false">SUMIFS('Task Breakdown'!$J$5:$J$681,'Task Breakdown'!$B$5:$B$681,$A83)</f>
        <v>8</v>
      </c>
      <c r="K83" s="29" t="n">
        <f aca="false">SUMIFS('Task Breakdown'!$K$5:$K$681,'Task Breakdown'!$B$5:$B$681,$A83)</f>
        <v>56</v>
      </c>
      <c r="L83" s="29" t="n">
        <f aca="false">SUMIFS('Task Breakdown'!$L$5:$L$681,'Task Breakdown'!$B$5:$B$681,$A83)</f>
        <v>0</v>
      </c>
      <c r="M83" s="29" t="n">
        <f aca="false">SUMIFS('Task Breakdown'!$M$5:$M$681,'Task Breakdown'!$B$5:$B$681,$A83)</f>
        <v>0</v>
      </c>
      <c r="N83" s="29" t="n">
        <f aca="false">SUMIFS('Task Breakdown'!$N$5:$N$681,'Task Breakdown'!$B$5:$B$681,$A83)</f>
        <v>16</v>
      </c>
      <c r="O83" s="29" t="n">
        <f aca="false">SUMIFS('Task Breakdown'!$O$5:$O$681,'Task Breakdown'!$B$5:$B$681,$A83)</f>
        <v>8</v>
      </c>
      <c r="P83" s="29" t="n">
        <f aca="false">SUMIFS('Task Breakdown'!$P$5:$P$681,'Task Breakdown'!$B$5:$B$681,$A83)</f>
        <v>0</v>
      </c>
      <c r="Q83" s="29" t="n">
        <f aca="false">SUMIFS('Task Breakdown'!$Q$5:$Q$681,'Task Breakdown'!$B$5:$B$681,$A83)</f>
        <v>16</v>
      </c>
      <c r="R83" s="29" t="n">
        <f aca="false">SUMIFS('Task Breakdown'!$R$5:$R$681,'Task Breakdown'!$B$5:$B$681,$A83)</f>
        <v>0</v>
      </c>
      <c r="S83" s="29" t="n">
        <f aca="false">SUMIFS('Task Breakdown'!$S$5:$S$681,'Task Breakdown'!$B$5:$B$681,$A83)</f>
        <v>8</v>
      </c>
      <c r="T83" s="29" t="n">
        <f aca="false">SUMIFS('Task Breakdown'!$T$5:$T$681,'Task Breakdown'!$B$5:$B$681,$A83)</f>
        <v>0</v>
      </c>
      <c r="U83" s="42" t="n">
        <f aca="false">SUM(I83:T83)</f>
        <v>120</v>
      </c>
    </row>
    <row r="84" customFormat="false" ht="15" hidden="false" customHeight="false" outlineLevel="0" collapsed="false">
      <c r="A84" s="40" t="s">
        <v>254</v>
      </c>
      <c r="B84" s="40" t="s">
        <v>37</v>
      </c>
      <c r="C84" s="40" t="s">
        <v>7</v>
      </c>
      <c r="D84" s="40" t="s">
        <v>372</v>
      </c>
      <c r="E84" s="40" t="s">
        <v>255</v>
      </c>
      <c r="F84" s="40" t="s">
        <v>43</v>
      </c>
      <c r="G84" s="40" t="s">
        <v>256</v>
      </c>
      <c r="H84" s="41" t="n">
        <f aca="false">COUNTIF('Task Breakdown'!$B$5:$B$681,$A84)</f>
        <v>4</v>
      </c>
      <c r="I84" s="29" t="n">
        <f aca="false">SUMIFS('Task Breakdown'!$I$5:$I$681,'Task Breakdown'!$B$5:$B$681,$A84)</f>
        <v>0</v>
      </c>
      <c r="J84" s="29" t="n">
        <f aca="false">SUMIFS('Task Breakdown'!$J$5:$J$681,'Task Breakdown'!$B$5:$B$681,$A84)</f>
        <v>0</v>
      </c>
      <c r="K84" s="29" t="n">
        <f aca="false">SUMIFS('Task Breakdown'!$K$5:$K$681,'Task Breakdown'!$B$5:$B$681,$A84)</f>
        <v>0</v>
      </c>
      <c r="L84" s="29" t="n">
        <f aca="false">SUMIFS('Task Breakdown'!$L$5:$L$681,'Task Breakdown'!$B$5:$B$681,$A84)</f>
        <v>0</v>
      </c>
      <c r="M84" s="29" t="n">
        <f aca="false">SUMIFS('Task Breakdown'!$M$5:$M$681,'Task Breakdown'!$B$5:$B$681,$A84)</f>
        <v>24</v>
      </c>
      <c r="N84" s="29" t="n">
        <f aca="false">SUMIFS('Task Breakdown'!$N$5:$N$681,'Task Breakdown'!$B$5:$B$681,$A84)</f>
        <v>64</v>
      </c>
      <c r="O84" s="29" t="n">
        <f aca="false">SUMIFS('Task Breakdown'!$O$5:$O$681,'Task Breakdown'!$B$5:$B$681,$A84)</f>
        <v>0</v>
      </c>
      <c r="P84" s="29" t="n">
        <f aca="false">SUMIFS('Task Breakdown'!$P$5:$P$681,'Task Breakdown'!$B$5:$B$681,$A84)</f>
        <v>0</v>
      </c>
      <c r="Q84" s="29" t="n">
        <f aca="false">SUMIFS('Task Breakdown'!$Q$5:$Q$681,'Task Breakdown'!$B$5:$B$681,$A84)</f>
        <v>0</v>
      </c>
      <c r="R84" s="29" t="n">
        <f aca="false">SUMIFS('Task Breakdown'!$R$5:$R$681,'Task Breakdown'!$B$5:$B$681,$A84)</f>
        <v>0</v>
      </c>
      <c r="S84" s="29" t="n">
        <f aca="false">SUMIFS('Task Breakdown'!$S$5:$S$681,'Task Breakdown'!$B$5:$B$681,$A84)</f>
        <v>0</v>
      </c>
      <c r="T84" s="29" t="n">
        <f aca="false">SUMIFS('Task Breakdown'!$T$5:$T$681,'Task Breakdown'!$B$5:$B$681,$A84)</f>
        <v>8</v>
      </c>
      <c r="U84" s="42" t="n">
        <f aca="false">SUM(I84:T84)</f>
        <v>96</v>
      </c>
    </row>
    <row r="85" customFormat="false" ht="15" hidden="false" customHeight="false" outlineLevel="0" collapsed="false">
      <c r="A85" s="40" t="s">
        <v>225</v>
      </c>
      <c r="B85" s="40" t="s">
        <v>39</v>
      </c>
      <c r="C85" s="40" t="s">
        <v>6</v>
      </c>
      <c r="D85" s="40" t="s">
        <v>379</v>
      </c>
      <c r="E85" s="40" t="s">
        <v>226</v>
      </c>
      <c r="F85" s="40" t="s">
        <v>45</v>
      </c>
      <c r="G85" s="40" t="s">
        <v>227</v>
      </c>
      <c r="H85" s="41" t="n">
        <f aca="false">COUNTIF('Task Breakdown'!$B$5:$B$681,$A85)</f>
        <v>3</v>
      </c>
      <c r="I85" s="29" t="n">
        <f aca="false">SUMIFS('Task Breakdown'!$I$5:$I$681,'Task Breakdown'!$B$5:$B$681,$A85)</f>
        <v>8</v>
      </c>
      <c r="J85" s="29" t="n">
        <f aca="false">SUMIFS('Task Breakdown'!$J$5:$J$681,'Task Breakdown'!$B$5:$B$681,$A85)</f>
        <v>0</v>
      </c>
      <c r="K85" s="29" t="n">
        <f aca="false">SUMIFS('Task Breakdown'!$K$5:$K$681,'Task Breakdown'!$B$5:$B$681,$A85)</f>
        <v>0</v>
      </c>
      <c r="L85" s="29" t="n">
        <f aca="false">SUMIFS('Task Breakdown'!$L$5:$L$681,'Task Breakdown'!$B$5:$B$681,$A85)</f>
        <v>0</v>
      </c>
      <c r="M85" s="29" t="n">
        <f aca="false">SUMIFS('Task Breakdown'!$M$5:$M$681,'Task Breakdown'!$B$5:$B$681,$A85)</f>
        <v>0</v>
      </c>
      <c r="N85" s="29" t="n">
        <f aca="false">SUMIFS('Task Breakdown'!$N$5:$N$681,'Task Breakdown'!$B$5:$B$681,$A85)</f>
        <v>65</v>
      </c>
      <c r="O85" s="29" t="n">
        <f aca="false">SUMIFS('Task Breakdown'!$O$5:$O$681,'Task Breakdown'!$B$5:$B$681,$A85)</f>
        <v>16</v>
      </c>
      <c r="P85" s="29" t="n">
        <f aca="false">SUMIFS('Task Breakdown'!$P$5:$P$681,'Task Breakdown'!$B$5:$B$681,$A85)</f>
        <v>0</v>
      </c>
      <c r="Q85" s="29" t="n">
        <f aca="false">SUMIFS('Task Breakdown'!$Q$5:$Q$681,'Task Breakdown'!$B$5:$B$681,$A85)</f>
        <v>32</v>
      </c>
      <c r="R85" s="29" t="n">
        <f aca="false">SUMIFS('Task Breakdown'!$R$5:$R$681,'Task Breakdown'!$B$5:$B$681,$A85)</f>
        <v>8</v>
      </c>
      <c r="S85" s="29" t="n">
        <f aca="false">SUMIFS('Task Breakdown'!$S$5:$S$681,'Task Breakdown'!$B$5:$B$681,$A85)</f>
        <v>16</v>
      </c>
      <c r="T85" s="29" t="n">
        <f aca="false">SUMIFS('Task Breakdown'!$T$5:$T$681,'Task Breakdown'!$B$5:$B$681,$A85)</f>
        <v>0</v>
      </c>
      <c r="U85" s="42" t="n">
        <f aca="false">SUM(I85:T85)</f>
        <v>145</v>
      </c>
    </row>
    <row r="86" customFormat="false" ht="15" hidden="false" customHeight="false" outlineLevel="0" collapsed="false">
      <c r="A86" s="40" t="s">
        <v>295</v>
      </c>
      <c r="B86" s="40" t="s">
        <v>39</v>
      </c>
      <c r="C86" s="40" t="s">
        <v>7</v>
      </c>
      <c r="D86" s="40" t="s">
        <v>380</v>
      </c>
      <c r="E86" s="40" t="s">
        <v>226</v>
      </c>
      <c r="F86" s="40" t="s">
        <v>45</v>
      </c>
      <c r="G86" s="40" t="s">
        <v>227</v>
      </c>
      <c r="H86" s="41" t="n">
        <f aca="false">COUNTIF('Task Breakdown'!$B$5:$B$681,$A86)</f>
        <v>3</v>
      </c>
      <c r="I86" s="29" t="n">
        <f aca="false">SUMIFS('Task Breakdown'!$I$5:$I$681,'Task Breakdown'!$B$5:$B$681,$A86)</f>
        <v>12</v>
      </c>
      <c r="J86" s="29" t="n">
        <f aca="false">SUMIFS('Task Breakdown'!$J$5:$J$681,'Task Breakdown'!$B$5:$B$681,$A86)</f>
        <v>0</v>
      </c>
      <c r="K86" s="29" t="n">
        <f aca="false">SUMIFS('Task Breakdown'!$K$5:$K$681,'Task Breakdown'!$B$5:$B$681,$A86)</f>
        <v>0</v>
      </c>
      <c r="L86" s="29" t="n">
        <f aca="false">SUMIFS('Task Breakdown'!$L$5:$L$681,'Task Breakdown'!$B$5:$B$681,$A86)</f>
        <v>0</v>
      </c>
      <c r="M86" s="29" t="n">
        <f aca="false">SUMIFS('Task Breakdown'!$M$5:$M$681,'Task Breakdown'!$B$5:$B$681,$A86)</f>
        <v>0</v>
      </c>
      <c r="N86" s="29" t="n">
        <f aca="false">SUMIFS('Task Breakdown'!$N$5:$N$681,'Task Breakdown'!$B$5:$B$681,$A86)</f>
        <v>98</v>
      </c>
      <c r="O86" s="29" t="n">
        <f aca="false">SUMIFS('Task Breakdown'!$O$5:$O$681,'Task Breakdown'!$B$5:$B$681,$A86)</f>
        <v>24</v>
      </c>
      <c r="P86" s="29" t="n">
        <f aca="false">SUMIFS('Task Breakdown'!$P$5:$P$681,'Task Breakdown'!$B$5:$B$681,$A86)</f>
        <v>0</v>
      </c>
      <c r="Q86" s="29" t="n">
        <f aca="false">SUMIFS('Task Breakdown'!$Q$5:$Q$681,'Task Breakdown'!$B$5:$B$681,$A86)</f>
        <v>48</v>
      </c>
      <c r="R86" s="29" t="n">
        <f aca="false">SUMIFS('Task Breakdown'!$R$5:$R$681,'Task Breakdown'!$B$5:$B$681,$A86)</f>
        <v>12</v>
      </c>
      <c r="S86" s="29" t="n">
        <f aca="false">SUMIFS('Task Breakdown'!$S$5:$S$681,'Task Breakdown'!$B$5:$B$681,$A86)</f>
        <v>24</v>
      </c>
      <c r="T86" s="29" t="n">
        <f aca="false">SUMIFS('Task Breakdown'!$T$5:$T$681,'Task Breakdown'!$B$5:$B$681,$A86)</f>
        <v>0</v>
      </c>
      <c r="U86" s="42" t="n">
        <f aca="false">SUM(I86:T86)</f>
        <v>218</v>
      </c>
    </row>
    <row r="87" customFormat="false" ht="15" hidden="false" customHeight="false" outlineLevel="0" collapsed="false">
      <c r="A87" s="40" t="s">
        <v>360</v>
      </c>
      <c r="B87" s="40" t="s">
        <v>39</v>
      </c>
      <c r="C87" s="40" t="s">
        <v>8</v>
      </c>
      <c r="D87" s="40" t="s">
        <v>381</v>
      </c>
      <c r="E87" s="40" t="s">
        <v>226</v>
      </c>
      <c r="F87" s="40" t="s">
        <v>45</v>
      </c>
      <c r="G87" s="40" t="s">
        <v>227</v>
      </c>
      <c r="H87" s="41" t="n">
        <f aca="false">COUNTIF('Task Breakdown'!$B$5:$B$681,$A87)</f>
        <v>3</v>
      </c>
      <c r="I87" s="29" t="n">
        <f aca="false">SUMIFS('Task Breakdown'!$I$5:$I$681,'Task Breakdown'!$B$5:$B$681,$A87)</f>
        <v>16</v>
      </c>
      <c r="J87" s="29" t="n">
        <f aca="false">SUMIFS('Task Breakdown'!$J$5:$J$681,'Task Breakdown'!$B$5:$B$681,$A87)</f>
        <v>0</v>
      </c>
      <c r="K87" s="29" t="n">
        <f aca="false">SUMIFS('Task Breakdown'!$K$5:$K$681,'Task Breakdown'!$B$5:$B$681,$A87)</f>
        <v>0</v>
      </c>
      <c r="L87" s="29" t="n">
        <f aca="false">SUMIFS('Task Breakdown'!$L$5:$L$681,'Task Breakdown'!$B$5:$B$681,$A87)</f>
        <v>0</v>
      </c>
      <c r="M87" s="29" t="n">
        <f aca="false">SUMIFS('Task Breakdown'!$M$5:$M$681,'Task Breakdown'!$B$5:$B$681,$A87)</f>
        <v>0</v>
      </c>
      <c r="N87" s="29" t="n">
        <f aca="false">SUMIFS('Task Breakdown'!$N$5:$N$681,'Task Breakdown'!$B$5:$B$681,$A87)</f>
        <v>130</v>
      </c>
      <c r="O87" s="29" t="n">
        <f aca="false">SUMIFS('Task Breakdown'!$O$5:$O$681,'Task Breakdown'!$B$5:$B$681,$A87)</f>
        <v>33</v>
      </c>
      <c r="P87" s="29" t="n">
        <f aca="false">SUMIFS('Task Breakdown'!$P$5:$P$681,'Task Breakdown'!$B$5:$B$681,$A87)</f>
        <v>0</v>
      </c>
      <c r="Q87" s="29" t="n">
        <f aca="false">SUMIFS('Task Breakdown'!$Q$5:$Q$681,'Task Breakdown'!$B$5:$B$681,$A87)</f>
        <v>66</v>
      </c>
      <c r="R87" s="29" t="n">
        <f aca="false">SUMIFS('Task Breakdown'!$R$5:$R$681,'Task Breakdown'!$B$5:$B$681,$A87)</f>
        <v>16</v>
      </c>
      <c r="S87" s="29" t="n">
        <f aca="false">SUMIFS('Task Breakdown'!$S$5:$S$681,'Task Breakdown'!$B$5:$B$681,$A87)</f>
        <v>33</v>
      </c>
      <c r="T87" s="29" t="n">
        <f aca="false">SUMIFS('Task Breakdown'!$T$5:$T$681,'Task Breakdown'!$B$5:$B$681,$A87)</f>
        <v>0</v>
      </c>
      <c r="U87" s="42" t="n">
        <f aca="false">SUM(I87:T87)</f>
        <v>294</v>
      </c>
    </row>
    <row r="88" customFormat="false" ht="15" hidden="false" customHeight="false" outlineLevel="0" collapsed="false">
      <c r="A88" s="10" t="s">
        <v>35</v>
      </c>
      <c r="B88" s="9"/>
      <c r="C88" s="9"/>
      <c r="D88" s="9"/>
      <c r="E88" s="9"/>
      <c r="F88" s="9"/>
      <c r="G88" s="9"/>
      <c r="H88" s="32" t="n">
        <f aca="false">SUM(H5:H87)</f>
        <v>677</v>
      </c>
      <c r="I88" s="32" t="n">
        <f aca="false">SUM(I5:I87)</f>
        <v>1734</v>
      </c>
      <c r="J88" s="32" t="n">
        <f aca="false">SUM(J5:J87)</f>
        <v>692</v>
      </c>
      <c r="K88" s="32" t="n">
        <f aca="false">SUM(K5:K87)</f>
        <v>2649</v>
      </c>
      <c r="L88" s="32" t="n">
        <f aca="false">SUM(L5:L87)</f>
        <v>1027</v>
      </c>
      <c r="M88" s="32" t="n">
        <f aca="false">SUM(M5:M87)</f>
        <v>1358</v>
      </c>
      <c r="N88" s="32" t="n">
        <f aca="false">SUM(N5:N87)</f>
        <v>5748</v>
      </c>
      <c r="O88" s="32" t="n">
        <f aca="false">SUM(O5:O87)</f>
        <v>2935</v>
      </c>
      <c r="P88" s="32" t="n">
        <f aca="false">SUM(P5:P87)</f>
        <v>754</v>
      </c>
      <c r="Q88" s="32" t="n">
        <f aca="false">SUM(Q5:Q87)</f>
        <v>2031</v>
      </c>
      <c r="R88" s="32" t="n">
        <f aca="false">SUM(R5:R87)</f>
        <v>2225</v>
      </c>
      <c r="S88" s="32" t="n">
        <f aca="false">SUM(S5:S87)</f>
        <v>2259</v>
      </c>
      <c r="T88" s="32" t="n">
        <f aca="false">SUM(T5:T87)</f>
        <v>588</v>
      </c>
      <c r="U88" s="32" t="n">
        <f aca="false">SUM(U5:U87)</f>
        <v>24000</v>
      </c>
    </row>
  </sheetData>
  <autoFilter ref="A4:U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34"/>
    <col collapsed="false" customWidth="true" hidden="false" outlineLevel="0" max="7" min="7" style="0" width="56"/>
    <col collapsed="false" customWidth="true" hidden="false" outlineLevel="0" max="8" min="8" style="0" width="20"/>
    <col collapsed="false" customWidth="true" hidden="false" outlineLevel="0" max="20" min="9" style="0" width="7"/>
    <col collapsed="false" customWidth="true" hidden="false" outlineLevel="0" max="21" min="21" style="0" width="11"/>
  </cols>
  <sheetData>
    <row r="1" customFormat="false" ht="17.35" hidden="false" customHeight="false" outlineLevel="0" collapsed="false">
      <c r="A1" s="1" t="s">
        <v>385</v>
      </c>
    </row>
    <row r="2" customFormat="false" ht="15" hidden="false" customHeight="false" outlineLevel="0" collapsed="false">
      <c r="A2" s="2" t="s">
        <v>386</v>
      </c>
    </row>
    <row r="4" customFormat="false" ht="30" hidden="false" customHeight="true" outlineLevel="0" collapsed="false">
      <c r="A4" s="4" t="s">
        <v>387</v>
      </c>
      <c r="B4" s="4" t="s">
        <v>388</v>
      </c>
      <c r="C4" s="4" t="s">
        <v>49</v>
      </c>
      <c r="D4" s="4" t="s">
        <v>366</v>
      </c>
      <c r="E4" s="4" t="s">
        <v>367</v>
      </c>
      <c r="F4" s="4" t="s">
        <v>368</v>
      </c>
      <c r="G4" s="4" t="s">
        <v>389</v>
      </c>
      <c r="H4" s="4" t="s">
        <v>94</v>
      </c>
      <c r="I4" s="4" t="s">
        <v>11</v>
      </c>
      <c r="J4" s="4" t="s">
        <v>13</v>
      </c>
      <c r="K4" s="4" t="s">
        <v>15</v>
      </c>
      <c r="L4" s="4" t="s">
        <v>17</v>
      </c>
      <c r="M4" s="4" t="s">
        <v>19</v>
      </c>
      <c r="N4" s="4" t="s">
        <v>21</v>
      </c>
      <c r="O4" s="4" t="s">
        <v>23</v>
      </c>
      <c r="P4" s="4" t="s">
        <v>25</v>
      </c>
      <c r="Q4" s="4" t="s">
        <v>27</v>
      </c>
      <c r="R4" s="4" t="s">
        <v>29</v>
      </c>
      <c r="S4" s="4" t="s">
        <v>31</v>
      </c>
      <c r="T4" s="4" t="s">
        <v>33</v>
      </c>
      <c r="U4" s="4" t="s">
        <v>9</v>
      </c>
    </row>
    <row r="5" customFormat="false" ht="23.85" hidden="false" customHeight="false" outlineLevel="0" collapsed="false">
      <c r="A5" s="40" t="s">
        <v>390</v>
      </c>
      <c r="B5" s="40" t="s">
        <v>98</v>
      </c>
      <c r="C5" s="40" t="s">
        <v>37</v>
      </c>
      <c r="D5" s="40" t="s">
        <v>5</v>
      </c>
      <c r="E5" s="40" t="s">
        <v>370</v>
      </c>
      <c r="F5" s="40" t="s">
        <v>99</v>
      </c>
      <c r="G5" s="40" t="s">
        <v>391</v>
      </c>
      <c r="H5" s="40" t="s">
        <v>42</v>
      </c>
      <c r="I5" s="43" t="n">
        <v>0</v>
      </c>
      <c r="J5" s="43" t="n">
        <v>15</v>
      </c>
      <c r="K5" s="43" t="n">
        <v>0</v>
      </c>
      <c r="L5" s="43" t="n">
        <v>0</v>
      </c>
      <c r="M5" s="43" t="n">
        <v>0</v>
      </c>
      <c r="N5" s="43" t="n">
        <v>0</v>
      </c>
      <c r="O5" s="43" t="n">
        <v>0</v>
      </c>
      <c r="P5" s="43" t="n">
        <v>0</v>
      </c>
      <c r="Q5" s="43" t="n">
        <v>0</v>
      </c>
      <c r="R5" s="43" t="n">
        <v>0</v>
      </c>
      <c r="S5" s="43" t="n">
        <v>0</v>
      </c>
      <c r="T5" s="43" t="n">
        <v>0</v>
      </c>
      <c r="U5" s="42" t="n">
        <f aca="false">SUM(I5:T5)</f>
        <v>15</v>
      </c>
    </row>
    <row r="6" customFormat="false" ht="23.85" hidden="false" customHeight="false" outlineLevel="0" collapsed="false">
      <c r="A6" s="40" t="s">
        <v>392</v>
      </c>
      <c r="B6" s="40" t="s">
        <v>98</v>
      </c>
      <c r="C6" s="40" t="s">
        <v>37</v>
      </c>
      <c r="D6" s="40" t="s">
        <v>5</v>
      </c>
      <c r="E6" s="40" t="s">
        <v>370</v>
      </c>
      <c r="F6" s="40" t="s">
        <v>99</v>
      </c>
      <c r="G6" s="40" t="s">
        <v>393</v>
      </c>
      <c r="H6" s="40" t="s">
        <v>42</v>
      </c>
      <c r="I6" s="43" t="n">
        <v>0</v>
      </c>
      <c r="J6" s="43" t="n">
        <v>20</v>
      </c>
      <c r="K6" s="43" t="n">
        <v>10</v>
      </c>
      <c r="L6" s="43" t="n">
        <v>0</v>
      </c>
      <c r="M6" s="43" t="n">
        <v>0</v>
      </c>
      <c r="N6" s="43" t="n">
        <v>0</v>
      </c>
      <c r="O6" s="43" t="n">
        <v>0</v>
      </c>
      <c r="P6" s="43" t="n">
        <v>0</v>
      </c>
      <c r="Q6" s="43" t="n">
        <v>0</v>
      </c>
      <c r="R6" s="43" t="n">
        <v>0</v>
      </c>
      <c r="S6" s="43" t="n">
        <v>0</v>
      </c>
      <c r="T6" s="43" t="n">
        <v>0</v>
      </c>
      <c r="U6" s="42" t="n">
        <f aca="false">SUM(I6:T6)</f>
        <v>30</v>
      </c>
    </row>
    <row r="7" customFormat="false" ht="23.85" hidden="false" customHeight="false" outlineLevel="0" collapsed="false">
      <c r="A7" s="40" t="s">
        <v>394</v>
      </c>
      <c r="B7" s="40" t="s">
        <v>98</v>
      </c>
      <c r="C7" s="40" t="s">
        <v>37</v>
      </c>
      <c r="D7" s="40" t="s">
        <v>5</v>
      </c>
      <c r="E7" s="40" t="s">
        <v>370</v>
      </c>
      <c r="F7" s="40" t="s">
        <v>99</v>
      </c>
      <c r="G7" s="40" t="s">
        <v>395</v>
      </c>
      <c r="H7" s="40" t="s">
        <v>42</v>
      </c>
      <c r="I7" s="43" t="n">
        <v>0</v>
      </c>
      <c r="J7" s="43" t="n">
        <v>0</v>
      </c>
      <c r="K7" s="43" t="n">
        <v>41</v>
      </c>
      <c r="L7" s="43" t="n">
        <v>0</v>
      </c>
      <c r="M7" s="43" t="n">
        <v>0</v>
      </c>
      <c r="N7" s="43" t="n">
        <v>0</v>
      </c>
      <c r="O7" s="43" t="n">
        <v>0</v>
      </c>
      <c r="P7" s="43" t="n">
        <v>0</v>
      </c>
      <c r="Q7" s="43" t="n">
        <v>0</v>
      </c>
      <c r="R7" s="43" t="n">
        <v>0</v>
      </c>
      <c r="S7" s="43" t="n">
        <v>0</v>
      </c>
      <c r="T7" s="43" t="n">
        <v>0</v>
      </c>
      <c r="U7" s="42" t="n">
        <f aca="false">SUM(I7:T7)</f>
        <v>41</v>
      </c>
    </row>
    <row r="8" customFormat="false" ht="23.85" hidden="false" customHeight="false" outlineLevel="0" collapsed="false">
      <c r="A8" s="40" t="s">
        <v>396</v>
      </c>
      <c r="B8" s="40" t="s">
        <v>98</v>
      </c>
      <c r="C8" s="40" t="s">
        <v>37</v>
      </c>
      <c r="D8" s="40" t="s">
        <v>5</v>
      </c>
      <c r="E8" s="40" t="s">
        <v>370</v>
      </c>
      <c r="F8" s="40" t="s">
        <v>99</v>
      </c>
      <c r="G8" s="40" t="s">
        <v>397</v>
      </c>
      <c r="H8" s="40" t="s">
        <v>42</v>
      </c>
      <c r="I8" s="43" t="n">
        <v>0</v>
      </c>
      <c r="J8" s="43" t="n">
        <v>10</v>
      </c>
      <c r="K8" s="43" t="n">
        <v>31</v>
      </c>
      <c r="L8" s="43" t="n">
        <v>5</v>
      </c>
      <c r="M8" s="43" t="n">
        <v>0</v>
      </c>
      <c r="N8" s="43" t="n">
        <v>0</v>
      </c>
      <c r="O8" s="43" t="n">
        <v>0</v>
      </c>
      <c r="P8" s="43" t="n">
        <v>0</v>
      </c>
      <c r="Q8" s="43" t="n">
        <v>0</v>
      </c>
      <c r="R8" s="43" t="n">
        <v>0</v>
      </c>
      <c r="S8" s="43" t="n">
        <v>0</v>
      </c>
      <c r="T8" s="43" t="n">
        <v>0</v>
      </c>
      <c r="U8" s="42" t="n">
        <f aca="false">SUM(I8:T8)</f>
        <v>46</v>
      </c>
    </row>
    <row r="9" customFormat="false" ht="23.85" hidden="false" customHeight="false" outlineLevel="0" collapsed="false">
      <c r="A9" s="40" t="s">
        <v>398</v>
      </c>
      <c r="B9" s="40" t="s">
        <v>98</v>
      </c>
      <c r="C9" s="40" t="s">
        <v>37</v>
      </c>
      <c r="D9" s="40" t="s">
        <v>5</v>
      </c>
      <c r="E9" s="40" t="s">
        <v>370</v>
      </c>
      <c r="F9" s="40" t="s">
        <v>99</v>
      </c>
      <c r="G9" s="40" t="s">
        <v>399</v>
      </c>
      <c r="H9" s="40" t="s">
        <v>42</v>
      </c>
      <c r="I9" s="43" t="n">
        <v>0</v>
      </c>
      <c r="J9" s="43" t="n">
        <v>0</v>
      </c>
      <c r="K9" s="43" t="n">
        <v>41</v>
      </c>
      <c r="L9" s="43" t="n">
        <v>10</v>
      </c>
      <c r="M9" s="43" t="n">
        <v>0</v>
      </c>
      <c r="N9" s="43" t="n">
        <v>0</v>
      </c>
      <c r="O9" s="43" t="n">
        <v>0</v>
      </c>
      <c r="P9" s="43" t="n">
        <v>0</v>
      </c>
      <c r="Q9" s="43" t="n">
        <v>0</v>
      </c>
      <c r="R9" s="43" t="n">
        <v>0</v>
      </c>
      <c r="S9" s="43" t="n">
        <v>0</v>
      </c>
      <c r="T9" s="43" t="n">
        <v>0</v>
      </c>
      <c r="U9" s="42" t="n">
        <f aca="false">SUM(I9:T9)</f>
        <v>51</v>
      </c>
    </row>
    <row r="10" customFormat="false" ht="23.85" hidden="false" customHeight="false" outlineLevel="0" collapsed="false">
      <c r="A10" s="40" t="s">
        <v>400</v>
      </c>
      <c r="B10" s="40" t="s">
        <v>98</v>
      </c>
      <c r="C10" s="40" t="s">
        <v>37</v>
      </c>
      <c r="D10" s="40" t="s">
        <v>5</v>
      </c>
      <c r="E10" s="40" t="s">
        <v>370</v>
      </c>
      <c r="F10" s="40" t="s">
        <v>99</v>
      </c>
      <c r="G10" s="40" t="s">
        <v>401</v>
      </c>
      <c r="H10" s="40" t="s">
        <v>42</v>
      </c>
      <c r="I10" s="43" t="n">
        <v>0</v>
      </c>
      <c r="J10" s="43" t="n">
        <v>5</v>
      </c>
      <c r="K10" s="43" t="n">
        <v>20</v>
      </c>
      <c r="L10" s="43" t="n">
        <v>15</v>
      </c>
      <c r="M10" s="43" t="n">
        <v>0</v>
      </c>
      <c r="N10" s="43" t="n">
        <v>0</v>
      </c>
      <c r="O10" s="43" t="n">
        <v>0</v>
      </c>
      <c r="P10" s="43" t="n">
        <v>0</v>
      </c>
      <c r="Q10" s="43" t="n">
        <v>0</v>
      </c>
      <c r="R10" s="43" t="n">
        <v>0</v>
      </c>
      <c r="S10" s="43" t="n">
        <v>0</v>
      </c>
      <c r="T10" s="43" t="n">
        <v>0</v>
      </c>
      <c r="U10" s="42" t="n">
        <f aca="false">SUM(I10:T10)</f>
        <v>40</v>
      </c>
    </row>
    <row r="11" customFormat="false" ht="23.85" hidden="false" customHeight="false" outlineLevel="0" collapsed="false">
      <c r="A11" s="40" t="s">
        <v>402</v>
      </c>
      <c r="B11" s="40" t="s">
        <v>98</v>
      </c>
      <c r="C11" s="40" t="s">
        <v>37</v>
      </c>
      <c r="D11" s="40" t="s">
        <v>5</v>
      </c>
      <c r="E11" s="40" t="s">
        <v>370</v>
      </c>
      <c r="F11" s="40" t="s">
        <v>99</v>
      </c>
      <c r="G11" s="40" t="s">
        <v>403</v>
      </c>
      <c r="H11" s="40" t="s">
        <v>42</v>
      </c>
      <c r="I11" s="43" t="n">
        <v>0</v>
      </c>
      <c r="J11" s="43" t="n">
        <v>0</v>
      </c>
      <c r="K11" s="43" t="n">
        <v>10</v>
      </c>
      <c r="L11" s="43" t="n">
        <v>10</v>
      </c>
      <c r="M11" s="43" t="n">
        <v>0</v>
      </c>
      <c r="N11" s="43" t="n">
        <v>0</v>
      </c>
      <c r="O11" s="43" t="n">
        <v>0</v>
      </c>
      <c r="P11" s="43" t="n">
        <v>0</v>
      </c>
      <c r="Q11" s="43" t="n">
        <v>0</v>
      </c>
      <c r="R11" s="43" t="n">
        <v>0</v>
      </c>
      <c r="S11" s="43" t="n">
        <v>0</v>
      </c>
      <c r="T11" s="43" t="n">
        <v>0</v>
      </c>
      <c r="U11" s="42" t="n">
        <f aca="false">SUM(I11:T11)</f>
        <v>20</v>
      </c>
    </row>
    <row r="12" customFormat="false" ht="23.85" hidden="false" customHeight="false" outlineLevel="0" collapsed="false">
      <c r="A12" s="40" t="s">
        <v>404</v>
      </c>
      <c r="B12" s="40" t="s">
        <v>98</v>
      </c>
      <c r="C12" s="40" t="s">
        <v>37</v>
      </c>
      <c r="D12" s="40" t="s">
        <v>5</v>
      </c>
      <c r="E12" s="40" t="s">
        <v>370</v>
      </c>
      <c r="F12" s="40" t="s">
        <v>99</v>
      </c>
      <c r="G12" s="40" t="s">
        <v>405</v>
      </c>
      <c r="H12" s="40" t="s">
        <v>42</v>
      </c>
      <c r="I12" s="43" t="n">
        <v>0</v>
      </c>
      <c r="J12" s="43" t="n">
        <v>10</v>
      </c>
      <c r="K12" s="43" t="n">
        <v>0</v>
      </c>
      <c r="L12" s="43" t="n">
        <v>0</v>
      </c>
      <c r="M12" s="43" t="n">
        <v>0</v>
      </c>
      <c r="N12" s="43" t="n">
        <v>0</v>
      </c>
      <c r="O12" s="43" t="n">
        <v>0</v>
      </c>
      <c r="P12" s="43" t="n">
        <v>0</v>
      </c>
      <c r="Q12" s="43" t="n">
        <v>0</v>
      </c>
      <c r="R12" s="43" t="n">
        <v>0</v>
      </c>
      <c r="S12" s="43" t="n">
        <v>20</v>
      </c>
      <c r="T12" s="43" t="n">
        <v>0</v>
      </c>
      <c r="U12" s="42" t="n">
        <f aca="false">SUM(I12:T12)</f>
        <v>30</v>
      </c>
    </row>
    <row r="13" customFormat="false" ht="23.85" hidden="false" customHeight="false" outlineLevel="0" collapsed="false">
      <c r="A13" s="40" t="s">
        <v>406</v>
      </c>
      <c r="B13" s="40" t="s">
        <v>98</v>
      </c>
      <c r="C13" s="40" t="s">
        <v>37</v>
      </c>
      <c r="D13" s="40" t="s">
        <v>5</v>
      </c>
      <c r="E13" s="40" t="s">
        <v>370</v>
      </c>
      <c r="F13" s="40" t="s">
        <v>99</v>
      </c>
      <c r="G13" s="40" t="s">
        <v>407</v>
      </c>
      <c r="H13" s="40" t="s">
        <v>42</v>
      </c>
      <c r="I13" s="43" t="n">
        <v>0</v>
      </c>
      <c r="J13" s="43" t="n">
        <v>17</v>
      </c>
      <c r="K13" s="43" t="n">
        <v>0</v>
      </c>
      <c r="L13" s="43" t="n">
        <v>0</v>
      </c>
      <c r="M13" s="43" t="n">
        <v>0</v>
      </c>
      <c r="N13" s="43" t="n">
        <v>0</v>
      </c>
      <c r="O13" s="43" t="n">
        <v>0</v>
      </c>
      <c r="P13" s="43" t="n">
        <v>0</v>
      </c>
      <c r="Q13" s="43" t="n">
        <v>0</v>
      </c>
      <c r="R13" s="43" t="n">
        <v>0</v>
      </c>
      <c r="S13" s="43" t="n">
        <v>0</v>
      </c>
      <c r="T13" s="43" t="n">
        <v>0</v>
      </c>
      <c r="U13" s="42" t="n">
        <f aca="false">SUM(I13:T13)</f>
        <v>17</v>
      </c>
    </row>
    <row r="14" customFormat="false" ht="23.85" hidden="false" customHeight="false" outlineLevel="0" collapsed="false">
      <c r="A14" s="40" t="s">
        <v>408</v>
      </c>
      <c r="B14" s="40" t="s">
        <v>98</v>
      </c>
      <c r="C14" s="40" t="s">
        <v>37</v>
      </c>
      <c r="D14" s="40" t="s">
        <v>5</v>
      </c>
      <c r="E14" s="40" t="s">
        <v>370</v>
      </c>
      <c r="F14" s="40" t="s">
        <v>99</v>
      </c>
      <c r="G14" s="40" t="s">
        <v>409</v>
      </c>
      <c r="H14" s="40" t="s">
        <v>42</v>
      </c>
      <c r="I14" s="43" t="n">
        <v>0</v>
      </c>
      <c r="J14" s="43" t="n">
        <v>0</v>
      </c>
      <c r="K14" s="43" t="n">
        <v>11</v>
      </c>
      <c r="L14" s="43" t="n">
        <v>0</v>
      </c>
      <c r="M14" s="43" t="n">
        <v>0</v>
      </c>
      <c r="N14" s="43" t="n">
        <v>0</v>
      </c>
      <c r="O14" s="43" t="n">
        <v>0</v>
      </c>
      <c r="P14" s="43" t="n">
        <v>0</v>
      </c>
      <c r="Q14" s="43" t="n">
        <v>0</v>
      </c>
      <c r="R14" s="43" t="n">
        <v>0</v>
      </c>
      <c r="S14" s="43" t="n">
        <v>0</v>
      </c>
      <c r="T14" s="43" t="n">
        <v>0</v>
      </c>
      <c r="U14" s="42" t="n">
        <f aca="false">SUM(I14:T14)</f>
        <v>11</v>
      </c>
    </row>
    <row r="15" customFormat="false" ht="23.85" hidden="false" customHeight="false" outlineLevel="0" collapsed="false">
      <c r="A15" s="40" t="s">
        <v>410</v>
      </c>
      <c r="B15" s="40" t="s">
        <v>98</v>
      </c>
      <c r="C15" s="40" t="s">
        <v>37</v>
      </c>
      <c r="D15" s="40" t="s">
        <v>5</v>
      </c>
      <c r="E15" s="40" t="s">
        <v>370</v>
      </c>
      <c r="F15" s="40" t="s">
        <v>99</v>
      </c>
      <c r="G15" s="40" t="s">
        <v>411</v>
      </c>
      <c r="H15" s="40" t="s">
        <v>42</v>
      </c>
      <c r="I15" s="43" t="n">
        <v>0</v>
      </c>
      <c r="J15" s="43" t="n">
        <v>0</v>
      </c>
      <c r="K15" s="43" t="n">
        <v>11</v>
      </c>
      <c r="L15" s="43" t="n">
        <v>0</v>
      </c>
      <c r="M15" s="43" t="n">
        <v>0</v>
      </c>
      <c r="N15" s="43" t="n">
        <v>0</v>
      </c>
      <c r="O15" s="43" t="n">
        <v>0</v>
      </c>
      <c r="P15" s="43" t="n">
        <v>0</v>
      </c>
      <c r="Q15" s="43" t="n">
        <v>0</v>
      </c>
      <c r="R15" s="43" t="n">
        <v>0</v>
      </c>
      <c r="S15" s="43" t="n">
        <v>0</v>
      </c>
      <c r="T15" s="43" t="n">
        <v>0</v>
      </c>
      <c r="U15" s="42" t="n">
        <f aca="false">SUM(I15:T15)</f>
        <v>11</v>
      </c>
    </row>
    <row r="16" customFormat="false" ht="23.85" hidden="false" customHeight="false" outlineLevel="0" collapsed="false">
      <c r="A16" s="40" t="s">
        <v>412</v>
      </c>
      <c r="B16" s="40" t="s">
        <v>98</v>
      </c>
      <c r="C16" s="40" t="s">
        <v>37</v>
      </c>
      <c r="D16" s="40" t="s">
        <v>5</v>
      </c>
      <c r="E16" s="40" t="s">
        <v>370</v>
      </c>
      <c r="F16" s="40" t="s">
        <v>99</v>
      </c>
      <c r="G16" s="40" t="s">
        <v>413</v>
      </c>
      <c r="H16" s="40" t="s">
        <v>42</v>
      </c>
      <c r="I16" s="43" t="n">
        <v>0</v>
      </c>
      <c r="J16" s="43" t="n">
        <v>0</v>
      </c>
      <c r="K16" s="43" t="n">
        <v>22</v>
      </c>
      <c r="L16" s="43" t="n">
        <v>0</v>
      </c>
      <c r="M16" s="43" t="n">
        <v>0</v>
      </c>
      <c r="N16" s="43" t="n">
        <v>0</v>
      </c>
      <c r="O16" s="43" t="n">
        <v>0</v>
      </c>
      <c r="P16" s="43" t="n">
        <v>0</v>
      </c>
      <c r="Q16" s="43" t="n">
        <v>0</v>
      </c>
      <c r="R16" s="43" t="n">
        <v>0</v>
      </c>
      <c r="S16" s="43" t="n">
        <v>0</v>
      </c>
      <c r="T16" s="43" t="n">
        <v>0</v>
      </c>
      <c r="U16" s="42" t="n">
        <f aca="false">SUM(I16:T16)</f>
        <v>22</v>
      </c>
    </row>
    <row r="17" customFormat="false" ht="23.85" hidden="false" customHeight="false" outlineLevel="0" collapsed="false">
      <c r="A17" s="40" t="s">
        <v>414</v>
      </c>
      <c r="B17" s="40" t="s">
        <v>101</v>
      </c>
      <c r="C17" s="40" t="s">
        <v>37</v>
      </c>
      <c r="D17" s="40" t="s">
        <v>5</v>
      </c>
      <c r="E17" s="40" t="s">
        <v>370</v>
      </c>
      <c r="F17" s="40" t="s">
        <v>102</v>
      </c>
      <c r="G17" s="40" t="s">
        <v>415</v>
      </c>
      <c r="H17" s="40" t="s">
        <v>42</v>
      </c>
      <c r="I17" s="43" t="n">
        <v>0</v>
      </c>
      <c r="J17" s="43" t="n">
        <v>0</v>
      </c>
      <c r="K17" s="43" t="n">
        <v>8</v>
      </c>
      <c r="L17" s="43" t="n">
        <v>12</v>
      </c>
      <c r="M17" s="43" t="n">
        <v>0</v>
      </c>
      <c r="N17" s="43" t="n">
        <v>0</v>
      </c>
      <c r="O17" s="43" t="n">
        <v>0</v>
      </c>
      <c r="P17" s="43" t="n">
        <v>0</v>
      </c>
      <c r="Q17" s="43" t="n">
        <v>0</v>
      </c>
      <c r="R17" s="43" t="n">
        <v>0</v>
      </c>
      <c r="S17" s="43" t="n">
        <v>0</v>
      </c>
      <c r="T17" s="43" t="n">
        <v>0</v>
      </c>
      <c r="U17" s="42" t="n">
        <f aca="false">SUM(I17:T17)</f>
        <v>20</v>
      </c>
    </row>
    <row r="18" customFormat="false" ht="23.85" hidden="false" customHeight="false" outlineLevel="0" collapsed="false">
      <c r="A18" s="40" t="s">
        <v>416</v>
      </c>
      <c r="B18" s="40" t="s">
        <v>101</v>
      </c>
      <c r="C18" s="40" t="s">
        <v>37</v>
      </c>
      <c r="D18" s="40" t="s">
        <v>5</v>
      </c>
      <c r="E18" s="40" t="s">
        <v>370</v>
      </c>
      <c r="F18" s="40" t="s">
        <v>102</v>
      </c>
      <c r="G18" s="40" t="s">
        <v>417</v>
      </c>
      <c r="H18" s="40" t="s">
        <v>42</v>
      </c>
      <c r="I18" s="43" t="n">
        <v>0</v>
      </c>
      <c r="J18" s="43" t="n">
        <v>0</v>
      </c>
      <c r="K18" s="43" t="n">
        <v>8</v>
      </c>
      <c r="L18" s="43" t="n">
        <v>20</v>
      </c>
      <c r="M18" s="43" t="n">
        <v>0</v>
      </c>
      <c r="N18" s="43" t="n">
        <v>0</v>
      </c>
      <c r="O18" s="43" t="n">
        <v>0</v>
      </c>
      <c r="P18" s="43" t="n">
        <v>0</v>
      </c>
      <c r="Q18" s="43" t="n">
        <v>0</v>
      </c>
      <c r="R18" s="43" t="n">
        <v>0</v>
      </c>
      <c r="S18" s="43" t="n">
        <v>0</v>
      </c>
      <c r="T18" s="43" t="n">
        <v>0</v>
      </c>
      <c r="U18" s="42" t="n">
        <f aca="false">SUM(I18:T18)</f>
        <v>28</v>
      </c>
    </row>
    <row r="19" customFormat="false" ht="23.85" hidden="false" customHeight="false" outlineLevel="0" collapsed="false">
      <c r="A19" s="40" t="s">
        <v>418</v>
      </c>
      <c r="B19" s="40" t="s">
        <v>101</v>
      </c>
      <c r="C19" s="40" t="s">
        <v>37</v>
      </c>
      <c r="D19" s="40" t="s">
        <v>5</v>
      </c>
      <c r="E19" s="40" t="s">
        <v>370</v>
      </c>
      <c r="F19" s="40" t="s">
        <v>102</v>
      </c>
      <c r="G19" s="40" t="s">
        <v>419</v>
      </c>
      <c r="H19" s="40" t="s">
        <v>42</v>
      </c>
      <c r="I19" s="43" t="n">
        <v>0</v>
      </c>
      <c r="J19" s="43" t="n">
        <v>8</v>
      </c>
      <c r="K19" s="43" t="n">
        <v>0</v>
      </c>
      <c r="L19" s="43" t="n">
        <v>20</v>
      </c>
      <c r="M19" s="43" t="n">
        <v>0</v>
      </c>
      <c r="N19" s="43" t="n">
        <v>0</v>
      </c>
      <c r="O19" s="43" t="n">
        <v>0</v>
      </c>
      <c r="P19" s="43" t="n">
        <v>0</v>
      </c>
      <c r="Q19" s="43" t="n">
        <v>0</v>
      </c>
      <c r="R19" s="43" t="n">
        <v>0</v>
      </c>
      <c r="S19" s="43" t="n">
        <v>0</v>
      </c>
      <c r="T19" s="43" t="n">
        <v>0</v>
      </c>
      <c r="U19" s="42" t="n">
        <f aca="false">SUM(I19:T19)</f>
        <v>28</v>
      </c>
    </row>
    <row r="20" customFormat="false" ht="23.85" hidden="false" customHeight="false" outlineLevel="0" collapsed="false">
      <c r="A20" s="40" t="s">
        <v>420</v>
      </c>
      <c r="B20" s="40" t="s">
        <v>101</v>
      </c>
      <c r="C20" s="40" t="s">
        <v>37</v>
      </c>
      <c r="D20" s="40" t="s">
        <v>5</v>
      </c>
      <c r="E20" s="40" t="s">
        <v>370</v>
      </c>
      <c r="F20" s="40" t="s">
        <v>102</v>
      </c>
      <c r="G20" s="40" t="s">
        <v>421</v>
      </c>
      <c r="H20" s="40" t="s">
        <v>42</v>
      </c>
      <c r="I20" s="43" t="n">
        <v>0</v>
      </c>
      <c r="J20" s="43" t="n">
        <v>0</v>
      </c>
      <c r="K20" s="43" t="n">
        <v>0</v>
      </c>
      <c r="L20" s="43" t="n">
        <v>16</v>
      </c>
      <c r="M20" s="43" t="n">
        <v>0</v>
      </c>
      <c r="N20" s="43" t="n">
        <v>0</v>
      </c>
      <c r="O20" s="43" t="n">
        <v>0</v>
      </c>
      <c r="P20" s="43" t="n">
        <v>0</v>
      </c>
      <c r="Q20" s="43" t="n">
        <v>0</v>
      </c>
      <c r="R20" s="43" t="n">
        <v>0</v>
      </c>
      <c r="S20" s="43" t="n">
        <v>0</v>
      </c>
      <c r="T20" s="43" t="n">
        <v>0</v>
      </c>
      <c r="U20" s="42" t="n">
        <f aca="false">SUM(I20:T20)</f>
        <v>16</v>
      </c>
    </row>
    <row r="21" customFormat="false" ht="23.85" hidden="false" customHeight="false" outlineLevel="0" collapsed="false">
      <c r="A21" s="40" t="s">
        <v>422</v>
      </c>
      <c r="B21" s="40" t="s">
        <v>101</v>
      </c>
      <c r="C21" s="40" t="s">
        <v>37</v>
      </c>
      <c r="D21" s="40" t="s">
        <v>5</v>
      </c>
      <c r="E21" s="40" t="s">
        <v>370</v>
      </c>
      <c r="F21" s="40" t="s">
        <v>102</v>
      </c>
      <c r="G21" s="40" t="s">
        <v>423</v>
      </c>
      <c r="H21" s="40" t="s">
        <v>42</v>
      </c>
      <c r="I21" s="43" t="n">
        <v>0</v>
      </c>
      <c r="J21" s="43" t="n">
        <v>8</v>
      </c>
      <c r="K21" s="43" t="n">
        <v>0</v>
      </c>
      <c r="L21" s="43" t="n">
        <v>12</v>
      </c>
      <c r="M21" s="43" t="n">
        <v>0</v>
      </c>
      <c r="N21" s="43" t="n">
        <v>0</v>
      </c>
      <c r="O21" s="43" t="n">
        <v>0</v>
      </c>
      <c r="P21" s="43" t="n">
        <v>0</v>
      </c>
      <c r="Q21" s="43" t="n">
        <v>0</v>
      </c>
      <c r="R21" s="43" t="n">
        <v>0</v>
      </c>
      <c r="S21" s="43" t="n">
        <v>0</v>
      </c>
      <c r="T21" s="43" t="n">
        <v>0</v>
      </c>
      <c r="U21" s="42" t="n">
        <f aca="false">SUM(I21:T21)</f>
        <v>20</v>
      </c>
    </row>
    <row r="22" customFormat="false" ht="23.85" hidden="false" customHeight="false" outlineLevel="0" collapsed="false">
      <c r="A22" s="40" t="s">
        <v>424</v>
      </c>
      <c r="B22" s="40" t="s">
        <v>101</v>
      </c>
      <c r="C22" s="40" t="s">
        <v>37</v>
      </c>
      <c r="D22" s="40" t="s">
        <v>5</v>
      </c>
      <c r="E22" s="40" t="s">
        <v>370</v>
      </c>
      <c r="F22" s="40" t="s">
        <v>102</v>
      </c>
      <c r="G22" s="40" t="s">
        <v>425</v>
      </c>
      <c r="H22" s="40" t="s">
        <v>42</v>
      </c>
      <c r="I22" s="43" t="n">
        <v>0</v>
      </c>
      <c r="J22" s="43" t="n">
        <v>0</v>
      </c>
      <c r="K22" s="43" t="n">
        <v>0</v>
      </c>
      <c r="L22" s="43" t="n">
        <v>4</v>
      </c>
      <c r="M22" s="43" t="n">
        <v>0</v>
      </c>
      <c r="N22" s="43" t="n">
        <v>0</v>
      </c>
      <c r="O22" s="43" t="n">
        <v>0</v>
      </c>
      <c r="P22" s="43" t="n">
        <v>0</v>
      </c>
      <c r="Q22" s="43" t="n">
        <v>0</v>
      </c>
      <c r="R22" s="43" t="n">
        <v>0</v>
      </c>
      <c r="S22" s="43" t="n">
        <v>16</v>
      </c>
      <c r="T22" s="43" t="n">
        <v>0</v>
      </c>
      <c r="U22" s="42" t="n">
        <f aca="false">SUM(I22:T22)</f>
        <v>20</v>
      </c>
    </row>
    <row r="23" customFormat="false" ht="23.85" hidden="false" customHeight="false" outlineLevel="0" collapsed="false">
      <c r="A23" s="40" t="s">
        <v>426</v>
      </c>
      <c r="B23" s="40" t="s">
        <v>101</v>
      </c>
      <c r="C23" s="40" t="s">
        <v>37</v>
      </c>
      <c r="D23" s="40" t="s">
        <v>5</v>
      </c>
      <c r="E23" s="40" t="s">
        <v>370</v>
      </c>
      <c r="F23" s="40" t="s">
        <v>102</v>
      </c>
      <c r="G23" s="40" t="s">
        <v>407</v>
      </c>
      <c r="H23" s="40" t="s">
        <v>42</v>
      </c>
      <c r="I23" s="43" t="n">
        <v>0</v>
      </c>
      <c r="J23" s="43" t="n">
        <v>8</v>
      </c>
      <c r="K23" s="43" t="n">
        <v>0</v>
      </c>
      <c r="L23" s="43" t="n">
        <v>0</v>
      </c>
      <c r="M23" s="43" t="n">
        <v>0</v>
      </c>
      <c r="N23" s="43" t="n">
        <v>0</v>
      </c>
      <c r="O23" s="43" t="n">
        <v>0</v>
      </c>
      <c r="P23" s="43" t="n">
        <v>0</v>
      </c>
      <c r="Q23" s="43" t="n">
        <v>0</v>
      </c>
      <c r="R23" s="43" t="n">
        <v>0</v>
      </c>
      <c r="S23" s="43" t="n">
        <v>0</v>
      </c>
      <c r="T23" s="43" t="n">
        <v>0</v>
      </c>
      <c r="U23" s="42" t="n">
        <f aca="false">SUM(I23:T23)</f>
        <v>8</v>
      </c>
    </row>
    <row r="24" customFormat="false" ht="23.85" hidden="false" customHeight="false" outlineLevel="0" collapsed="false">
      <c r="A24" s="40" t="s">
        <v>427</v>
      </c>
      <c r="B24" s="40" t="s">
        <v>101</v>
      </c>
      <c r="C24" s="40" t="s">
        <v>37</v>
      </c>
      <c r="D24" s="40" t="s">
        <v>5</v>
      </c>
      <c r="E24" s="40" t="s">
        <v>370</v>
      </c>
      <c r="F24" s="40" t="s">
        <v>102</v>
      </c>
      <c r="G24" s="40" t="s">
        <v>411</v>
      </c>
      <c r="H24" s="40" t="s">
        <v>42</v>
      </c>
      <c r="I24" s="43" t="n">
        <v>0</v>
      </c>
      <c r="J24" s="43" t="n">
        <v>0</v>
      </c>
      <c r="K24" s="43" t="n">
        <v>0</v>
      </c>
      <c r="L24" s="43" t="n">
        <v>5</v>
      </c>
      <c r="M24" s="43" t="n">
        <v>0</v>
      </c>
      <c r="N24" s="43" t="n">
        <v>0</v>
      </c>
      <c r="O24" s="43" t="n">
        <v>0</v>
      </c>
      <c r="P24" s="43" t="n">
        <v>0</v>
      </c>
      <c r="Q24" s="43" t="n">
        <v>0</v>
      </c>
      <c r="R24" s="43" t="n">
        <v>0</v>
      </c>
      <c r="S24" s="43" t="n">
        <v>0</v>
      </c>
      <c r="T24" s="43" t="n">
        <v>0</v>
      </c>
      <c r="U24" s="42" t="n">
        <f aca="false">SUM(I24:T24)</f>
        <v>5</v>
      </c>
    </row>
    <row r="25" customFormat="false" ht="23.85" hidden="false" customHeight="false" outlineLevel="0" collapsed="false">
      <c r="A25" s="40" t="s">
        <v>428</v>
      </c>
      <c r="B25" s="40" t="s">
        <v>104</v>
      </c>
      <c r="C25" s="40" t="s">
        <v>37</v>
      </c>
      <c r="D25" s="40" t="s">
        <v>5</v>
      </c>
      <c r="E25" s="40" t="s">
        <v>370</v>
      </c>
      <c r="F25" s="40" t="s">
        <v>105</v>
      </c>
      <c r="G25" s="40" t="s">
        <v>429</v>
      </c>
      <c r="H25" s="40" t="s">
        <v>42</v>
      </c>
      <c r="I25" s="43" t="n">
        <v>0</v>
      </c>
      <c r="J25" s="43" t="n">
        <v>0</v>
      </c>
      <c r="K25" s="43" t="n">
        <v>0</v>
      </c>
      <c r="L25" s="43" t="n">
        <v>10</v>
      </c>
      <c r="M25" s="43" t="n">
        <v>0</v>
      </c>
      <c r="N25" s="43" t="n">
        <v>0</v>
      </c>
      <c r="O25" s="43" t="n">
        <v>0</v>
      </c>
      <c r="P25" s="43" t="n">
        <v>0</v>
      </c>
      <c r="Q25" s="43" t="n">
        <v>0</v>
      </c>
      <c r="R25" s="43" t="n">
        <v>20</v>
      </c>
      <c r="S25" s="43" t="n">
        <v>0</v>
      </c>
      <c r="T25" s="43" t="n">
        <v>0</v>
      </c>
      <c r="U25" s="42" t="n">
        <f aca="false">SUM(I25:T25)</f>
        <v>30</v>
      </c>
    </row>
    <row r="26" customFormat="false" ht="23.85" hidden="false" customHeight="false" outlineLevel="0" collapsed="false">
      <c r="A26" s="40" t="s">
        <v>430</v>
      </c>
      <c r="B26" s="40" t="s">
        <v>104</v>
      </c>
      <c r="C26" s="40" t="s">
        <v>37</v>
      </c>
      <c r="D26" s="40" t="s">
        <v>5</v>
      </c>
      <c r="E26" s="40" t="s">
        <v>370</v>
      </c>
      <c r="F26" s="40" t="s">
        <v>105</v>
      </c>
      <c r="G26" s="40" t="s">
        <v>431</v>
      </c>
      <c r="H26" s="40" t="s">
        <v>42</v>
      </c>
      <c r="I26" s="43" t="n">
        <v>0</v>
      </c>
      <c r="J26" s="43" t="n">
        <v>15</v>
      </c>
      <c r="K26" s="43" t="n">
        <v>0</v>
      </c>
      <c r="L26" s="43" t="n">
        <v>26</v>
      </c>
      <c r="M26" s="43" t="n">
        <v>0</v>
      </c>
      <c r="N26" s="43" t="n">
        <v>0</v>
      </c>
      <c r="O26" s="43" t="n">
        <v>0</v>
      </c>
      <c r="P26" s="43" t="n">
        <v>0</v>
      </c>
      <c r="Q26" s="43" t="n">
        <v>0</v>
      </c>
      <c r="R26" s="43" t="n">
        <v>0</v>
      </c>
      <c r="S26" s="43" t="n">
        <v>0</v>
      </c>
      <c r="T26" s="43" t="n">
        <v>0</v>
      </c>
      <c r="U26" s="42" t="n">
        <f aca="false">SUM(I26:T26)</f>
        <v>41</v>
      </c>
    </row>
    <row r="27" customFormat="false" ht="23.85" hidden="false" customHeight="false" outlineLevel="0" collapsed="false">
      <c r="A27" s="40" t="s">
        <v>432</v>
      </c>
      <c r="B27" s="40" t="s">
        <v>104</v>
      </c>
      <c r="C27" s="40" t="s">
        <v>37</v>
      </c>
      <c r="D27" s="40" t="s">
        <v>5</v>
      </c>
      <c r="E27" s="40" t="s">
        <v>370</v>
      </c>
      <c r="F27" s="40" t="s">
        <v>105</v>
      </c>
      <c r="G27" s="40" t="s">
        <v>433</v>
      </c>
      <c r="H27" s="40" t="s">
        <v>42</v>
      </c>
      <c r="I27" s="43" t="n">
        <v>0</v>
      </c>
      <c r="J27" s="43" t="n">
        <v>0</v>
      </c>
      <c r="K27" s="43" t="n">
        <v>0</v>
      </c>
      <c r="L27" s="43" t="n">
        <v>20</v>
      </c>
      <c r="M27" s="43" t="n">
        <v>0</v>
      </c>
      <c r="N27" s="43" t="n">
        <v>0</v>
      </c>
      <c r="O27" s="43" t="n">
        <v>0</v>
      </c>
      <c r="P27" s="43" t="n">
        <v>0</v>
      </c>
      <c r="Q27" s="43" t="n">
        <v>0</v>
      </c>
      <c r="R27" s="43" t="n">
        <v>0</v>
      </c>
      <c r="S27" s="43" t="n">
        <v>0</v>
      </c>
      <c r="T27" s="43" t="n">
        <v>0</v>
      </c>
      <c r="U27" s="42" t="n">
        <f aca="false">SUM(I27:T27)</f>
        <v>20</v>
      </c>
    </row>
    <row r="28" customFormat="false" ht="23.85" hidden="false" customHeight="false" outlineLevel="0" collapsed="false">
      <c r="A28" s="40" t="s">
        <v>434</v>
      </c>
      <c r="B28" s="40" t="s">
        <v>104</v>
      </c>
      <c r="C28" s="40" t="s">
        <v>37</v>
      </c>
      <c r="D28" s="40" t="s">
        <v>5</v>
      </c>
      <c r="E28" s="40" t="s">
        <v>370</v>
      </c>
      <c r="F28" s="40" t="s">
        <v>105</v>
      </c>
      <c r="G28" s="40" t="s">
        <v>435</v>
      </c>
      <c r="H28" s="40" t="s">
        <v>42</v>
      </c>
      <c r="I28" s="43" t="n">
        <v>0</v>
      </c>
      <c r="J28" s="43" t="n">
        <v>5</v>
      </c>
      <c r="K28" s="43" t="n">
        <v>0</v>
      </c>
      <c r="L28" s="43" t="n">
        <v>15</v>
      </c>
      <c r="M28" s="43" t="n">
        <v>0</v>
      </c>
      <c r="N28" s="43" t="n">
        <v>0</v>
      </c>
      <c r="O28" s="43" t="n">
        <v>0</v>
      </c>
      <c r="P28" s="43" t="n">
        <v>0</v>
      </c>
      <c r="Q28" s="43" t="n">
        <v>0</v>
      </c>
      <c r="R28" s="43" t="n">
        <v>0</v>
      </c>
      <c r="S28" s="43" t="n">
        <v>0</v>
      </c>
      <c r="T28" s="43" t="n">
        <v>0</v>
      </c>
      <c r="U28" s="42" t="n">
        <f aca="false">SUM(I28:T28)</f>
        <v>20</v>
      </c>
    </row>
    <row r="29" customFormat="false" ht="23.85" hidden="false" customHeight="false" outlineLevel="0" collapsed="false">
      <c r="A29" s="40" t="s">
        <v>436</v>
      </c>
      <c r="B29" s="40" t="s">
        <v>104</v>
      </c>
      <c r="C29" s="40" t="s">
        <v>37</v>
      </c>
      <c r="D29" s="40" t="s">
        <v>5</v>
      </c>
      <c r="E29" s="40" t="s">
        <v>370</v>
      </c>
      <c r="F29" s="40" t="s">
        <v>105</v>
      </c>
      <c r="G29" s="40" t="s">
        <v>437</v>
      </c>
      <c r="H29" s="40" t="s">
        <v>42</v>
      </c>
      <c r="I29" s="43" t="n">
        <v>0</v>
      </c>
      <c r="J29" s="43" t="n">
        <v>0</v>
      </c>
      <c r="K29" s="43" t="n">
        <v>0</v>
      </c>
      <c r="L29" s="43" t="n">
        <v>10</v>
      </c>
      <c r="M29" s="43" t="n">
        <v>0</v>
      </c>
      <c r="N29" s="43" t="n">
        <v>0</v>
      </c>
      <c r="O29" s="43" t="n">
        <v>0</v>
      </c>
      <c r="P29" s="43" t="n">
        <v>0</v>
      </c>
      <c r="Q29" s="43" t="n">
        <v>0</v>
      </c>
      <c r="R29" s="43" t="n">
        <v>0</v>
      </c>
      <c r="S29" s="43" t="n">
        <v>0</v>
      </c>
      <c r="T29" s="43" t="n">
        <v>0</v>
      </c>
      <c r="U29" s="42" t="n">
        <f aca="false">SUM(I29:T29)</f>
        <v>10</v>
      </c>
    </row>
    <row r="30" customFormat="false" ht="23.85" hidden="false" customHeight="false" outlineLevel="0" collapsed="false">
      <c r="A30" s="40" t="s">
        <v>438</v>
      </c>
      <c r="B30" s="40" t="s">
        <v>104</v>
      </c>
      <c r="C30" s="40" t="s">
        <v>37</v>
      </c>
      <c r="D30" s="40" t="s">
        <v>5</v>
      </c>
      <c r="E30" s="40" t="s">
        <v>370</v>
      </c>
      <c r="F30" s="40" t="s">
        <v>105</v>
      </c>
      <c r="G30" s="40" t="s">
        <v>407</v>
      </c>
      <c r="H30" s="40" t="s">
        <v>42</v>
      </c>
      <c r="I30" s="43" t="n">
        <v>0</v>
      </c>
      <c r="J30" s="43" t="n">
        <v>7</v>
      </c>
      <c r="K30" s="43" t="n">
        <v>0</v>
      </c>
      <c r="L30" s="43" t="n">
        <v>0</v>
      </c>
      <c r="M30" s="43" t="n">
        <v>0</v>
      </c>
      <c r="N30" s="43" t="n">
        <v>0</v>
      </c>
      <c r="O30" s="43" t="n">
        <v>0</v>
      </c>
      <c r="P30" s="43" t="n">
        <v>0</v>
      </c>
      <c r="Q30" s="43" t="n">
        <v>0</v>
      </c>
      <c r="R30" s="43" t="n">
        <v>0</v>
      </c>
      <c r="S30" s="43" t="n">
        <v>0</v>
      </c>
      <c r="T30" s="43" t="n">
        <v>0</v>
      </c>
      <c r="U30" s="42" t="n">
        <f aca="false">SUM(I30:T30)</f>
        <v>7</v>
      </c>
    </row>
    <row r="31" customFormat="false" ht="23.85" hidden="false" customHeight="false" outlineLevel="0" collapsed="false">
      <c r="A31" s="40" t="s">
        <v>439</v>
      </c>
      <c r="B31" s="40" t="s">
        <v>104</v>
      </c>
      <c r="C31" s="40" t="s">
        <v>37</v>
      </c>
      <c r="D31" s="40" t="s">
        <v>5</v>
      </c>
      <c r="E31" s="40" t="s">
        <v>370</v>
      </c>
      <c r="F31" s="40" t="s">
        <v>105</v>
      </c>
      <c r="G31" s="40" t="s">
        <v>411</v>
      </c>
      <c r="H31" s="40" t="s">
        <v>42</v>
      </c>
      <c r="I31" s="43" t="n">
        <v>0</v>
      </c>
      <c r="J31" s="43" t="n">
        <v>0</v>
      </c>
      <c r="K31" s="43" t="n">
        <v>0</v>
      </c>
      <c r="L31" s="43" t="n">
        <v>5</v>
      </c>
      <c r="M31" s="43" t="n">
        <v>0</v>
      </c>
      <c r="N31" s="43" t="n">
        <v>0</v>
      </c>
      <c r="O31" s="43" t="n">
        <v>0</v>
      </c>
      <c r="P31" s="43" t="n">
        <v>0</v>
      </c>
      <c r="Q31" s="43" t="n">
        <v>0</v>
      </c>
      <c r="R31" s="43" t="n">
        <v>0</v>
      </c>
      <c r="S31" s="43" t="n">
        <v>0</v>
      </c>
      <c r="T31" s="43" t="n">
        <v>0</v>
      </c>
      <c r="U31" s="42" t="n">
        <f aca="false">SUM(I31:T31)</f>
        <v>5</v>
      </c>
    </row>
    <row r="32" customFormat="false" ht="15" hidden="false" customHeight="false" outlineLevel="0" collapsed="false">
      <c r="A32" s="40" t="s">
        <v>440</v>
      </c>
      <c r="B32" s="40" t="s">
        <v>107</v>
      </c>
      <c r="C32" s="40" t="s">
        <v>37</v>
      </c>
      <c r="D32" s="40" t="s">
        <v>5</v>
      </c>
      <c r="E32" s="40" t="s">
        <v>370</v>
      </c>
      <c r="F32" s="40" t="s">
        <v>108</v>
      </c>
      <c r="G32" s="40" t="s">
        <v>441</v>
      </c>
      <c r="H32" s="40" t="s">
        <v>42</v>
      </c>
      <c r="I32" s="43" t="n">
        <v>0</v>
      </c>
      <c r="J32" s="43" t="n">
        <v>0</v>
      </c>
      <c r="K32" s="43" t="n">
        <v>12</v>
      </c>
      <c r="L32" s="43" t="n">
        <v>4</v>
      </c>
      <c r="M32" s="43" t="n">
        <v>0</v>
      </c>
      <c r="N32" s="43" t="n">
        <v>0</v>
      </c>
      <c r="O32" s="43" t="n">
        <v>0</v>
      </c>
      <c r="P32" s="43" t="n">
        <v>0</v>
      </c>
      <c r="Q32" s="43" t="n">
        <v>0</v>
      </c>
      <c r="R32" s="43" t="n">
        <v>0</v>
      </c>
      <c r="S32" s="43" t="n">
        <v>0</v>
      </c>
      <c r="T32" s="43" t="n">
        <v>0</v>
      </c>
      <c r="U32" s="42" t="n">
        <f aca="false">SUM(I32:T32)</f>
        <v>16</v>
      </c>
    </row>
    <row r="33" customFormat="false" ht="15" hidden="false" customHeight="false" outlineLevel="0" collapsed="false">
      <c r="A33" s="40" t="s">
        <v>442</v>
      </c>
      <c r="B33" s="40" t="s">
        <v>107</v>
      </c>
      <c r="C33" s="40" t="s">
        <v>37</v>
      </c>
      <c r="D33" s="40" t="s">
        <v>5</v>
      </c>
      <c r="E33" s="40" t="s">
        <v>370</v>
      </c>
      <c r="F33" s="40" t="s">
        <v>108</v>
      </c>
      <c r="G33" s="40" t="s">
        <v>443</v>
      </c>
      <c r="H33" s="40" t="s">
        <v>42</v>
      </c>
      <c r="I33" s="43" t="n">
        <v>0</v>
      </c>
      <c r="J33" s="43" t="n">
        <v>0</v>
      </c>
      <c r="K33" s="43" t="n">
        <v>0</v>
      </c>
      <c r="L33" s="43" t="n">
        <v>12</v>
      </c>
      <c r="M33" s="43" t="n">
        <v>0</v>
      </c>
      <c r="N33" s="43" t="n">
        <v>0</v>
      </c>
      <c r="O33" s="43" t="n">
        <v>0</v>
      </c>
      <c r="P33" s="43" t="n">
        <v>0</v>
      </c>
      <c r="Q33" s="43" t="n">
        <v>0</v>
      </c>
      <c r="R33" s="43" t="n">
        <v>0</v>
      </c>
      <c r="S33" s="43" t="n">
        <v>0</v>
      </c>
      <c r="T33" s="43" t="n">
        <v>0</v>
      </c>
      <c r="U33" s="42" t="n">
        <f aca="false">SUM(I33:T33)</f>
        <v>12</v>
      </c>
    </row>
    <row r="34" customFormat="false" ht="23.85" hidden="false" customHeight="false" outlineLevel="0" collapsed="false">
      <c r="A34" s="40" t="s">
        <v>444</v>
      </c>
      <c r="B34" s="40" t="s">
        <v>107</v>
      </c>
      <c r="C34" s="40" t="s">
        <v>37</v>
      </c>
      <c r="D34" s="40" t="s">
        <v>5</v>
      </c>
      <c r="E34" s="40" t="s">
        <v>370</v>
      </c>
      <c r="F34" s="40" t="s">
        <v>108</v>
      </c>
      <c r="G34" s="40" t="s">
        <v>445</v>
      </c>
      <c r="H34" s="40" t="s">
        <v>42</v>
      </c>
      <c r="I34" s="43" t="n">
        <v>0</v>
      </c>
      <c r="J34" s="43" t="n">
        <v>0</v>
      </c>
      <c r="K34" s="43" t="n">
        <v>8</v>
      </c>
      <c r="L34" s="43" t="n">
        <v>16</v>
      </c>
      <c r="M34" s="43" t="n">
        <v>0</v>
      </c>
      <c r="N34" s="43" t="n">
        <v>0</v>
      </c>
      <c r="O34" s="43" t="n">
        <v>0</v>
      </c>
      <c r="P34" s="43" t="n">
        <v>0</v>
      </c>
      <c r="Q34" s="43" t="n">
        <v>0</v>
      </c>
      <c r="R34" s="43" t="n">
        <v>0</v>
      </c>
      <c r="S34" s="43" t="n">
        <v>0</v>
      </c>
      <c r="T34" s="43" t="n">
        <v>0</v>
      </c>
      <c r="U34" s="42" t="n">
        <f aca="false">SUM(I34:T34)</f>
        <v>24</v>
      </c>
    </row>
    <row r="35" customFormat="false" ht="15" hidden="false" customHeight="false" outlineLevel="0" collapsed="false">
      <c r="A35" s="40" t="s">
        <v>446</v>
      </c>
      <c r="B35" s="40" t="s">
        <v>107</v>
      </c>
      <c r="C35" s="40" t="s">
        <v>37</v>
      </c>
      <c r="D35" s="40" t="s">
        <v>5</v>
      </c>
      <c r="E35" s="40" t="s">
        <v>370</v>
      </c>
      <c r="F35" s="40" t="s">
        <v>108</v>
      </c>
      <c r="G35" s="40" t="s">
        <v>447</v>
      </c>
      <c r="H35" s="40" t="s">
        <v>42</v>
      </c>
      <c r="I35" s="43" t="n">
        <v>0</v>
      </c>
      <c r="J35" s="43" t="n">
        <v>0</v>
      </c>
      <c r="K35" s="43" t="n">
        <v>8</v>
      </c>
      <c r="L35" s="43" t="n">
        <v>8</v>
      </c>
      <c r="M35" s="43" t="n">
        <v>0</v>
      </c>
      <c r="N35" s="43" t="n">
        <v>0</v>
      </c>
      <c r="O35" s="43" t="n">
        <v>0</v>
      </c>
      <c r="P35" s="43" t="n">
        <v>0</v>
      </c>
      <c r="Q35" s="43" t="n">
        <v>0</v>
      </c>
      <c r="R35" s="43" t="n">
        <v>0</v>
      </c>
      <c r="S35" s="43" t="n">
        <v>0</v>
      </c>
      <c r="T35" s="43" t="n">
        <v>0</v>
      </c>
      <c r="U35" s="42" t="n">
        <f aca="false">SUM(I35:T35)</f>
        <v>16</v>
      </c>
    </row>
    <row r="36" customFormat="false" ht="15" hidden="false" customHeight="false" outlineLevel="0" collapsed="false">
      <c r="A36" s="40" t="s">
        <v>448</v>
      </c>
      <c r="B36" s="40" t="s">
        <v>107</v>
      </c>
      <c r="C36" s="40" t="s">
        <v>37</v>
      </c>
      <c r="D36" s="40" t="s">
        <v>5</v>
      </c>
      <c r="E36" s="40" t="s">
        <v>370</v>
      </c>
      <c r="F36" s="40" t="s">
        <v>108</v>
      </c>
      <c r="G36" s="40" t="s">
        <v>449</v>
      </c>
      <c r="H36" s="40" t="s">
        <v>42</v>
      </c>
      <c r="I36" s="43" t="n">
        <v>0</v>
      </c>
      <c r="J36" s="43" t="n">
        <v>0</v>
      </c>
      <c r="K36" s="43" t="n">
        <v>4</v>
      </c>
      <c r="L36" s="43" t="n">
        <v>8</v>
      </c>
      <c r="M36" s="43" t="n">
        <v>0</v>
      </c>
      <c r="N36" s="43" t="n">
        <v>0</v>
      </c>
      <c r="O36" s="43" t="n">
        <v>0</v>
      </c>
      <c r="P36" s="43" t="n">
        <v>0</v>
      </c>
      <c r="Q36" s="43" t="n">
        <v>0</v>
      </c>
      <c r="R36" s="43" t="n">
        <v>0</v>
      </c>
      <c r="S36" s="43" t="n">
        <v>0</v>
      </c>
      <c r="T36" s="43" t="n">
        <v>0</v>
      </c>
      <c r="U36" s="42" t="n">
        <f aca="false">SUM(I36:T36)</f>
        <v>12</v>
      </c>
    </row>
    <row r="37" customFormat="false" ht="15" hidden="false" customHeight="false" outlineLevel="0" collapsed="false">
      <c r="A37" s="40" t="s">
        <v>450</v>
      </c>
      <c r="B37" s="40" t="s">
        <v>107</v>
      </c>
      <c r="C37" s="40" t="s">
        <v>37</v>
      </c>
      <c r="D37" s="40" t="s">
        <v>5</v>
      </c>
      <c r="E37" s="40" t="s">
        <v>370</v>
      </c>
      <c r="F37" s="40" t="s">
        <v>108</v>
      </c>
      <c r="G37" s="40" t="s">
        <v>407</v>
      </c>
      <c r="H37" s="40" t="s">
        <v>42</v>
      </c>
      <c r="I37" s="43" t="n">
        <v>0</v>
      </c>
      <c r="J37" s="43" t="n">
        <v>5</v>
      </c>
      <c r="K37" s="43" t="n">
        <v>0</v>
      </c>
      <c r="L37" s="43" t="n">
        <v>0</v>
      </c>
      <c r="M37" s="43" t="n">
        <v>0</v>
      </c>
      <c r="N37" s="43" t="n">
        <v>0</v>
      </c>
      <c r="O37" s="43" t="n">
        <v>0</v>
      </c>
      <c r="P37" s="43" t="n">
        <v>0</v>
      </c>
      <c r="Q37" s="43" t="n">
        <v>0</v>
      </c>
      <c r="R37" s="43" t="n">
        <v>0</v>
      </c>
      <c r="S37" s="43" t="n">
        <v>0</v>
      </c>
      <c r="T37" s="43" t="n">
        <v>0</v>
      </c>
      <c r="U37" s="42" t="n">
        <f aca="false">SUM(I37:T37)</f>
        <v>5</v>
      </c>
    </row>
    <row r="38" customFormat="false" ht="15" hidden="false" customHeight="false" outlineLevel="0" collapsed="false">
      <c r="A38" s="40" t="s">
        <v>451</v>
      </c>
      <c r="B38" s="40" t="s">
        <v>107</v>
      </c>
      <c r="C38" s="40" t="s">
        <v>37</v>
      </c>
      <c r="D38" s="40" t="s">
        <v>5</v>
      </c>
      <c r="E38" s="40" t="s">
        <v>370</v>
      </c>
      <c r="F38" s="40" t="s">
        <v>108</v>
      </c>
      <c r="G38" s="40" t="s">
        <v>411</v>
      </c>
      <c r="H38" s="40" t="s">
        <v>42</v>
      </c>
      <c r="I38" s="43" t="n">
        <v>0</v>
      </c>
      <c r="J38" s="43" t="n">
        <v>0</v>
      </c>
      <c r="K38" s="43" t="n">
        <v>0</v>
      </c>
      <c r="L38" s="43" t="n">
        <v>3</v>
      </c>
      <c r="M38" s="43" t="n">
        <v>0</v>
      </c>
      <c r="N38" s="43" t="n">
        <v>0</v>
      </c>
      <c r="O38" s="43" t="n">
        <v>0</v>
      </c>
      <c r="P38" s="43" t="n">
        <v>0</v>
      </c>
      <c r="Q38" s="43" t="n">
        <v>0</v>
      </c>
      <c r="R38" s="43" t="n">
        <v>0</v>
      </c>
      <c r="S38" s="43" t="n">
        <v>0</v>
      </c>
      <c r="T38" s="43" t="n">
        <v>0</v>
      </c>
      <c r="U38" s="42" t="n">
        <f aca="false">SUM(I38:T38)</f>
        <v>3</v>
      </c>
    </row>
    <row r="39" customFormat="false" ht="15" hidden="false" customHeight="false" outlineLevel="0" collapsed="false">
      <c r="A39" s="40" t="s">
        <v>452</v>
      </c>
      <c r="B39" s="40" t="s">
        <v>110</v>
      </c>
      <c r="C39" s="40" t="s">
        <v>37</v>
      </c>
      <c r="D39" s="40" t="s">
        <v>5</v>
      </c>
      <c r="E39" s="40" t="s">
        <v>370</v>
      </c>
      <c r="F39" s="40" t="s">
        <v>111</v>
      </c>
      <c r="G39" s="40" t="s">
        <v>453</v>
      </c>
      <c r="H39" s="40" t="s">
        <v>42</v>
      </c>
      <c r="I39" s="43" t="n">
        <v>0</v>
      </c>
      <c r="J39" s="43" t="n">
        <v>20</v>
      </c>
      <c r="K39" s="43" t="n">
        <v>0</v>
      </c>
      <c r="L39" s="43" t="n">
        <v>0</v>
      </c>
      <c r="M39" s="43" t="n">
        <v>0</v>
      </c>
      <c r="N39" s="43" t="n">
        <v>0</v>
      </c>
      <c r="O39" s="43" t="n">
        <v>0</v>
      </c>
      <c r="P39" s="43" t="n">
        <v>0</v>
      </c>
      <c r="Q39" s="43" t="n">
        <v>0</v>
      </c>
      <c r="R39" s="43" t="n">
        <v>0</v>
      </c>
      <c r="S39" s="43" t="n">
        <v>0</v>
      </c>
      <c r="T39" s="43" t="n">
        <v>0</v>
      </c>
      <c r="U39" s="42" t="n">
        <f aca="false">SUM(I39:T39)</f>
        <v>20</v>
      </c>
    </row>
    <row r="40" customFormat="false" ht="15" hidden="false" customHeight="false" outlineLevel="0" collapsed="false">
      <c r="A40" s="40" t="s">
        <v>454</v>
      </c>
      <c r="B40" s="40" t="s">
        <v>110</v>
      </c>
      <c r="C40" s="40" t="s">
        <v>37</v>
      </c>
      <c r="D40" s="40" t="s">
        <v>5</v>
      </c>
      <c r="E40" s="40" t="s">
        <v>370</v>
      </c>
      <c r="F40" s="40" t="s">
        <v>111</v>
      </c>
      <c r="G40" s="40" t="s">
        <v>455</v>
      </c>
      <c r="H40" s="40" t="s">
        <v>42</v>
      </c>
      <c r="I40" s="43" t="n">
        <v>0</v>
      </c>
      <c r="J40" s="43" t="n">
        <v>0</v>
      </c>
      <c r="K40" s="43" t="n">
        <v>20</v>
      </c>
      <c r="L40" s="43" t="n">
        <v>10</v>
      </c>
      <c r="M40" s="43" t="n">
        <v>0</v>
      </c>
      <c r="N40" s="43" t="n">
        <v>0</v>
      </c>
      <c r="O40" s="43" t="n">
        <v>0</v>
      </c>
      <c r="P40" s="43" t="n">
        <v>0</v>
      </c>
      <c r="Q40" s="43" t="n">
        <v>0</v>
      </c>
      <c r="R40" s="43" t="n">
        <v>0</v>
      </c>
      <c r="S40" s="43" t="n">
        <v>0</v>
      </c>
      <c r="T40" s="43" t="n">
        <v>0</v>
      </c>
      <c r="U40" s="42" t="n">
        <f aca="false">SUM(I40:T40)</f>
        <v>30</v>
      </c>
    </row>
    <row r="41" customFormat="false" ht="15" hidden="false" customHeight="false" outlineLevel="0" collapsed="false">
      <c r="A41" s="40" t="s">
        <v>456</v>
      </c>
      <c r="B41" s="40" t="s">
        <v>110</v>
      </c>
      <c r="C41" s="40" t="s">
        <v>37</v>
      </c>
      <c r="D41" s="40" t="s">
        <v>5</v>
      </c>
      <c r="E41" s="40" t="s">
        <v>370</v>
      </c>
      <c r="F41" s="40" t="s">
        <v>111</v>
      </c>
      <c r="G41" s="40" t="s">
        <v>457</v>
      </c>
      <c r="H41" s="40" t="s">
        <v>42</v>
      </c>
      <c r="I41" s="43" t="n">
        <v>0</v>
      </c>
      <c r="J41" s="43" t="n">
        <v>0</v>
      </c>
      <c r="K41" s="43" t="n">
        <v>31</v>
      </c>
      <c r="L41" s="43" t="n">
        <v>0</v>
      </c>
      <c r="M41" s="43" t="n">
        <v>0</v>
      </c>
      <c r="N41" s="43" t="n">
        <v>0</v>
      </c>
      <c r="O41" s="43" t="n">
        <v>0</v>
      </c>
      <c r="P41" s="43" t="n">
        <v>0</v>
      </c>
      <c r="Q41" s="43" t="n">
        <v>0</v>
      </c>
      <c r="R41" s="43" t="n">
        <v>0</v>
      </c>
      <c r="S41" s="43" t="n">
        <v>0</v>
      </c>
      <c r="T41" s="43" t="n">
        <v>0</v>
      </c>
      <c r="U41" s="42" t="n">
        <f aca="false">SUM(I41:T41)</f>
        <v>31</v>
      </c>
    </row>
    <row r="42" customFormat="false" ht="15" hidden="false" customHeight="false" outlineLevel="0" collapsed="false">
      <c r="A42" s="40" t="s">
        <v>458</v>
      </c>
      <c r="B42" s="40" t="s">
        <v>110</v>
      </c>
      <c r="C42" s="40" t="s">
        <v>37</v>
      </c>
      <c r="D42" s="40" t="s">
        <v>5</v>
      </c>
      <c r="E42" s="40" t="s">
        <v>370</v>
      </c>
      <c r="F42" s="40" t="s">
        <v>111</v>
      </c>
      <c r="G42" s="40" t="s">
        <v>459</v>
      </c>
      <c r="H42" s="40" t="s">
        <v>42</v>
      </c>
      <c r="I42" s="43" t="n">
        <v>0</v>
      </c>
      <c r="J42" s="43" t="n">
        <v>0</v>
      </c>
      <c r="K42" s="43" t="n">
        <v>26</v>
      </c>
      <c r="L42" s="43" t="n">
        <v>10</v>
      </c>
      <c r="M42" s="43" t="n">
        <v>0</v>
      </c>
      <c r="N42" s="43" t="n">
        <v>0</v>
      </c>
      <c r="O42" s="43" t="n">
        <v>0</v>
      </c>
      <c r="P42" s="43" t="n">
        <v>0</v>
      </c>
      <c r="Q42" s="43" t="n">
        <v>0</v>
      </c>
      <c r="R42" s="43" t="n">
        <v>0</v>
      </c>
      <c r="S42" s="43" t="n">
        <v>0</v>
      </c>
      <c r="T42" s="43" t="n">
        <v>0</v>
      </c>
      <c r="U42" s="42" t="n">
        <f aca="false">SUM(I42:T42)</f>
        <v>36</v>
      </c>
    </row>
    <row r="43" customFormat="false" ht="15" hidden="false" customHeight="false" outlineLevel="0" collapsed="false">
      <c r="A43" s="40" t="s">
        <v>460</v>
      </c>
      <c r="B43" s="40" t="s">
        <v>110</v>
      </c>
      <c r="C43" s="40" t="s">
        <v>37</v>
      </c>
      <c r="D43" s="40" t="s">
        <v>5</v>
      </c>
      <c r="E43" s="40" t="s">
        <v>370</v>
      </c>
      <c r="F43" s="40" t="s">
        <v>111</v>
      </c>
      <c r="G43" s="40" t="s">
        <v>461</v>
      </c>
      <c r="H43" s="40" t="s">
        <v>42</v>
      </c>
      <c r="I43" s="43" t="n">
        <v>0</v>
      </c>
      <c r="J43" s="43" t="n">
        <v>10</v>
      </c>
      <c r="K43" s="43" t="n">
        <v>26</v>
      </c>
      <c r="L43" s="43" t="n">
        <v>0</v>
      </c>
      <c r="M43" s="43" t="n">
        <v>0</v>
      </c>
      <c r="N43" s="43" t="n">
        <v>0</v>
      </c>
      <c r="O43" s="43" t="n">
        <v>0</v>
      </c>
      <c r="P43" s="43" t="n">
        <v>0</v>
      </c>
      <c r="Q43" s="43" t="n">
        <v>0</v>
      </c>
      <c r="R43" s="43" t="n">
        <v>0</v>
      </c>
      <c r="S43" s="43" t="n">
        <v>0</v>
      </c>
      <c r="T43" s="43" t="n">
        <v>0</v>
      </c>
      <c r="U43" s="42" t="n">
        <f aca="false">SUM(I43:T43)</f>
        <v>36</v>
      </c>
    </row>
    <row r="44" customFormat="false" ht="15" hidden="false" customHeight="false" outlineLevel="0" collapsed="false">
      <c r="A44" s="40" t="s">
        <v>462</v>
      </c>
      <c r="B44" s="40" t="s">
        <v>110</v>
      </c>
      <c r="C44" s="40" t="s">
        <v>37</v>
      </c>
      <c r="D44" s="40" t="s">
        <v>5</v>
      </c>
      <c r="E44" s="40" t="s">
        <v>370</v>
      </c>
      <c r="F44" s="40" t="s">
        <v>111</v>
      </c>
      <c r="G44" s="40" t="s">
        <v>463</v>
      </c>
      <c r="H44" s="40" t="s">
        <v>42</v>
      </c>
      <c r="I44" s="43" t="n">
        <v>0</v>
      </c>
      <c r="J44" s="43" t="n">
        <v>0</v>
      </c>
      <c r="K44" s="43" t="n">
        <v>0</v>
      </c>
      <c r="L44" s="43" t="n">
        <v>0</v>
      </c>
      <c r="M44" s="43" t="n">
        <v>0</v>
      </c>
      <c r="N44" s="43" t="n">
        <v>0</v>
      </c>
      <c r="O44" s="43" t="n">
        <v>0</v>
      </c>
      <c r="P44" s="43" t="n">
        <v>0</v>
      </c>
      <c r="Q44" s="43" t="n">
        <v>0</v>
      </c>
      <c r="R44" s="43" t="n">
        <v>0</v>
      </c>
      <c r="S44" s="43" t="n">
        <v>20</v>
      </c>
      <c r="T44" s="43" t="n">
        <v>0</v>
      </c>
      <c r="U44" s="42" t="n">
        <f aca="false">SUM(I44:T44)</f>
        <v>20</v>
      </c>
    </row>
    <row r="45" customFormat="false" ht="15" hidden="false" customHeight="false" outlineLevel="0" collapsed="false">
      <c r="A45" s="40" t="s">
        <v>464</v>
      </c>
      <c r="B45" s="40" t="s">
        <v>110</v>
      </c>
      <c r="C45" s="40" t="s">
        <v>37</v>
      </c>
      <c r="D45" s="40" t="s">
        <v>5</v>
      </c>
      <c r="E45" s="40" t="s">
        <v>370</v>
      </c>
      <c r="F45" s="40" t="s">
        <v>111</v>
      </c>
      <c r="G45" s="40" t="s">
        <v>407</v>
      </c>
      <c r="H45" s="40" t="s">
        <v>42</v>
      </c>
      <c r="I45" s="43" t="n">
        <v>0</v>
      </c>
      <c r="J45" s="43" t="n">
        <v>10</v>
      </c>
      <c r="K45" s="43" t="n">
        <v>0</v>
      </c>
      <c r="L45" s="43" t="n">
        <v>0</v>
      </c>
      <c r="M45" s="43" t="n">
        <v>0</v>
      </c>
      <c r="N45" s="43" t="n">
        <v>0</v>
      </c>
      <c r="O45" s="43" t="n">
        <v>0</v>
      </c>
      <c r="P45" s="43" t="n">
        <v>0</v>
      </c>
      <c r="Q45" s="43" t="n">
        <v>0</v>
      </c>
      <c r="R45" s="43" t="n">
        <v>0</v>
      </c>
      <c r="S45" s="43" t="n">
        <v>0</v>
      </c>
      <c r="T45" s="43" t="n">
        <v>0</v>
      </c>
      <c r="U45" s="42" t="n">
        <f aca="false">SUM(I45:T45)</f>
        <v>10</v>
      </c>
    </row>
    <row r="46" customFormat="false" ht="15" hidden="false" customHeight="false" outlineLevel="0" collapsed="false">
      <c r="A46" s="40" t="s">
        <v>465</v>
      </c>
      <c r="B46" s="40" t="s">
        <v>110</v>
      </c>
      <c r="C46" s="40" t="s">
        <v>37</v>
      </c>
      <c r="D46" s="40" t="s">
        <v>5</v>
      </c>
      <c r="E46" s="40" t="s">
        <v>370</v>
      </c>
      <c r="F46" s="40" t="s">
        <v>111</v>
      </c>
      <c r="G46" s="40" t="s">
        <v>409</v>
      </c>
      <c r="H46" s="40" t="s">
        <v>42</v>
      </c>
      <c r="I46" s="43" t="n">
        <v>0</v>
      </c>
      <c r="J46" s="43" t="n">
        <v>0</v>
      </c>
      <c r="K46" s="43" t="n">
        <v>7</v>
      </c>
      <c r="L46" s="43" t="n">
        <v>0</v>
      </c>
      <c r="M46" s="43" t="n">
        <v>0</v>
      </c>
      <c r="N46" s="43" t="n">
        <v>0</v>
      </c>
      <c r="O46" s="43" t="n">
        <v>0</v>
      </c>
      <c r="P46" s="43" t="n">
        <v>0</v>
      </c>
      <c r="Q46" s="43" t="n">
        <v>0</v>
      </c>
      <c r="R46" s="43" t="n">
        <v>0</v>
      </c>
      <c r="S46" s="43" t="n">
        <v>0</v>
      </c>
      <c r="T46" s="43" t="n">
        <v>0</v>
      </c>
      <c r="U46" s="42" t="n">
        <f aca="false">SUM(I46:T46)</f>
        <v>7</v>
      </c>
    </row>
    <row r="47" customFormat="false" ht="15" hidden="false" customHeight="false" outlineLevel="0" collapsed="false">
      <c r="A47" s="40" t="s">
        <v>466</v>
      </c>
      <c r="B47" s="40" t="s">
        <v>110</v>
      </c>
      <c r="C47" s="40" t="s">
        <v>37</v>
      </c>
      <c r="D47" s="40" t="s">
        <v>5</v>
      </c>
      <c r="E47" s="40" t="s">
        <v>370</v>
      </c>
      <c r="F47" s="40" t="s">
        <v>111</v>
      </c>
      <c r="G47" s="40" t="s">
        <v>411</v>
      </c>
      <c r="H47" s="40" t="s">
        <v>42</v>
      </c>
      <c r="I47" s="43" t="n">
        <v>0</v>
      </c>
      <c r="J47" s="43" t="n">
        <v>0</v>
      </c>
      <c r="K47" s="43" t="n">
        <v>7</v>
      </c>
      <c r="L47" s="43" t="n">
        <v>0</v>
      </c>
      <c r="M47" s="43" t="n">
        <v>0</v>
      </c>
      <c r="N47" s="43" t="n">
        <v>0</v>
      </c>
      <c r="O47" s="43" t="n">
        <v>0</v>
      </c>
      <c r="P47" s="43" t="n">
        <v>0</v>
      </c>
      <c r="Q47" s="43" t="n">
        <v>0</v>
      </c>
      <c r="R47" s="43" t="n">
        <v>0</v>
      </c>
      <c r="S47" s="43" t="n">
        <v>0</v>
      </c>
      <c r="T47" s="43" t="n">
        <v>0</v>
      </c>
      <c r="U47" s="42" t="n">
        <f aca="false">SUM(I47:T47)</f>
        <v>7</v>
      </c>
    </row>
    <row r="48" customFormat="false" ht="15" hidden="false" customHeight="false" outlineLevel="0" collapsed="false">
      <c r="A48" s="40" t="s">
        <v>467</v>
      </c>
      <c r="B48" s="40" t="s">
        <v>110</v>
      </c>
      <c r="C48" s="40" t="s">
        <v>37</v>
      </c>
      <c r="D48" s="40" t="s">
        <v>5</v>
      </c>
      <c r="E48" s="40" t="s">
        <v>370</v>
      </c>
      <c r="F48" s="40" t="s">
        <v>111</v>
      </c>
      <c r="G48" s="40" t="s">
        <v>413</v>
      </c>
      <c r="H48" s="40" t="s">
        <v>42</v>
      </c>
      <c r="I48" s="43" t="n">
        <v>0</v>
      </c>
      <c r="J48" s="43" t="n">
        <v>0</v>
      </c>
      <c r="K48" s="43" t="n">
        <v>14</v>
      </c>
      <c r="L48" s="43" t="n">
        <v>0</v>
      </c>
      <c r="M48" s="43" t="n">
        <v>0</v>
      </c>
      <c r="N48" s="43" t="n">
        <v>0</v>
      </c>
      <c r="O48" s="43" t="n">
        <v>0</v>
      </c>
      <c r="P48" s="43" t="n">
        <v>0</v>
      </c>
      <c r="Q48" s="43" t="n">
        <v>0</v>
      </c>
      <c r="R48" s="43" t="n">
        <v>0</v>
      </c>
      <c r="S48" s="43" t="n">
        <v>0</v>
      </c>
      <c r="T48" s="43" t="n">
        <v>0</v>
      </c>
      <c r="U48" s="42" t="n">
        <f aca="false">SUM(I48:T48)</f>
        <v>14</v>
      </c>
    </row>
    <row r="49" customFormat="false" ht="23.85" hidden="false" customHeight="false" outlineLevel="0" collapsed="false">
      <c r="A49" s="40" t="s">
        <v>468</v>
      </c>
      <c r="B49" s="40" t="s">
        <v>113</v>
      </c>
      <c r="C49" s="40" t="s">
        <v>37</v>
      </c>
      <c r="D49" s="40" t="s">
        <v>5</v>
      </c>
      <c r="E49" s="40" t="s">
        <v>370</v>
      </c>
      <c r="F49" s="40" t="s">
        <v>114</v>
      </c>
      <c r="G49" s="40" t="s">
        <v>469</v>
      </c>
      <c r="H49" s="40" t="s">
        <v>42</v>
      </c>
      <c r="I49" s="43" t="n">
        <v>0</v>
      </c>
      <c r="J49" s="43" t="n">
        <v>15</v>
      </c>
      <c r="K49" s="43" t="n">
        <v>10</v>
      </c>
      <c r="L49" s="43" t="n">
        <v>0</v>
      </c>
      <c r="M49" s="43" t="n">
        <v>0</v>
      </c>
      <c r="N49" s="43" t="n">
        <v>0</v>
      </c>
      <c r="O49" s="43" t="n">
        <v>0</v>
      </c>
      <c r="P49" s="43" t="n">
        <v>0</v>
      </c>
      <c r="Q49" s="43" t="n">
        <v>0</v>
      </c>
      <c r="R49" s="43" t="n">
        <v>0</v>
      </c>
      <c r="S49" s="43" t="n">
        <v>0</v>
      </c>
      <c r="T49" s="43" t="n">
        <v>0</v>
      </c>
      <c r="U49" s="42" t="n">
        <f aca="false">SUM(I49:T49)</f>
        <v>25</v>
      </c>
    </row>
    <row r="50" customFormat="false" ht="23.85" hidden="false" customHeight="false" outlineLevel="0" collapsed="false">
      <c r="A50" s="40" t="s">
        <v>470</v>
      </c>
      <c r="B50" s="40" t="s">
        <v>113</v>
      </c>
      <c r="C50" s="40" t="s">
        <v>37</v>
      </c>
      <c r="D50" s="40" t="s">
        <v>5</v>
      </c>
      <c r="E50" s="40" t="s">
        <v>370</v>
      </c>
      <c r="F50" s="40" t="s">
        <v>114</v>
      </c>
      <c r="G50" s="40" t="s">
        <v>471</v>
      </c>
      <c r="H50" s="40" t="s">
        <v>42</v>
      </c>
      <c r="I50" s="43" t="n">
        <v>0</v>
      </c>
      <c r="J50" s="43" t="n">
        <v>0</v>
      </c>
      <c r="K50" s="43" t="n">
        <v>26</v>
      </c>
      <c r="L50" s="43" t="n">
        <v>0</v>
      </c>
      <c r="M50" s="43" t="n">
        <v>0</v>
      </c>
      <c r="N50" s="43" t="n">
        <v>0</v>
      </c>
      <c r="O50" s="43" t="n">
        <v>0</v>
      </c>
      <c r="P50" s="43" t="n">
        <v>0</v>
      </c>
      <c r="Q50" s="43" t="n">
        <v>0</v>
      </c>
      <c r="R50" s="43" t="n">
        <v>0</v>
      </c>
      <c r="S50" s="43" t="n">
        <v>0</v>
      </c>
      <c r="T50" s="43" t="n">
        <v>0</v>
      </c>
      <c r="U50" s="42" t="n">
        <f aca="false">SUM(I50:T50)</f>
        <v>26</v>
      </c>
    </row>
    <row r="51" customFormat="false" ht="23.85" hidden="false" customHeight="false" outlineLevel="0" collapsed="false">
      <c r="A51" s="40" t="s">
        <v>472</v>
      </c>
      <c r="B51" s="40" t="s">
        <v>113</v>
      </c>
      <c r="C51" s="40" t="s">
        <v>37</v>
      </c>
      <c r="D51" s="40" t="s">
        <v>5</v>
      </c>
      <c r="E51" s="40" t="s">
        <v>370</v>
      </c>
      <c r="F51" s="40" t="s">
        <v>114</v>
      </c>
      <c r="G51" s="40" t="s">
        <v>473</v>
      </c>
      <c r="H51" s="40" t="s">
        <v>42</v>
      </c>
      <c r="I51" s="43" t="n">
        <v>0</v>
      </c>
      <c r="J51" s="43" t="n">
        <v>0</v>
      </c>
      <c r="K51" s="43" t="n">
        <v>81</v>
      </c>
      <c r="L51" s="43" t="n">
        <v>0</v>
      </c>
      <c r="M51" s="43" t="n">
        <v>0</v>
      </c>
      <c r="N51" s="43" t="n">
        <v>0</v>
      </c>
      <c r="O51" s="43" t="n">
        <v>0</v>
      </c>
      <c r="P51" s="43" t="n">
        <v>0</v>
      </c>
      <c r="Q51" s="43" t="n">
        <v>0</v>
      </c>
      <c r="R51" s="43" t="n">
        <v>0</v>
      </c>
      <c r="S51" s="43" t="n">
        <v>0</v>
      </c>
      <c r="T51" s="43" t="n">
        <v>0</v>
      </c>
      <c r="U51" s="42" t="n">
        <f aca="false">SUM(I51:T51)</f>
        <v>81</v>
      </c>
    </row>
    <row r="52" customFormat="false" ht="23.85" hidden="false" customHeight="false" outlineLevel="0" collapsed="false">
      <c r="A52" s="40" t="s">
        <v>474</v>
      </c>
      <c r="B52" s="40" t="s">
        <v>113</v>
      </c>
      <c r="C52" s="40" t="s">
        <v>37</v>
      </c>
      <c r="D52" s="40" t="s">
        <v>5</v>
      </c>
      <c r="E52" s="40" t="s">
        <v>370</v>
      </c>
      <c r="F52" s="40" t="s">
        <v>114</v>
      </c>
      <c r="G52" s="40" t="s">
        <v>475</v>
      </c>
      <c r="H52" s="40" t="s">
        <v>42</v>
      </c>
      <c r="I52" s="43" t="n">
        <v>0</v>
      </c>
      <c r="J52" s="43" t="n">
        <v>0</v>
      </c>
      <c r="K52" s="43" t="n">
        <v>41</v>
      </c>
      <c r="L52" s="43" t="n">
        <v>0</v>
      </c>
      <c r="M52" s="43" t="n">
        <v>0</v>
      </c>
      <c r="N52" s="43" t="n">
        <v>0</v>
      </c>
      <c r="O52" s="43" t="n">
        <v>0</v>
      </c>
      <c r="P52" s="43" t="n">
        <v>0</v>
      </c>
      <c r="Q52" s="43" t="n">
        <v>0</v>
      </c>
      <c r="R52" s="43" t="n">
        <v>0</v>
      </c>
      <c r="S52" s="43" t="n">
        <v>0</v>
      </c>
      <c r="T52" s="43" t="n">
        <v>0</v>
      </c>
      <c r="U52" s="42" t="n">
        <f aca="false">SUM(I52:T52)</f>
        <v>41</v>
      </c>
    </row>
    <row r="53" customFormat="false" ht="23.85" hidden="false" customHeight="false" outlineLevel="0" collapsed="false">
      <c r="A53" s="40" t="s">
        <v>476</v>
      </c>
      <c r="B53" s="40" t="s">
        <v>113</v>
      </c>
      <c r="C53" s="40" t="s">
        <v>37</v>
      </c>
      <c r="D53" s="40" t="s">
        <v>5</v>
      </c>
      <c r="E53" s="40" t="s">
        <v>370</v>
      </c>
      <c r="F53" s="40" t="s">
        <v>114</v>
      </c>
      <c r="G53" s="40" t="s">
        <v>477</v>
      </c>
      <c r="H53" s="40" t="s">
        <v>42</v>
      </c>
      <c r="I53" s="43" t="n">
        <v>0</v>
      </c>
      <c r="J53" s="43" t="n">
        <v>5</v>
      </c>
      <c r="K53" s="43" t="n">
        <v>20</v>
      </c>
      <c r="L53" s="43" t="n">
        <v>0</v>
      </c>
      <c r="M53" s="43" t="n">
        <v>0</v>
      </c>
      <c r="N53" s="43" t="n">
        <v>0</v>
      </c>
      <c r="O53" s="43" t="n">
        <v>0</v>
      </c>
      <c r="P53" s="43" t="n">
        <v>0</v>
      </c>
      <c r="Q53" s="43" t="n">
        <v>0</v>
      </c>
      <c r="R53" s="43" t="n">
        <v>0</v>
      </c>
      <c r="S53" s="43" t="n">
        <v>0</v>
      </c>
      <c r="T53" s="43" t="n">
        <v>0</v>
      </c>
      <c r="U53" s="42" t="n">
        <f aca="false">SUM(I53:T53)</f>
        <v>25</v>
      </c>
    </row>
    <row r="54" customFormat="false" ht="23.85" hidden="false" customHeight="false" outlineLevel="0" collapsed="false">
      <c r="A54" s="40" t="s">
        <v>478</v>
      </c>
      <c r="B54" s="40" t="s">
        <v>113</v>
      </c>
      <c r="C54" s="40" t="s">
        <v>37</v>
      </c>
      <c r="D54" s="40" t="s">
        <v>5</v>
      </c>
      <c r="E54" s="40" t="s">
        <v>370</v>
      </c>
      <c r="F54" s="40" t="s">
        <v>114</v>
      </c>
      <c r="G54" s="40" t="s">
        <v>479</v>
      </c>
      <c r="H54" s="40" t="s">
        <v>42</v>
      </c>
      <c r="I54" s="43" t="n">
        <v>0</v>
      </c>
      <c r="J54" s="43" t="n">
        <v>0</v>
      </c>
      <c r="K54" s="43" t="n">
        <v>26</v>
      </c>
      <c r="L54" s="43" t="n">
        <v>0</v>
      </c>
      <c r="M54" s="43" t="n">
        <v>0</v>
      </c>
      <c r="N54" s="43" t="n">
        <v>0</v>
      </c>
      <c r="O54" s="43" t="n">
        <v>0</v>
      </c>
      <c r="P54" s="43" t="n">
        <v>0</v>
      </c>
      <c r="Q54" s="43" t="n">
        <v>0</v>
      </c>
      <c r="R54" s="43" t="n">
        <v>0</v>
      </c>
      <c r="S54" s="43" t="n">
        <v>0</v>
      </c>
      <c r="T54" s="43" t="n">
        <v>0</v>
      </c>
      <c r="U54" s="42" t="n">
        <f aca="false">SUM(I54:T54)</f>
        <v>26</v>
      </c>
    </row>
    <row r="55" customFormat="false" ht="23.85" hidden="false" customHeight="false" outlineLevel="0" collapsed="false">
      <c r="A55" s="40" t="s">
        <v>480</v>
      </c>
      <c r="B55" s="40" t="s">
        <v>113</v>
      </c>
      <c r="C55" s="40" t="s">
        <v>37</v>
      </c>
      <c r="D55" s="40" t="s">
        <v>5</v>
      </c>
      <c r="E55" s="40" t="s">
        <v>370</v>
      </c>
      <c r="F55" s="40" t="s">
        <v>114</v>
      </c>
      <c r="G55" s="40" t="s">
        <v>481</v>
      </c>
      <c r="H55" s="40" t="s">
        <v>42</v>
      </c>
      <c r="I55" s="43" t="n">
        <v>0</v>
      </c>
      <c r="J55" s="43" t="n">
        <v>0</v>
      </c>
      <c r="K55" s="43" t="n">
        <v>0</v>
      </c>
      <c r="L55" s="43" t="n">
        <v>0</v>
      </c>
      <c r="M55" s="43" t="n">
        <v>0</v>
      </c>
      <c r="N55" s="43" t="n">
        <v>0</v>
      </c>
      <c r="O55" s="43" t="n">
        <v>0</v>
      </c>
      <c r="P55" s="43" t="n">
        <v>0</v>
      </c>
      <c r="Q55" s="43" t="n">
        <v>0</v>
      </c>
      <c r="R55" s="43" t="n">
        <v>0</v>
      </c>
      <c r="S55" s="43" t="n">
        <v>20</v>
      </c>
      <c r="T55" s="43" t="n">
        <v>0</v>
      </c>
      <c r="U55" s="42" t="n">
        <f aca="false">SUM(I55:T55)</f>
        <v>20</v>
      </c>
    </row>
    <row r="56" customFormat="false" ht="23.85" hidden="false" customHeight="false" outlineLevel="0" collapsed="false">
      <c r="A56" s="40" t="s">
        <v>482</v>
      </c>
      <c r="B56" s="40" t="s">
        <v>113</v>
      </c>
      <c r="C56" s="40" t="s">
        <v>37</v>
      </c>
      <c r="D56" s="40" t="s">
        <v>5</v>
      </c>
      <c r="E56" s="40" t="s">
        <v>370</v>
      </c>
      <c r="F56" s="40" t="s">
        <v>114</v>
      </c>
      <c r="G56" s="40" t="s">
        <v>407</v>
      </c>
      <c r="H56" s="40" t="s">
        <v>42</v>
      </c>
      <c r="I56" s="43" t="n">
        <v>0</v>
      </c>
      <c r="J56" s="43" t="n">
        <v>15</v>
      </c>
      <c r="K56" s="43" t="n">
        <v>0</v>
      </c>
      <c r="L56" s="43" t="n">
        <v>0</v>
      </c>
      <c r="M56" s="43" t="n">
        <v>0</v>
      </c>
      <c r="N56" s="43" t="n">
        <v>0</v>
      </c>
      <c r="O56" s="43" t="n">
        <v>0</v>
      </c>
      <c r="P56" s="43" t="n">
        <v>0</v>
      </c>
      <c r="Q56" s="43" t="n">
        <v>0</v>
      </c>
      <c r="R56" s="43" t="n">
        <v>0</v>
      </c>
      <c r="S56" s="43" t="n">
        <v>0</v>
      </c>
      <c r="T56" s="43" t="n">
        <v>0</v>
      </c>
      <c r="U56" s="42" t="n">
        <f aca="false">SUM(I56:T56)</f>
        <v>15</v>
      </c>
    </row>
    <row r="57" customFormat="false" ht="23.85" hidden="false" customHeight="false" outlineLevel="0" collapsed="false">
      <c r="A57" s="40" t="s">
        <v>483</v>
      </c>
      <c r="B57" s="40" t="s">
        <v>113</v>
      </c>
      <c r="C57" s="40" t="s">
        <v>37</v>
      </c>
      <c r="D57" s="40" t="s">
        <v>5</v>
      </c>
      <c r="E57" s="40" t="s">
        <v>370</v>
      </c>
      <c r="F57" s="40" t="s">
        <v>114</v>
      </c>
      <c r="G57" s="40" t="s">
        <v>409</v>
      </c>
      <c r="H57" s="40" t="s">
        <v>42</v>
      </c>
      <c r="I57" s="43" t="n">
        <v>0</v>
      </c>
      <c r="J57" s="43" t="n">
        <v>0</v>
      </c>
      <c r="K57" s="43" t="n">
        <v>10</v>
      </c>
      <c r="L57" s="43" t="n">
        <v>0</v>
      </c>
      <c r="M57" s="43" t="n">
        <v>0</v>
      </c>
      <c r="N57" s="43" t="n">
        <v>0</v>
      </c>
      <c r="O57" s="43" t="n">
        <v>0</v>
      </c>
      <c r="P57" s="43" t="n">
        <v>0</v>
      </c>
      <c r="Q57" s="43" t="n">
        <v>0</v>
      </c>
      <c r="R57" s="43" t="n">
        <v>0</v>
      </c>
      <c r="S57" s="43" t="n">
        <v>0</v>
      </c>
      <c r="T57" s="43" t="n">
        <v>0</v>
      </c>
      <c r="U57" s="42" t="n">
        <f aca="false">SUM(I57:T57)</f>
        <v>10</v>
      </c>
    </row>
    <row r="58" customFormat="false" ht="23.85" hidden="false" customHeight="false" outlineLevel="0" collapsed="false">
      <c r="A58" s="40" t="s">
        <v>484</v>
      </c>
      <c r="B58" s="40" t="s">
        <v>113</v>
      </c>
      <c r="C58" s="40" t="s">
        <v>37</v>
      </c>
      <c r="D58" s="40" t="s">
        <v>5</v>
      </c>
      <c r="E58" s="40" t="s">
        <v>370</v>
      </c>
      <c r="F58" s="40" t="s">
        <v>114</v>
      </c>
      <c r="G58" s="40" t="s">
        <v>411</v>
      </c>
      <c r="H58" s="40" t="s">
        <v>42</v>
      </c>
      <c r="I58" s="43" t="n">
        <v>0</v>
      </c>
      <c r="J58" s="43" t="n">
        <v>0</v>
      </c>
      <c r="K58" s="43" t="n">
        <v>10</v>
      </c>
      <c r="L58" s="43" t="n">
        <v>0</v>
      </c>
      <c r="M58" s="43" t="n">
        <v>0</v>
      </c>
      <c r="N58" s="43" t="n">
        <v>0</v>
      </c>
      <c r="O58" s="43" t="n">
        <v>0</v>
      </c>
      <c r="P58" s="43" t="n">
        <v>0</v>
      </c>
      <c r="Q58" s="43" t="n">
        <v>0</v>
      </c>
      <c r="R58" s="43" t="n">
        <v>0</v>
      </c>
      <c r="S58" s="43" t="n">
        <v>0</v>
      </c>
      <c r="T58" s="43" t="n">
        <v>0</v>
      </c>
      <c r="U58" s="42" t="n">
        <f aca="false">SUM(I58:T58)</f>
        <v>10</v>
      </c>
    </row>
    <row r="59" customFormat="false" ht="23.85" hidden="false" customHeight="false" outlineLevel="0" collapsed="false">
      <c r="A59" s="40" t="s">
        <v>485</v>
      </c>
      <c r="B59" s="40" t="s">
        <v>113</v>
      </c>
      <c r="C59" s="40" t="s">
        <v>37</v>
      </c>
      <c r="D59" s="40" t="s">
        <v>5</v>
      </c>
      <c r="E59" s="40" t="s">
        <v>370</v>
      </c>
      <c r="F59" s="40" t="s">
        <v>114</v>
      </c>
      <c r="G59" s="40" t="s">
        <v>413</v>
      </c>
      <c r="H59" s="40" t="s">
        <v>42</v>
      </c>
      <c r="I59" s="43" t="n">
        <v>0</v>
      </c>
      <c r="J59" s="43" t="n">
        <v>0</v>
      </c>
      <c r="K59" s="43" t="n">
        <v>20</v>
      </c>
      <c r="L59" s="43" t="n">
        <v>0</v>
      </c>
      <c r="M59" s="43" t="n">
        <v>0</v>
      </c>
      <c r="N59" s="43" t="n">
        <v>0</v>
      </c>
      <c r="O59" s="43" t="n">
        <v>0</v>
      </c>
      <c r="P59" s="43" t="n">
        <v>0</v>
      </c>
      <c r="Q59" s="43" t="n">
        <v>0</v>
      </c>
      <c r="R59" s="43" t="n">
        <v>0</v>
      </c>
      <c r="S59" s="43" t="n">
        <v>0</v>
      </c>
      <c r="T59" s="43" t="n">
        <v>0</v>
      </c>
      <c r="U59" s="42" t="n">
        <f aca="false">SUM(I59:T59)</f>
        <v>20</v>
      </c>
    </row>
    <row r="60" customFormat="false" ht="23.85" hidden="false" customHeight="false" outlineLevel="0" collapsed="false">
      <c r="A60" s="40" t="s">
        <v>486</v>
      </c>
      <c r="B60" s="40" t="s">
        <v>116</v>
      </c>
      <c r="C60" s="40" t="s">
        <v>37</v>
      </c>
      <c r="D60" s="40" t="s">
        <v>5</v>
      </c>
      <c r="E60" s="40" t="s">
        <v>370</v>
      </c>
      <c r="F60" s="40" t="s">
        <v>117</v>
      </c>
      <c r="G60" s="40" t="s">
        <v>487</v>
      </c>
      <c r="H60" s="40" t="s">
        <v>42</v>
      </c>
      <c r="I60" s="43" t="n">
        <v>0</v>
      </c>
      <c r="J60" s="43" t="n">
        <v>15</v>
      </c>
      <c r="K60" s="43" t="n">
        <v>0</v>
      </c>
      <c r="L60" s="43" t="n">
        <v>0</v>
      </c>
      <c r="M60" s="43" t="n">
        <v>0</v>
      </c>
      <c r="N60" s="43" t="n">
        <v>0</v>
      </c>
      <c r="O60" s="43" t="n">
        <v>0</v>
      </c>
      <c r="P60" s="43" t="n">
        <v>0</v>
      </c>
      <c r="Q60" s="43" t="n">
        <v>0</v>
      </c>
      <c r="R60" s="43" t="n">
        <v>0</v>
      </c>
      <c r="S60" s="43" t="n">
        <v>0</v>
      </c>
      <c r="T60" s="43" t="n">
        <v>0</v>
      </c>
      <c r="U60" s="42" t="n">
        <f aca="false">SUM(I60:T60)</f>
        <v>15</v>
      </c>
    </row>
    <row r="61" customFormat="false" ht="23.85" hidden="false" customHeight="false" outlineLevel="0" collapsed="false">
      <c r="A61" s="40" t="s">
        <v>488</v>
      </c>
      <c r="B61" s="40" t="s">
        <v>116</v>
      </c>
      <c r="C61" s="40" t="s">
        <v>37</v>
      </c>
      <c r="D61" s="40" t="s">
        <v>5</v>
      </c>
      <c r="E61" s="40" t="s">
        <v>370</v>
      </c>
      <c r="F61" s="40" t="s">
        <v>117</v>
      </c>
      <c r="G61" s="40" t="s">
        <v>489</v>
      </c>
      <c r="H61" s="40" t="s">
        <v>42</v>
      </c>
      <c r="I61" s="43" t="n">
        <v>0</v>
      </c>
      <c r="J61" s="43" t="n">
        <v>0</v>
      </c>
      <c r="K61" s="43" t="n">
        <v>15</v>
      </c>
      <c r="L61" s="43" t="n">
        <v>5</v>
      </c>
      <c r="M61" s="43" t="n">
        <v>0</v>
      </c>
      <c r="N61" s="43" t="n">
        <v>0</v>
      </c>
      <c r="O61" s="43" t="n">
        <v>0</v>
      </c>
      <c r="P61" s="43" t="n">
        <v>0</v>
      </c>
      <c r="Q61" s="43" t="n">
        <v>0</v>
      </c>
      <c r="R61" s="43" t="n">
        <v>0</v>
      </c>
      <c r="S61" s="43" t="n">
        <v>0</v>
      </c>
      <c r="T61" s="43" t="n">
        <v>0</v>
      </c>
      <c r="U61" s="42" t="n">
        <f aca="false">SUM(I61:T61)</f>
        <v>20</v>
      </c>
    </row>
    <row r="62" customFormat="false" ht="15" hidden="false" customHeight="false" outlineLevel="0" collapsed="false">
      <c r="A62" s="40" t="s">
        <v>490</v>
      </c>
      <c r="B62" s="40" t="s">
        <v>116</v>
      </c>
      <c r="C62" s="40" t="s">
        <v>37</v>
      </c>
      <c r="D62" s="40" t="s">
        <v>5</v>
      </c>
      <c r="E62" s="40" t="s">
        <v>370</v>
      </c>
      <c r="F62" s="40" t="s">
        <v>117</v>
      </c>
      <c r="G62" s="40" t="s">
        <v>491</v>
      </c>
      <c r="H62" s="40" t="s">
        <v>42</v>
      </c>
      <c r="I62" s="43" t="n">
        <v>0</v>
      </c>
      <c r="J62" s="43" t="n">
        <v>0</v>
      </c>
      <c r="K62" s="43" t="n">
        <v>51</v>
      </c>
      <c r="L62" s="43" t="n">
        <v>0</v>
      </c>
      <c r="M62" s="43" t="n">
        <v>0</v>
      </c>
      <c r="N62" s="43" t="n">
        <v>0</v>
      </c>
      <c r="O62" s="43" t="n">
        <v>0</v>
      </c>
      <c r="P62" s="43" t="n">
        <v>0</v>
      </c>
      <c r="Q62" s="43" t="n">
        <v>0</v>
      </c>
      <c r="R62" s="43" t="n">
        <v>0</v>
      </c>
      <c r="S62" s="43" t="n">
        <v>0</v>
      </c>
      <c r="T62" s="43" t="n">
        <v>0</v>
      </c>
      <c r="U62" s="42" t="n">
        <f aca="false">SUM(I62:T62)</f>
        <v>51</v>
      </c>
    </row>
    <row r="63" customFormat="false" ht="15" hidden="false" customHeight="false" outlineLevel="0" collapsed="false">
      <c r="A63" s="40" t="s">
        <v>492</v>
      </c>
      <c r="B63" s="40" t="s">
        <v>116</v>
      </c>
      <c r="C63" s="40" t="s">
        <v>37</v>
      </c>
      <c r="D63" s="40" t="s">
        <v>5</v>
      </c>
      <c r="E63" s="40" t="s">
        <v>370</v>
      </c>
      <c r="F63" s="40" t="s">
        <v>117</v>
      </c>
      <c r="G63" s="40" t="s">
        <v>493</v>
      </c>
      <c r="H63" s="40" t="s">
        <v>42</v>
      </c>
      <c r="I63" s="43" t="n">
        <v>0</v>
      </c>
      <c r="J63" s="43" t="n">
        <v>0</v>
      </c>
      <c r="K63" s="43" t="n">
        <v>26</v>
      </c>
      <c r="L63" s="43" t="n">
        <v>0</v>
      </c>
      <c r="M63" s="43" t="n">
        <v>0</v>
      </c>
      <c r="N63" s="43" t="n">
        <v>0</v>
      </c>
      <c r="O63" s="43" t="n">
        <v>0</v>
      </c>
      <c r="P63" s="43" t="n">
        <v>0</v>
      </c>
      <c r="Q63" s="43" t="n">
        <v>0</v>
      </c>
      <c r="R63" s="43" t="n">
        <v>0</v>
      </c>
      <c r="S63" s="43" t="n">
        <v>0</v>
      </c>
      <c r="T63" s="43" t="n">
        <v>0</v>
      </c>
      <c r="U63" s="42" t="n">
        <f aca="false">SUM(I63:T63)</f>
        <v>26</v>
      </c>
    </row>
    <row r="64" customFormat="false" ht="15" hidden="false" customHeight="false" outlineLevel="0" collapsed="false">
      <c r="A64" s="40" t="s">
        <v>494</v>
      </c>
      <c r="B64" s="40" t="s">
        <v>116</v>
      </c>
      <c r="C64" s="40" t="s">
        <v>37</v>
      </c>
      <c r="D64" s="40" t="s">
        <v>5</v>
      </c>
      <c r="E64" s="40" t="s">
        <v>370</v>
      </c>
      <c r="F64" s="40" t="s">
        <v>117</v>
      </c>
      <c r="G64" s="40" t="s">
        <v>495</v>
      </c>
      <c r="H64" s="40" t="s">
        <v>42</v>
      </c>
      <c r="I64" s="43" t="n">
        <v>0</v>
      </c>
      <c r="J64" s="43" t="n">
        <v>0</v>
      </c>
      <c r="K64" s="43" t="n">
        <v>20</v>
      </c>
      <c r="L64" s="43" t="n">
        <v>0</v>
      </c>
      <c r="M64" s="43" t="n">
        <v>0</v>
      </c>
      <c r="N64" s="43" t="n">
        <v>0</v>
      </c>
      <c r="O64" s="43" t="n">
        <v>0</v>
      </c>
      <c r="P64" s="43" t="n">
        <v>0</v>
      </c>
      <c r="Q64" s="43" t="n">
        <v>0</v>
      </c>
      <c r="R64" s="43" t="n">
        <v>0</v>
      </c>
      <c r="S64" s="43" t="n">
        <v>0</v>
      </c>
      <c r="T64" s="43" t="n">
        <v>0</v>
      </c>
      <c r="U64" s="42" t="n">
        <f aca="false">SUM(I64:T64)</f>
        <v>20</v>
      </c>
    </row>
    <row r="65" customFormat="false" ht="15" hidden="false" customHeight="false" outlineLevel="0" collapsed="false">
      <c r="A65" s="40" t="s">
        <v>496</v>
      </c>
      <c r="B65" s="40" t="s">
        <v>116</v>
      </c>
      <c r="C65" s="40" t="s">
        <v>37</v>
      </c>
      <c r="D65" s="40" t="s">
        <v>5</v>
      </c>
      <c r="E65" s="40" t="s">
        <v>370</v>
      </c>
      <c r="F65" s="40" t="s">
        <v>117</v>
      </c>
      <c r="G65" s="40" t="s">
        <v>497</v>
      </c>
      <c r="H65" s="40" t="s">
        <v>42</v>
      </c>
      <c r="I65" s="43" t="n">
        <v>0</v>
      </c>
      <c r="J65" s="43" t="n">
        <v>0</v>
      </c>
      <c r="K65" s="43" t="n">
        <v>10</v>
      </c>
      <c r="L65" s="43" t="n">
        <v>15</v>
      </c>
      <c r="M65" s="43" t="n">
        <v>0</v>
      </c>
      <c r="N65" s="43" t="n">
        <v>0</v>
      </c>
      <c r="O65" s="43" t="n">
        <v>0</v>
      </c>
      <c r="P65" s="43" t="n">
        <v>0</v>
      </c>
      <c r="Q65" s="43" t="n">
        <v>0</v>
      </c>
      <c r="R65" s="43" t="n">
        <v>0</v>
      </c>
      <c r="S65" s="43" t="n">
        <v>0</v>
      </c>
      <c r="T65" s="43" t="n">
        <v>0</v>
      </c>
      <c r="U65" s="42" t="n">
        <f aca="false">SUM(I65:T65)</f>
        <v>25</v>
      </c>
    </row>
    <row r="66" customFormat="false" ht="15" hidden="false" customHeight="false" outlineLevel="0" collapsed="false">
      <c r="A66" s="40" t="s">
        <v>498</v>
      </c>
      <c r="B66" s="40" t="s">
        <v>116</v>
      </c>
      <c r="C66" s="40" t="s">
        <v>37</v>
      </c>
      <c r="D66" s="40" t="s">
        <v>5</v>
      </c>
      <c r="E66" s="40" t="s">
        <v>370</v>
      </c>
      <c r="F66" s="40" t="s">
        <v>117</v>
      </c>
      <c r="G66" s="40" t="s">
        <v>499</v>
      </c>
      <c r="H66" s="40" t="s">
        <v>42</v>
      </c>
      <c r="I66" s="43" t="n">
        <v>0</v>
      </c>
      <c r="J66" s="43" t="n">
        <v>5</v>
      </c>
      <c r="K66" s="43" t="n">
        <v>20</v>
      </c>
      <c r="L66" s="43" t="n">
        <v>0</v>
      </c>
      <c r="M66" s="43" t="n">
        <v>0</v>
      </c>
      <c r="N66" s="43" t="n">
        <v>0</v>
      </c>
      <c r="O66" s="43" t="n">
        <v>0</v>
      </c>
      <c r="P66" s="43" t="n">
        <v>0</v>
      </c>
      <c r="Q66" s="43" t="n">
        <v>0</v>
      </c>
      <c r="R66" s="43" t="n">
        <v>0</v>
      </c>
      <c r="S66" s="43" t="n">
        <v>0</v>
      </c>
      <c r="T66" s="43" t="n">
        <v>0</v>
      </c>
      <c r="U66" s="42" t="n">
        <f aca="false">SUM(I66:T66)</f>
        <v>25</v>
      </c>
    </row>
    <row r="67" customFormat="false" ht="15" hidden="false" customHeight="false" outlineLevel="0" collapsed="false">
      <c r="A67" s="40" t="s">
        <v>500</v>
      </c>
      <c r="B67" s="40" t="s">
        <v>116</v>
      </c>
      <c r="C67" s="40" t="s">
        <v>37</v>
      </c>
      <c r="D67" s="40" t="s">
        <v>5</v>
      </c>
      <c r="E67" s="40" t="s">
        <v>370</v>
      </c>
      <c r="F67" s="40" t="s">
        <v>117</v>
      </c>
      <c r="G67" s="40" t="s">
        <v>407</v>
      </c>
      <c r="H67" s="40" t="s">
        <v>42</v>
      </c>
      <c r="I67" s="43" t="n">
        <v>0</v>
      </c>
      <c r="J67" s="43" t="n">
        <v>11</v>
      </c>
      <c r="K67" s="43" t="n">
        <v>0</v>
      </c>
      <c r="L67" s="43" t="n">
        <v>0</v>
      </c>
      <c r="M67" s="43" t="n">
        <v>0</v>
      </c>
      <c r="N67" s="43" t="n">
        <v>0</v>
      </c>
      <c r="O67" s="43" t="n">
        <v>0</v>
      </c>
      <c r="P67" s="43" t="n">
        <v>0</v>
      </c>
      <c r="Q67" s="43" t="n">
        <v>0</v>
      </c>
      <c r="R67" s="43" t="n">
        <v>0</v>
      </c>
      <c r="S67" s="43" t="n">
        <v>0</v>
      </c>
      <c r="T67" s="43" t="n">
        <v>0</v>
      </c>
      <c r="U67" s="42" t="n">
        <f aca="false">SUM(I67:T67)</f>
        <v>11</v>
      </c>
    </row>
    <row r="68" customFormat="false" ht="15" hidden="false" customHeight="false" outlineLevel="0" collapsed="false">
      <c r="A68" s="40" t="s">
        <v>501</v>
      </c>
      <c r="B68" s="40" t="s">
        <v>116</v>
      </c>
      <c r="C68" s="40" t="s">
        <v>37</v>
      </c>
      <c r="D68" s="40" t="s">
        <v>5</v>
      </c>
      <c r="E68" s="40" t="s">
        <v>370</v>
      </c>
      <c r="F68" s="40" t="s">
        <v>117</v>
      </c>
      <c r="G68" s="40" t="s">
        <v>409</v>
      </c>
      <c r="H68" s="40" t="s">
        <v>42</v>
      </c>
      <c r="I68" s="43" t="n">
        <v>0</v>
      </c>
      <c r="J68" s="43" t="n">
        <v>0</v>
      </c>
      <c r="K68" s="43" t="n">
        <v>7</v>
      </c>
      <c r="L68" s="43" t="n">
        <v>0</v>
      </c>
      <c r="M68" s="43" t="n">
        <v>0</v>
      </c>
      <c r="N68" s="43" t="n">
        <v>0</v>
      </c>
      <c r="O68" s="43" t="n">
        <v>0</v>
      </c>
      <c r="P68" s="43" t="n">
        <v>0</v>
      </c>
      <c r="Q68" s="43" t="n">
        <v>0</v>
      </c>
      <c r="R68" s="43" t="n">
        <v>0</v>
      </c>
      <c r="S68" s="43" t="n">
        <v>0</v>
      </c>
      <c r="T68" s="43" t="n">
        <v>0</v>
      </c>
      <c r="U68" s="42" t="n">
        <f aca="false">SUM(I68:T68)</f>
        <v>7</v>
      </c>
    </row>
    <row r="69" customFormat="false" ht="15" hidden="false" customHeight="false" outlineLevel="0" collapsed="false">
      <c r="A69" s="40" t="s">
        <v>502</v>
      </c>
      <c r="B69" s="40" t="s">
        <v>116</v>
      </c>
      <c r="C69" s="40" t="s">
        <v>37</v>
      </c>
      <c r="D69" s="40" t="s">
        <v>5</v>
      </c>
      <c r="E69" s="40" t="s">
        <v>370</v>
      </c>
      <c r="F69" s="40" t="s">
        <v>117</v>
      </c>
      <c r="G69" s="40" t="s">
        <v>411</v>
      </c>
      <c r="H69" s="40" t="s">
        <v>42</v>
      </c>
      <c r="I69" s="43" t="n">
        <v>0</v>
      </c>
      <c r="J69" s="43" t="n">
        <v>0</v>
      </c>
      <c r="K69" s="43" t="n">
        <v>7</v>
      </c>
      <c r="L69" s="43" t="n">
        <v>0</v>
      </c>
      <c r="M69" s="43" t="n">
        <v>0</v>
      </c>
      <c r="N69" s="43" t="n">
        <v>0</v>
      </c>
      <c r="O69" s="43" t="n">
        <v>0</v>
      </c>
      <c r="P69" s="43" t="n">
        <v>0</v>
      </c>
      <c r="Q69" s="43" t="n">
        <v>0</v>
      </c>
      <c r="R69" s="43" t="n">
        <v>0</v>
      </c>
      <c r="S69" s="43" t="n">
        <v>0</v>
      </c>
      <c r="T69" s="43" t="n">
        <v>0</v>
      </c>
      <c r="U69" s="42" t="n">
        <f aca="false">SUM(I69:T69)</f>
        <v>7</v>
      </c>
    </row>
    <row r="70" customFormat="false" ht="15" hidden="false" customHeight="false" outlineLevel="0" collapsed="false">
      <c r="A70" s="40" t="s">
        <v>503</v>
      </c>
      <c r="B70" s="40" t="s">
        <v>116</v>
      </c>
      <c r="C70" s="40" t="s">
        <v>37</v>
      </c>
      <c r="D70" s="40" t="s">
        <v>5</v>
      </c>
      <c r="E70" s="40" t="s">
        <v>370</v>
      </c>
      <c r="F70" s="40" t="s">
        <v>117</v>
      </c>
      <c r="G70" s="40" t="s">
        <v>413</v>
      </c>
      <c r="H70" s="40" t="s">
        <v>42</v>
      </c>
      <c r="I70" s="43" t="n">
        <v>0</v>
      </c>
      <c r="J70" s="43" t="n">
        <v>0</v>
      </c>
      <c r="K70" s="43" t="n">
        <v>15</v>
      </c>
      <c r="L70" s="43" t="n">
        <v>0</v>
      </c>
      <c r="M70" s="43" t="n">
        <v>0</v>
      </c>
      <c r="N70" s="43" t="n">
        <v>0</v>
      </c>
      <c r="O70" s="43" t="n">
        <v>0</v>
      </c>
      <c r="P70" s="43" t="n">
        <v>0</v>
      </c>
      <c r="Q70" s="43" t="n">
        <v>0</v>
      </c>
      <c r="R70" s="43" t="n">
        <v>0</v>
      </c>
      <c r="S70" s="43" t="n">
        <v>0</v>
      </c>
      <c r="T70" s="43" t="n">
        <v>0</v>
      </c>
      <c r="U70" s="42" t="n">
        <f aca="false">SUM(I70:T70)</f>
        <v>15</v>
      </c>
    </row>
    <row r="71" customFormat="false" ht="23.85" hidden="false" customHeight="false" outlineLevel="0" collapsed="false">
      <c r="A71" s="40" t="s">
        <v>504</v>
      </c>
      <c r="B71" s="40" t="s">
        <v>169</v>
      </c>
      <c r="C71" s="40" t="s">
        <v>37</v>
      </c>
      <c r="D71" s="40" t="s">
        <v>6</v>
      </c>
      <c r="E71" s="40" t="s">
        <v>371</v>
      </c>
      <c r="F71" s="40" t="s">
        <v>170</v>
      </c>
      <c r="G71" s="40" t="s">
        <v>505</v>
      </c>
      <c r="H71" s="40" t="s">
        <v>43</v>
      </c>
      <c r="I71" s="43" t="n">
        <v>0</v>
      </c>
      <c r="J71" s="43" t="n">
        <v>0</v>
      </c>
      <c r="K71" s="43" t="n">
        <v>0</v>
      </c>
      <c r="L71" s="43" t="n">
        <v>0</v>
      </c>
      <c r="M71" s="43" t="n">
        <v>16</v>
      </c>
      <c r="N71" s="43" t="n">
        <v>0</v>
      </c>
      <c r="O71" s="43" t="n">
        <v>0</v>
      </c>
      <c r="P71" s="43" t="n">
        <v>0</v>
      </c>
      <c r="Q71" s="43" t="n">
        <v>0</v>
      </c>
      <c r="R71" s="43" t="n">
        <v>0</v>
      </c>
      <c r="S71" s="43" t="n">
        <v>0</v>
      </c>
      <c r="T71" s="43" t="n">
        <v>0</v>
      </c>
      <c r="U71" s="42" t="n">
        <f aca="false">SUM(I71:T71)</f>
        <v>16</v>
      </c>
    </row>
    <row r="72" customFormat="false" ht="15" hidden="false" customHeight="false" outlineLevel="0" collapsed="false">
      <c r="A72" s="40" t="s">
        <v>506</v>
      </c>
      <c r="B72" s="40" t="s">
        <v>169</v>
      </c>
      <c r="C72" s="40" t="s">
        <v>37</v>
      </c>
      <c r="D72" s="40" t="s">
        <v>6</v>
      </c>
      <c r="E72" s="40" t="s">
        <v>371</v>
      </c>
      <c r="F72" s="40" t="s">
        <v>170</v>
      </c>
      <c r="G72" s="40" t="s">
        <v>507</v>
      </c>
      <c r="H72" s="40" t="s">
        <v>43</v>
      </c>
      <c r="I72" s="43" t="n">
        <v>0</v>
      </c>
      <c r="J72" s="43" t="n">
        <v>0</v>
      </c>
      <c r="K72" s="43" t="n">
        <v>20</v>
      </c>
      <c r="L72" s="43" t="n">
        <v>8</v>
      </c>
      <c r="M72" s="43" t="n">
        <v>0</v>
      </c>
      <c r="N72" s="43" t="n">
        <v>0</v>
      </c>
      <c r="O72" s="43" t="n">
        <v>0</v>
      </c>
      <c r="P72" s="43" t="n">
        <v>0</v>
      </c>
      <c r="Q72" s="43" t="n">
        <v>0</v>
      </c>
      <c r="R72" s="43" t="n">
        <v>0</v>
      </c>
      <c r="S72" s="43" t="n">
        <v>0</v>
      </c>
      <c r="T72" s="43" t="n">
        <v>0</v>
      </c>
      <c r="U72" s="42" t="n">
        <f aca="false">SUM(I72:T72)</f>
        <v>28</v>
      </c>
    </row>
    <row r="73" customFormat="false" ht="23.85" hidden="false" customHeight="false" outlineLevel="0" collapsed="false">
      <c r="A73" s="40" t="s">
        <v>508</v>
      </c>
      <c r="B73" s="40" t="s">
        <v>169</v>
      </c>
      <c r="C73" s="40" t="s">
        <v>37</v>
      </c>
      <c r="D73" s="40" t="s">
        <v>6</v>
      </c>
      <c r="E73" s="40" t="s">
        <v>371</v>
      </c>
      <c r="F73" s="40" t="s">
        <v>170</v>
      </c>
      <c r="G73" s="40" t="s">
        <v>509</v>
      </c>
      <c r="H73" s="40" t="s">
        <v>43</v>
      </c>
      <c r="I73" s="43" t="n">
        <v>0</v>
      </c>
      <c r="J73" s="43" t="n">
        <v>0</v>
      </c>
      <c r="K73" s="43" t="n">
        <v>12</v>
      </c>
      <c r="L73" s="43" t="n">
        <v>0</v>
      </c>
      <c r="M73" s="43" t="n">
        <v>0</v>
      </c>
      <c r="N73" s="43" t="n">
        <v>20</v>
      </c>
      <c r="O73" s="43" t="n">
        <v>0</v>
      </c>
      <c r="P73" s="43" t="n">
        <v>0</v>
      </c>
      <c r="Q73" s="43" t="n">
        <v>0</v>
      </c>
      <c r="R73" s="43" t="n">
        <v>0</v>
      </c>
      <c r="S73" s="43" t="n">
        <v>0</v>
      </c>
      <c r="T73" s="43" t="n">
        <v>0</v>
      </c>
      <c r="U73" s="42" t="n">
        <f aca="false">SUM(I73:T73)</f>
        <v>32</v>
      </c>
    </row>
    <row r="74" customFormat="false" ht="15" hidden="false" customHeight="false" outlineLevel="0" collapsed="false">
      <c r="A74" s="40" t="s">
        <v>510</v>
      </c>
      <c r="B74" s="40" t="s">
        <v>169</v>
      </c>
      <c r="C74" s="40" t="s">
        <v>37</v>
      </c>
      <c r="D74" s="40" t="s">
        <v>6</v>
      </c>
      <c r="E74" s="40" t="s">
        <v>371</v>
      </c>
      <c r="F74" s="40" t="s">
        <v>170</v>
      </c>
      <c r="G74" s="40" t="s">
        <v>511</v>
      </c>
      <c r="H74" s="40" t="s">
        <v>43</v>
      </c>
      <c r="I74" s="43" t="n">
        <v>0</v>
      </c>
      <c r="J74" s="43" t="n">
        <v>0</v>
      </c>
      <c r="K74" s="43" t="n">
        <v>0</v>
      </c>
      <c r="L74" s="43" t="n">
        <v>0</v>
      </c>
      <c r="M74" s="43" t="n">
        <v>8</v>
      </c>
      <c r="N74" s="43" t="n">
        <v>16</v>
      </c>
      <c r="O74" s="43" t="n">
        <v>0</v>
      </c>
      <c r="P74" s="43" t="n">
        <v>0</v>
      </c>
      <c r="Q74" s="43" t="n">
        <v>0</v>
      </c>
      <c r="R74" s="43" t="n">
        <v>0</v>
      </c>
      <c r="S74" s="43" t="n">
        <v>0</v>
      </c>
      <c r="T74" s="43" t="n">
        <v>0</v>
      </c>
      <c r="U74" s="42" t="n">
        <f aca="false">SUM(I74:T74)</f>
        <v>24</v>
      </c>
    </row>
    <row r="75" customFormat="false" ht="15" hidden="false" customHeight="false" outlineLevel="0" collapsed="false">
      <c r="A75" s="40" t="s">
        <v>512</v>
      </c>
      <c r="B75" s="40" t="s">
        <v>169</v>
      </c>
      <c r="C75" s="40" t="s">
        <v>37</v>
      </c>
      <c r="D75" s="40" t="s">
        <v>6</v>
      </c>
      <c r="E75" s="40" t="s">
        <v>371</v>
      </c>
      <c r="F75" s="40" t="s">
        <v>170</v>
      </c>
      <c r="G75" s="40" t="s">
        <v>513</v>
      </c>
      <c r="H75" s="40" t="s">
        <v>43</v>
      </c>
      <c r="I75" s="43" t="n">
        <v>0</v>
      </c>
      <c r="J75" s="43" t="n">
        <v>0</v>
      </c>
      <c r="K75" s="43" t="n">
        <v>0</v>
      </c>
      <c r="L75" s="43" t="n">
        <v>8</v>
      </c>
      <c r="M75" s="43" t="n">
        <v>4</v>
      </c>
      <c r="N75" s="43" t="n">
        <v>0</v>
      </c>
      <c r="O75" s="43" t="n">
        <v>0</v>
      </c>
      <c r="P75" s="43" t="n">
        <v>0</v>
      </c>
      <c r="Q75" s="43" t="n">
        <v>0</v>
      </c>
      <c r="R75" s="43" t="n">
        <v>0</v>
      </c>
      <c r="S75" s="43" t="n">
        <v>0</v>
      </c>
      <c r="T75" s="43" t="n">
        <v>0</v>
      </c>
      <c r="U75" s="42" t="n">
        <f aca="false">SUM(I75:T75)</f>
        <v>12</v>
      </c>
    </row>
    <row r="76" customFormat="false" ht="15" hidden="false" customHeight="false" outlineLevel="0" collapsed="false">
      <c r="A76" s="40" t="s">
        <v>514</v>
      </c>
      <c r="B76" s="40" t="s">
        <v>169</v>
      </c>
      <c r="C76" s="40" t="s">
        <v>37</v>
      </c>
      <c r="D76" s="40" t="s">
        <v>6</v>
      </c>
      <c r="E76" s="40" t="s">
        <v>371</v>
      </c>
      <c r="F76" s="40" t="s">
        <v>170</v>
      </c>
      <c r="G76" s="40" t="s">
        <v>515</v>
      </c>
      <c r="H76" s="40" t="s">
        <v>43</v>
      </c>
      <c r="I76" s="43" t="n">
        <v>0</v>
      </c>
      <c r="J76" s="43" t="n">
        <v>0</v>
      </c>
      <c r="K76" s="43" t="n">
        <v>0</v>
      </c>
      <c r="L76" s="43" t="n">
        <v>0</v>
      </c>
      <c r="M76" s="43" t="n">
        <v>4</v>
      </c>
      <c r="N76" s="43" t="n">
        <v>12</v>
      </c>
      <c r="O76" s="43" t="n">
        <v>0</v>
      </c>
      <c r="P76" s="43" t="n">
        <v>0</v>
      </c>
      <c r="Q76" s="43" t="n">
        <v>0</v>
      </c>
      <c r="R76" s="43" t="n">
        <v>0</v>
      </c>
      <c r="S76" s="43" t="n">
        <v>0</v>
      </c>
      <c r="T76" s="43" t="n">
        <v>0</v>
      </c>
      <c r="U76" s="42" t="n">
        <f aca="false">SUM(I76:T76)</f>
        <v>16</v>
      </c>
    </row>
    <row r="77" customFormat="false" ht="15" hidden="false" customHeight="false" outlineLevel="0" collapsed="false">
      <c r="A77" s="40" t="s">
        <v>516</v>
      </c>
      <c r="B77" s="40" t="s">
        <v>169</v>
      </c>
      <c r="C77" s="40" t="s">
        <v>37</v>
      </c>
      <c r="D77" s="40" t="s">
        <v>6</v>
      </c>
      <c r="E77" s="40" t="s">
        <v>371</v>
      </c>
      <c r="F77" s="40" t="s">
        <v>170</v>
      </c>
      <c r="G77" s="40" t="s">
        <v>407</v>
      </c>
      <c r="H77" s="40" t="s">
        <v>43</v>
      </c>
      <c r="I77" s="43" t="n">
        <v>0</v>
      </c>
      <c r="J77" s="43" t="n">
        <v>0</v>
      </c>
      <c r="K77" s="43" t="n">
        <v>0</v>
      </c>
      <c r="L77" s="43" t="n">
        <v>0</v>
      </c>
      <c r="M77" s="43" t="n">
        <v>8</v>
      </c>
      <c r="N77" s="43" t="n">
        <v>0</v>
      </c>
      <c r="O77" s="43" t="n">
        <v>0</v>
      </c>
      <c r="P77" s="43" t="n">
        <v>0</v>
      </c>
      <c r="Q77" s="43" t="n">
        <v>0</v>
      </c>
      <c r="R77" s="43" t="n">
        <v>0</v>
      </c>
      <c r="S77" s="43" t="n">
        <v>0</v>
      </c>
      <c r="T77" s="43" t="n">
        <v>0</v>
      </c>
      <c r="U77" s="42" t="n">
        <f aca="false">SUM(I77:T77)</f>
        <v>8</v>
      </c>
    </row>
    <row r="78" customFormat="false" ht="15" hidden="false" customHeight="false" outlineLevel="0" collapsed="false">
      <c r="A78" s="40" t="s">
        <v>517</v>
      </c>
      <c r="B78" s="40" t="s">
        <v>169</v>
      </c>
      <c r="C78" s="40" t="s">
        <v>37</v>
      </c>
      <c r="D78" s="40" t="s">
        <v>6</v>
      </c>
      <c r="E78" s="40" t="s">
        <v>371</v>
      </c>
      <c r="F78" s="40" t="s">
        <v>170</v>
      </c>
      <c r="G78" s="40" t="s">
        <v>409</v>
      </c>
      <c r="H78" s="40" t="s">
        <v>43</v>
      </c>
      <c r="I78" s="43" t="n">
        <v>0</v>
      </c>
      <c r="J78" s="43" t="n">
        <v>0</v>
      </c>
      <c r="K78" s="43" t="n">
        <v>5</v>
      </c>
      <c r="L78" s="43" t="n">
        <v>0</v>
      </c>
      <c r="M78" s="43" t="n">
        <v>0</v>
      </c>
      <c r="N78" s="43" t="n">
        <v>0</v>
      </c>
      <c r="O78" s="43" t="n">
        <v>0</v>
      </c>
      <c r="P78" s="43" t="n">
        <v>0</v>
      </c>
      <c r="Q78" s="43" t="n">
        <v>0</v>
      </c>
      <c r="R78" s="43" t="n">
        <v>0</v>
      </c>
      <c r="S78" s="43" t="n">
        <v>0</v>
      </c>
      <c r="T78" s="43" t="n">
        <v>0</v>
      </c>
      <c r="U78" s="42" t="n">
        <f aca="false">SUM(I78:T78)</f>
        <v>5</v>
      </c>
    </row>
    <row r="79" customFormat="false" ht="15" hidden="false" customHeight="false" outlineLevel="0" collapsed="false">
      <c r="A79" s="40" t="s">
        <v>518</v>
      </c>
      <c r="B79" s="40" t="s">
        <v>169</v>
      </c>
      <c r="C79" s="40" t="s">
        <v>37</v>
      </c>
      <c r="D79" s="40" t="s">
        <v>6</v>
      </c>
      <c r="E79" s="40" t="s">
        <v>371</v>
      </c>
      <c r="F79" s="40" t="s">
        <v>170</v>
      </c>
      <c r="G79" s="40" t="s">
        <v>411</v>
      </c>
      <c r="H79" s="40" t="s">
        <v>43</v>
      </c>
      <c r="I79" s="43" t="n">
        <v>0</v>
      </c>
      <c r="J79" s="43" t="n">
        <v>0</v>
      </c>
      <c r="K79" s="43" t="n">
        <v>0</v>
      </c>
      <c r="L79" s="43" t="n">
        <v>0</v>
      </c>
      <c r="M79" s="43" t="n">
        <v>0</v>
      </c>
      <c r="N79" s="43" t="n">
        <v>5</v>
      </c>
      <c r="O79" s="43" t="n">
        <v>0</v>
      </c>
      <c r="P79" s="43" t="n">
        <v>0</v>
      </c>
      <c r="Q79" s="43" t="n">
        <v>0</v>
      </c>
      <c r="R79" s="43" t="n">
        <v>0</v>
      </c>
      <c r="S79" s="43" t="n">
        <v>0</v>
      </c>
      <c r="T79" s="43" t="n">
        <v>0</v>
      </c>
      <c r="U79" s="42" t="n">
        <f aca="false">SUM(I79:T79)</f>
        <v>5</v>
      </c>
    </row>
    <row r="80" customFormat="false" ht="15" hidden="false" customHeight="false" outlineLevel="0" collapsed="false">
      <c r="A80" s="40" t="s">
        <v>519</v>
      </c>
      <c r="B80" s="40" t="s">
        <v>169</v>
      </c>
      <c r="C80" s="40" t="s">
        <v>37</v>
      </c>
      <c r="D80" s="40" t="s">
        <v>6</v>
      </c>
      <c r="E80" s="40" t="s">
        <v>371</v>
      </c>
      <c r="F80" s="40" t="s">
        <v>170</v>
      </c>
      <c r="G80" s="40" t="s">
        <v>413</v>
      </c>
      <c r="H80" s="40" t="s">
        <v>43</v>
      </c>
      <c r="I80" s="43" t="n">
        <v>0</v>
      </c>
      <c r="J80" s="43" t="n">
        <v>0</v>
      </c>
      <c r="K80" s="43" t="n">
        <v>0</v>
      </c>
      <c r="L80" s="43" t="n">
        <v>0</v>
      </c>
      <c r="M80" s="43" t="n">
        <v>0</v>
      </c>
      <c r="N80" s="43" t="n">
        <v>11</v>
      </c>
      <c r="O80" s="43" t="n">
        <v>0</v>
      </c>
      <c r="P80" s="43" t="n">
        <v>0</v>
      </c>
      <c r="Q80" s="43" t="n">
        <v>0</v>
      </c>
      <c r="R80" s="43" t="n">
        <v>0</v>
      </c>
      <c r="S80" s="43" t="n">
        <v>0</v>
      </c>
      <c r="T80" s="43" t="n">
        <v>0</v>
      </c>
      <c r="U80" s="42" t="n">
        <f aca="false">SUM(I80:T80)</f>
        <v>11</v>
      </c>
    </row>
    <row r="81" customFormat="false" ht="23.85" hidden="false" customHeight="false" outlineLevel="0" collapsed="false">
      <c r="A81" s="40" t="s">
        <v>520</v>
      </c>
      <c r="B81" s="40" t="s">
        <v>172</v>
      </c>
      <c r="C81" s="40" t="s">
        <v>37</v>
      </c>
      <c r="D81" s="40" t="s">
        <v>6</v>
      </c>
      <c r="E81" s="40" t="s">
        <v>371</v>
      </c>
      <c r="F81" s="40" t="s">
        <v>173</v>
      </c>
      <c r="G81" s="40" t="s">
        <v>521</v>
      </c>
      <c r="H81" s="40" t="s">
        <v>43</v>
      </c>
      <c r="I81" s="43" t="n">
        <v>0</v>
      </c>
      <c r="J81" s="43" t="n">
        <v>0</v>
      </c>
      <c r="K81" s="43" t="n">
        <v>0</v>
      </c>
      <c r="L81" s="43" t="n">
        <v>0</v>
      </c>
      <c r="M81" s="43" t="n">
        <v>31</v>
      </c>
      <c r="N81" s="43" t="n">
        <v>0</v>
      </c>
      <c r="O81" s="43" t="n">
        <v>0</v>
      </c>
      <c r="P81" s="43" t="n">
        <v>0</v>
      </c>
      <c r="Q81" s="43" t="n">
        <v>0</v>
      </c>
      <c r="R81" s="43" t="n">
        <v>0</v>
      </c>
      <c r="S81" s="43" t="n">
        <v>0</v>
      </c>
      <c r="T81" s="43" t="n">
        <v>0</v>
      </c>
      <c r="U81" s="42" t="n">
        <f aca="false">SUM(I81:T81)</f>
        <v>31</v>
      </c>
    </row>
    <row r="82" customFormat="false" ht="23.85" hidden="false" customHeight="false" outlineLevel="0" collapsed="false">
      <c r="A82" s="40" t="s">
        <v>522</v>
      </c>
      <c r="B82" s="40" t="s">
        <v>172</v>
      </c>
      <c r="C82" s="40" t="s">
        <v>37</v>
      </c>
      <c r="D82" s="40" t="s">
        <v>6</v>
      </c>
      <c r="E82" s="40" t="s">
        <v>371</v>
      </c>
      <c r="F82" s="40" t="s">
        <v>173</v>
      </c>
      <c r="G82" s="40" t="s">
        <v>523</v>
      </c>
      <c r="H82" s="40" t="s">
        <v>43</v>
      </c>
      <c r="I82" s="43" t="n">
        <v>0</v>
      </c>
      <c r="J82" s="43" t="n">
        <v>0</v>
      </c>
      <c r="K82" s="43" t="n">
        <v>43</v>
      </c>
      <c r="L82" s="43" t="n">
        <v>0</v>
      </c>
      <c r="M82" s="43" t="n">
        <v>0</v>
      </c>
      <c r="N82" s="43" t="n">
        <v>18</v>
      </c>
      <c r="O82" s="43" t="n">
        <v>0</v>
      </c>
      <c r="P82" s="43" t="n">
        <v>0</v>
      </c>
      <c r="Q82" s="43" t="n">
        <v>0</v>
      </c>
      <c r="R82" s="43" t="n">
        <v>0</v>
      </c>
      <c r="S82" s="43" t="n">
        <v>0</v>
      </c>
      <c r="T82" s="43" t="n">
        <v>0</v>
      </c>
      <c r="U82" s="42" t="n">
        <f aca="false">SUM(I82:T82)</f>
        <v>61</v>
      </c>
    </row>
    <row r="83" customFormat="false" ht="23.85" hidden="false" customHeight="false" outlineLevel="0" collapsed="false">
      <c r="A83" s="40" t="s">
        <v>524</v>
      </c>
      <c r="B83" s="40" t="s">
        <v>172</v>
      </c>
      <c r="C83" s="40" t="s">
        <v>37</v>
      </c>
      <c r="D83" s="40" t="s">
        <v>6</v>
      </c>
      <c r="E83" s="40" t="s">
        <v>371</v>
      </c>
      <c r="F83" s="40" t="s">
        <v>173</v>
      </c>
      <c r="G83" s="40" t="s">
        <v>525</v>
      </c>
      <c r="H83" s="40" t="s">
        <v>43</v>
      </c>
      <c r="I83" s="43" t="n">
        <v>0</v>
      </c>
      <c r="J83" s="43" t="n">
        <v>0</v>
      </c>
      <c r="K83" s="43" t="n">
        <v>18</v>
      </c>
      <c r="L83" s="43" t="n">
        <v>0</v>
      </c>
      <c r="M83" s="43" t="n">
        <v>0</v>
      </c>
      <c r="N83" s="43" t="n">
        <v>18</v>
      </c>
      <c r="O83" s="43" t="n">
        <v>0</v>
      </c>
      <c r="P83" s="43" t="n">
        <v>0</v>
      </c>
      <c r="Q83" s="43" t="n">
        <v>0</v>
      </c>
      <c r="R83" s="43" t="n">
        <v>0</v>
      </c>
      <c r="S83" s="43" t="n">
        <v>0</v>
      </c>
      <c r="T83" s="43" t="n">
        <v>0</v>
      </c>
      <c r="U83" s="42" t="n">
        <f aca="false">SUM(I83:T83)</f>
        <v>36</v>
      </c>
    </row>
    <row r="84" customFormat="false" ht="23.85" hidden="false" customHeight="false" outlineLevel="0" collapsed="false">
      <c r="A84" s="40" t="s">
        <v>526</v>
      </c>
      <c r="B84" s="40" t="s">
        <v>172</v>
      </c>
      <c r="C84" s="40" t="s">
        <v>37</v>
      </c>
      <c r="D84" s="40" t="s">
        <v>6</v>
      </c>
      <c r="E84" s="40" t="s">
        <v>371</v>
      </c>
      <c r="F84" s="40" t="s">
        <v>173</v>
      </c>
      <c r="G84" s="40" t="s">
        <v>527</v>
      </c>
      <c r="H84" s="40" t="s">
        <v>43</v>
      </c>
      <c r="I84" s="43" t="n">
        <v>0</v>
      </c>
      <c r="J84" s="43" t="n">
        <v>0</v>
      </c>
      <c r="K84" s="43" t="n">
        <v>0</v>
      </c>
      <c r="L84" s="43" t="n">
        <v>0</v>
      </c>
      <c r="M84" s="43" t="n">
        <v>6</v>
      </c>
      <c r="N84" s="43" t="n">
        <v>37</v>
      </c>
      <c r="O84" s="43" t="n">
        <v>0</v>
      </c>
      <c r="P84" s="43" t="n">
        <v>0</v>
      </c>
      <c r="Q84" s="43" t="n">
        <v>0</v>
      </c>
      <c r="R84" s="43" t="n">
        <v>0</v>
      </c>
      <c r="S84" s="43" t="n">
        <v>0</v>
      </c>
      <c r="T84" s="43" t="n">
        <v>0</v>
      </c>
      <c r="U84" s="42" t="n">
        <f aca="false">SUM(I84:T84)</f>
        <v>43</v>
      </c>
    </row>
    <row r="85" customFormat="false" ht="23.85" hidden="false" customHeight="false" outlineLevel="0" collapsed="false">
      <c r="A85" s="40" t="s">
        <v>528</v>
      </c>
      <c r="B85" s="40" t="s">
        <v>172</v>
      </c>
      <c r="C85" s="40" t="s">
        <v>37</v>
      </c>
      <c r="D85" s="40" t="s">
        <v>6</v>
      </c>
      <c r="E85" s="40" t="s">
        <v>371</v>
      </c>
      <c r="F85" s="40" t="s">
        <v>173</v>
      </c>
      <c r="G85" s="40" t="s">
        <v>529</v>
      </c>
      <c r="H85" s="40" t="s">
        <v>43</v>
      </c>
      <c r="I85" s="43" t="n">
        <v>0</v>
      </c>
      <c r="J85" s="43" t="n">
        <v>0</v>
      </c>
      <c r="K85" s="43" t="n">
        <v>12</v>
      </c>
      <c r="L85" s="43" t="n">
        <v>0</v>
      </c>
      <c r="M85" s="43" t="n">
        <v>0</v>
      </c>
      <c r="N85" s="43" t="n">
        <v>37</v>
      </c>
      <c r="O85" s="43" t="n">
        <v>0</v>
      </c>
      <c r="P85" s="43" t="n">
        <v>0</v>
      </c>
      <c r="Q85" s="43" t="n">
        <v>0</v>
      </c>
      <c r="R85" s="43" t="n">
        <v>0</v>
      </c>
      <c r="S85" s="43" t="n">
        <v>0</v>
      </c>
      <c r="T85" s="43" t="n">
        <v>0</v>
      </c>
      <c r="U85" s="42" t="n">
        <f aca="false">SUM(I85:T85)</f>
        <v>49</v>
      </c>
    </row>
    <row r="86" customFormat="false" ht="23.85" hidden="false" customHeight="false" outlineLevel="0" collapsed="false">
      <c r="A86" s="40" t="s">
        <v>530</v>
      </c>
      <c r="B86" s="40" t="s">
        <v>172</v>
      </c>
      <c r="C86" s="40" t="s">
        <v>37</v>
      </c>
      <c r="D86" s="40" t="s">
        <v>6</v>
      </c>
      <c r="E86" s="40" t="s">
        <v>371</v>
      </c>
      <c r="F86" s="40" t="s">
        <v>173</v>
      </c>
      <c r="G86" s="40" t="s">
        <v>531</v>
      </c>
      <c r="H86" s="40" t="s">
        <v>43</v>
      </c>
      <c r="I86" s="43" t="n">
        <v>0</v>
      </c>
      <c r="J86" s="43" t="n">
        <v>0</v>
      </c>
      <c r="K86" s="43" t="n">
        <v>0</v>
      </c>
      <c r="L86" s="43" t="n">
        <v>12</v>
      </c>
      <c r="M86" s="43" t="n">
        <v>0</v>
      </c>
      <c r="N86" s="43" t="n">
        <v>12</v>
      </c>
      <c r="O86" s="43" t="n">
        <v>0</v>
      </c>
      <c r="P86" s="43" t="n">
        <v>0</v>
      </c>
      <c r="Q86" s="43" t="n">
        <v>0</v>
      </c>
      <c r="R86" s="43" t="n">
        <v>0</v>
      </c>
      <c r="S86" s="43" t="n">
        <v>0</v>
      </c>
      <c r="T86" s="43" t="n">
        <v>0</v>
      </c>
      <c r="U86" s="42" t="n">
        <f aca="false">SUM(I86:T86)</f>
        <v>24</v>
      </c>
    </row>
    <row r="87" customFormat="false" ht="23.85" hidden="false" customHeight="false" outlineLevel="0" collapsed="false">
      <c r="A87" s="40" t="s">
        <v>532</v>
      </c>
      <c r="B87" s="40" t="s">
        <v>172</v>
      </c>
      <c r="C87" s="40" t="s">
        <v>37</v>
      </c>
      <c r="D87" s="40" t="s">
        <v>6</v>
      </c>
      <c r="E87" s="40" t="s">
        <v>371</v>
      </c>
      <c r="F87" s="40" t="s">
        <v>173</v>
      </c>
      <c r="G87" s="40" t="s">
        <v>533</v>
      </c>
      <c r="H87" s="40" t="s">
        <v>43</v>
      </c>
      <c r="I87" s="43" t="n">
        <v>0</v>
      </c>
      <c r="J87" s="43" t="n">
        <v>0</v>
      </c>
      <c r="K87" s="43" t="n">
        <v>0</v>
      </c>
      <c r="L87" s="43" t="n">
        <v>12</v>
      </c>
      <c r="M87" s="43" t="n">
        <v>12</v>
      </c>
      <c r="N87" s="43" t="n">
        <v>0</v>
      </c>
      <c r="O87" s="43" t="n">
        <v>0</v>
      </c>
      <c r="P87" s="43" t="n">
        <v>0</v>
      </c>
      <c r="Q87" s="43" t="n">
        <v>0</v>
      </c>
      <c r="R87" s="43" t="n">
        <v>0</v>
      </c>
      <c r="S87" s="43" t="n">
        <v>0</v>
      </c>
      <c r="T87" s="43" t="n">
        <v>0</v>
      </c>
      <c r="U87" s="42" t="n">
        <f aca="false">SUM(I87:T87)</f>
        <v>24</v>
      </c>
    </row>
    <row r="88" customFormat="false" ht="23.85" hidden="false" customHeight="false" outlineLevel="0" collapsed="false">
      <c r="A88" s="40" t="s">
        <v>534</v>
      </c>
      <c r="B88" s="40" t="s">
        <v>172</v>
      </c>
      <c r="C88" s="40" t="s">
        <v>37</v>
      </c>
      <c r="D88" s="40" t="s">
        <v>6</v>
      </c>
      <c r="E88" s="40" t="s">
        <v>371</v>
      </c>
      <c r="F88" s="40" t="s">
        <v>173</v>
      </c>
      <c r="G88" s="40" t="s">
        <v>535</v>
      </c>
      <c r="H88" s="40" t="s">
        <v>43</v>
      </c>
      <c r="I88" s="43" t="n">
        <v>0</v>
      </c>
      <c r="J88" s="43" t="n">
        <v>0</v>
      </c>
      <c r="K88" s="43" t="n">
        <v>0</v>
      </c>
      <c r="L88" s="43" t="n">
        <v>0</v>
      </c>
      <c r="M88" s="43" t="n">
        <v>0</v>
      </c>
      <c r="N88" s="43" t="n">
        <v>0</v>
      </c>
      <c r="O88" s="43" t="n">
        <v>0</v>
      </c>
      <c r="P88" s="43" t="n">
        <v>0</v>
      </c>
      <c r="Q88" s="43" t="n">
        <v>0</v>
      </c>
      <c r="R88" s="43" t="n">
        <v>0</v>
      </c>
      <c r="S88" s="43" t="n">
        <v>49</v>
      </c>
      <c r="T88" s="43" t="n">
        <v>0</v>
      </c>
      <c r="U88" s="42" t="n">
        <f aca="false">SUM(I88:T88)</f>
        <v>49</v>
      </c>
    </row>
    <row r="89" customFormat="false" ht="23.85" hidden="false" customHeight="false" outlineLevel="0" collapsed="false">
      <c r="A89" s="40" t="s">
        <v>536</v>
      </c>
      <c r="B89" s="40" t="s">
        <v>172</v>
      </c>
      <c r="C89" s="40" t="s">
        <v>37</v>
      </c>
      <c r="D89" s="40" t="s">
        <v>6</v>
      </c>
      <c r="E89" s="40" t="s">
        <v>371</v>
      </c>
      <c r="F89" s="40" t="s">
        <v>173</v>
      </c>
      <c r="G89" s="40" t="s">
        <v>407</v>
      </c>
      <c r="H89" s="40" t="s">
        <v>43</v>
      </c>
      <c r="I89" s="43" t="n">
        <v>0</v>
      </c>
      <c r="J89" s="43" t="n">
        <v>0</v>
      </c>
      <c r="K89" s="43" t="n">
        <v>0</v>
      </c>
      <c r="L89" s="43" t="n">
        <v>0</v>
      </c>
      <c r="M89" s="43" t="n">
        <v>19</v>
      </c>
      <c r="N89" s="43" t="n">
        <v>0</v>
      </c>
      <c r="O89" s="43" t="n">
        <v>0</v>
      </c>
      <c r="P89" s="43" t="n">
        <v>0</v>
      </c>
      <c r="Q89" s="43" t="n">
        <v>0</v>
      </c>
      <c r="R89" s="43" t="n">
        <v>0</v>
      </c>
      <c r="S89" s="43" t="n">
        <v>0</v>
      </c>
      <c r="T89" s="43" t="n">
        <v>0</v>
      </c>
      <c r="U89" s="42" t="n">
        <f aca="false">SUM(I89:T89)</f>
        <v>19</v>
      </c>
    </row>
    <row r="90" customFormat="false" ht="23.85" hidden="false" customHeight="false" outlineLevel="0" collapsed="false">
      <c r="A90" s="40" t="s">
        <v>537</v>
      </c>
      <c r="B90" s="40" t="s">
        <v>172</v>
      </c>
      <c r="C90" s="40" t="s">
        <v>37</v>
      </c>
      <c r="D90" s="40" t="s">
        <v>6</v>
      </c>
      <c r="E90" s="40" t="s">
        <v>371</v>
      </c>
      <c r="F90" s="40" t="s">
        <v>173</v>
      </c>
      <c r="G90" s="40" t="s">
        <v>409</v>
      </c>
      <c r="H90" s="40" t="s">
        <v>43</v>
      </c>
      <c r="I90" s="43" t="n">
        <v>0</v>
      </c>
      <c r="J90" s="43" t="n">
        <v>0</v>
      </c>
      <c r="K90" s="43" t="n">
        <v>13</v>
      </c>
      <c r="L90" s="43" t="n">
        <v>0</v>
      </c>
      <c r="M90" s="43" t="n">
        <v>0</v>
      </c>
      <c r="N90" s="43" t="n">
        <v>0</v>
      </c>
      <c r="O90" s="43" t="n">
        <v>0</v>
      </c>
      <c r="P90" s="43" t="n">
        <v>0</v>
      </c>
      <c r="Q90" s="43" t="n">
        <v>0</v>
      </c>
      <c r="R90" s="43" t="n">
        <v>0</v>
      </c>
      <c r="S90" s="43" t="n">
        <v>0</v>
      </c>
      <c r="T90" s="43" t="n">
        <v>0</v>
      </c>
      <c r="U90" s="42" t="n">
        <f aca="false">SUM(I90:T90)</f>
        <v>13</v>
      </c>
    </row>
    <row r="91" customFormat="false" ht="23.85" hidden="false" customHeight="false" outlineLevel="0" collapsed="false">
      <c r="A91" s="40" t="s">
        <v>538</v>
      </c>
      <c r="B91" s="40" t="s">
        <v>172</v>
      </c>
      <c r="C91" s="40" t="s">
        <v>37</v>
      </c>
      <c r="D91" s="40" t="s">
        <v>6</v>
      </c>
      <c r="E91" s="40" t="s">
        <v>371</v>
      </c>
      <c r="F91" s="40" t="s">
        <v>173</v>
      </c>
      <c r="G91" s="40" t="s">
        <v>411</v>
      </c>
      <c r="H91" s="40" t="s">
        <v>43</v>
      </c>
      <c r="I91" s="43" t="n">
        <v>0</v>
      </c>
      <c r="J91" s="43" t="n">
        <v>0</v>
      </c>
      <c r="K91" s="43" t="n">
        <v>0</v>
      </c>
      <c r="L91" s="43" t="n">
        <v>0</v>
      </c>
      <c r="M91" s="43" t="n">
        <v>0</v>
      </c>
      <c r="N91" s="43" t="n">
        <v>13</v>
      </c>
      <c r="O91" s="43" t="n">
        <v>0</v>
      </c>
      <c r="P91" s="43" t="n">
        <v>0</v>
      </c>
      <c r="Q91" s="43" t="n">
        <v>0</v>
      </c>
      <c r="R91" s="43" t="n">
        <v>0</v>
      </c>
      <c r="S91" s="43" t="n">
        <v>0</v>
      </c>
      <c r="T91" s="43" t="n">
        <v>0</v>
      </c>
      <c r="U91" s="42" t="n">
        <f aca="false">SUM(I91:T91)</f>
        <v>13</v>
      </c>
    </row>
    <row r="92" customFormat="false" ht="23.85" hidden="false" customHeight="false" outlineLevel="0" collapsed="false">
      <c r="A92" s="40" t="s">
        <v>539</v>
      </c>
      <c r="B92" s="40" t="s">
        <v>172</v>
      </c>
      <c r="C92" s="40" t="s">
        <v>37</v>
      </c>
      <c r="D92" s="40" t="s">
        <v>6</v>
      </c>
      <c r="E92" s="40" t="s">
        <v>371</v>
      </c>
      <c r="F92" s="40" t="s">
        <v>173</v>
      </c>
      <c r="G92" s="40" t="s">
        <v>413</v>
      </c>
      <c r="H92" s="40" t="s">
        <v>43</v>
      </c>
      <c r="I92" s="43" t="n">
        <v>0</v>
      </c>
      <c r="J92" s="43" t="n">
        <v>0</v>
      </c>
      <c r="K92" s="43" t="n">
        <v>0</v>
      </c>
      <c r="L92" s="43" t="n">
        <v>0</v>
      </c>
      <c r="M92" s="43" t="n">
        <v>0</v>
      </c>
      <c r="N92" s="43" t="n">
        <v>25</v>
      </c>
      <c r="O92" s="43" t="n">
        <v>0</v>
      </c>
      <c r="P92" s="43" t="n">
        <v>0</v>
      </c>
      <c r="Q92" s="43" t="n">
        <v>0</v>
      </c>
      <c r="R92" s="43" t="n">
        <v>0</v>
      </c>
      <c r="S92" s="43" t="n">
        <v>0</v>
      </c>
      <c r="T92" s="43" t="n">
        <v>0</v>
      </c>
      <c r="U92" s="42" t="n">
        <f aca="false">SUM(I92:T92)</f>
        <v>25</v>
      </c>
    </row>
    <row r="93" customFormat="false" ht="23.85" hidden="false" customHeight="false" outlineLevel="0" collapsed="false">
      <c r="A93" s="40" t="s">
        <v>540</v>
      </c>
      <c r="B93" s="40" t="s">
        <v>175</v>
      </c>
      <c r="C93" s="40" t="s">
        <v>37</v>
      </c>
      <c r="D93" s="40" t="s">
        <v>6</v>
      </c>
      <c r="E93" s="40" t="s">
        <v>371</v>
      </c>
      <c r="F93" s="40" t="s">
        <v>176</v>
      </c>
      <c r="G93" s="40" t="s">
        <v>541</v>
      </c>
      <c r="H93" s="40" t="s">
        <v>43</v>
      </c>
      <c r="I93" s="43" t="n">
        <v>0</v>
      </c>
      <c r="J93" s="43" t="n">
        <v>0</v>
      </c>
      <c r="K93" s="43" t="n">
        <v>0</v>
      </c>
      <c r="L93" s="43" t="n">
        <v>0</v>
      </c>
      <c r="M93" s="43" t="n">
        <v>37</v>
      </c>
      <c r="N93" s="43" t="n">
        <v>25</v>
      </c>
      <c r="O93" s="43" t="n">
        <v>0</v>
      </c>
      <c r="P93" s="43" t="n">
        <v>0</v>
      </c>
      <c r="Q93" s="43" t="n">
        <v>0</v>
      </c>
      <c r="R93" s="43" t="n">
        <v>0</v>
      </c>
      <c r="S93" s="43" t="n">
        <v>0</v>
      </c>
      <c r="T93" s="43" t="n">
        <v>0</v>
      </c>
      <c r="U93" s="42" t="n">
        <f aca="false">SUM(I93:T93)</f>
        <v>62</v>
      </c>
    </row>
    <row r="94" customFormat="false" ht="23.85" hidden="false" customHeight="false" outlineLevel="0" collapsed="false">
      <c r="A94" s="40" t="s">
        <v>542</v>
      </c>
      <c r="B94" s="40" t="s">
        <v>175</v>
      </c>
      <c r="C94" s="40" t="s">
        <v>37</v>
      </c>
      <c r="D94" s="40" t="s">
        <v>6</v>
      </c>
      <c r="E94" s="40" t="s">
        <v>371</v>
      </c>
      <c r="F94" s="40" t="s">
        <v>176</v>
      </c>
      <c r="G94" s="40" t="s">
        <v>543</v>
      </c>
      <c r="H94" s="40" t="s">
        <v>43</v>
      </c>
      <c r="I94" s="43" t="n">
        <v>0</v>
      </c>
      <c r="J94" s="43" t="n">
        <v>0</v>
      </c>
      <c r="K94" s="43" t="n">
        <v>0</v>
      </c>
      <c r="L94" s="43" t="n">
        <v>0</v>
      </c>
      <c r="M94" s="43" t="n">
        <v>31</v>
      </c>
      <c r="N94" s="43" t="n">
        <v>0</v>
      </c>
      <c r="O94" s="43" t="n">
        <v>0</v>
      </c>
      <c r="P94" s="43" t="n">
        <v>0</v>
      </c>
      <c r="Q94" s="43" t="n">
        <v>0</v>
      </c>
      <c r="R94" s="43" t="n">
        <v>0</v>
      </c>
      <c r="S94" s="43" t="n">
        <v>0</v>
      </c>
      <c r="T94" s="43" t="n">
        <v>0</v>
      </c>
      <c r="U94" s="42" t="n">
        <f aca="false">SUM(I94:T94)</f>
        <v>31</v>
      </c>
    </row>
    <row r="95" customFormat="false" ht="23.85" hidden="false" customHeight="false" outlineLevel="0" collapsed="false">
      <c r="A95" s="40" t="s">
        <v>544</v>
      </c>
      <c r="B95" s="40" t="s">
        <v>175</v>
      </c>
      <c r="C95" s="40" t="s">
        <v>37</v>
      </c>
      <c r="D95" s="40" t="s">
        <v>6</v>
      </c>
      <c r="E95" s="40" t="s">
        <v>371</v>
      </c>
      <c r="F95" s="40" t="s">
        <v>176</v>
      </c>
      <c r="G95" s="40" t="s">
        <v>545</v>
      </c>
      <c r="H95" s="40" t="s">
        <v>43</v>
      </c>
      <c r="I95" s="43" t="n">
        <v>0</v>
      </c>
      <c r="J95" s="43" t="n">
        <v>0</v>
      </c>
      <c r="K95" s="43" t="n">
        <v>0</v>
      </c>
      <c r="L95" s="43" t="n">
        <v>0</v>
      </c>
      <c r="M95" s="43" t="n">
        <v>0</v>
      </c>
      <c r="N95" s="43" t="n">
        <v>73</v>
      </c>
      <c r="O95" s="43" t="n">
        <v>0</v>
      </c>
      <c r="P95" s="43" t="n">
        <v>0</v>
      </c>
      <c r="Q95" s="43" t="n">
        <v>37</v>
      </c>
      <c r="R95" s="43" t="n">
        <v>0</v>
      </c>
      <c r="S95" s="43" t="n">
        <v>0</v>
      </c>
      <c r="T95" s="43" t="n">
        <v>0</v>
      </c>
      <c r="U95" s="42" t="n">
        <f aca="false">SUM(I95:T95)</f>
        <v>110</v>
      </c>
    </row>
    <row r="96" customFormat="false" ht="23.85" hidden="false" customHeight="false" outlineLevel="0" collapsed="false">
      <c r="A96" s="40" t="s">
        <v>546</v>
      </c>
      <c r="B96" s="40" t="s">
        <v>175</v>
      </c>
      <c r="C96" s="40" t="s">
        <v>37</v>
      </c>
      <c r="D96" s="40" t="s">
        <v>6</v>
      </c>
      <c r="E96" s="40" t="s">
        <v>371</v>
      </c>
      <c r="F96" s="40" t="s">
        <v>176</v>
      </c>
      <c r="G96" s="40" t="s">
        <v>547</v>
      </c>
      <c r="H96" s="40" t="s">
        <v>43</v>
      </c>
      <c r="I96" s="43" t="n">
        <v>0</v>
      </c>
      <c r="J96" s="43" t="n">
        <v>0</v>
      </c>
      <c r="K96" s="43" t="n">
        <v>0</v>
      </c>
      <c r="L96" s="43" t="n">
        <v>0</v>
      </c>
      <c r="M96" s="43" t="n">
        <v>0</v>
      </c>
      <c r="N96" s="43" t="n">
        <v>73</v>
      </c>
      <c r="O96" s="43" t="n">
        <v>0</v>
      </c>
      <c r="P96" s="43" t="n">
        <v>0</v>
      </c>
      <c r="Q96" s="43" t="n">
        <v>0</v>
      </c>
      <c r="R96" s="43" t="n">
        <v>0</v>
      </c>
      <c r="S96" s="43" t="n">
        <v>0</v>
      </c>
      <c r="T96" s="43" t="n">
        <v>0</v>
      </c>
      <c r="U96" s="42" t="n">
        <f aca="false">SUM(I96:T96)</f>
        <v>73</v>
      </c>
    </row>
    <row r="97" customFormat="false" ht="23.85" hidden="false" customHeight="false" outlineLevel="0" collapsed="false">
      <c r="A97" s="40" t="s">
        <v>548</v>
      </c>
      <c r="B97" s="40" t="s">
        <v>175</v>
      </c>
      <c r="C97" s="40" t="s">
        <v>37</v>
      </c>
      <c r="D97" s="40" t="s">
        <v>6</v>
      </c>
      <c r="E97" s="40" t="s">
        <v>371</v>
      </c>
      <c r="F97" s="40" t="s">
        <v>176</v>
      </c>
      <c r="G97" s="40" t="s">
        <v>549</v>
      </c>
      <c r="H97" s="40" t="s">
        <v>43</v>
      </c>
      <c r="I97" s="43" t="n">
        <v>0</v>
      </c>
      <c r="J97" s="43" t="n">
        <v>0</v>
      </c>
      <c r="K97" s="43" t="n">
        <v>0</v>
      </c>
      <c r="L97" s="43" t="n">
        <v>0</v>
      </c>
      <c r="M97" s="43" t="n">
        <v>0</v>
      </c>
      <c r="N97" s="43" t="n">
        <v>49</v>
      </c>
      <c r="O97" s="43" t="n">
        <v>0</v>
      </c>
      <c r="P97" s="43" t="n">
        <v>0</v>
      </c>
      <c r="Q97" s="43" t="n">
        <v>0</v>
      </c>
      <c r="R97" s="43" t="n">
        <v>0</v>
      </c>
      <c r="S97" s="43" t="n">
        <v>0</v>
      </c>
      <c r="T97" s="43" t="n">
        <v>0</v>
      </c>
      <c r="U97" s="42" t="n">
        <f aca="false">SUM(I97:T97)</f>
        <v>49</v>
      </c>
    </row>
    <row r="98" customFormat="false" ht="23.85" hidden="false" customHeight="false" outlineLevel="0" collapsed="false">
      <c r="A98" s="40" t="s">
        <v>550</v>
      </c>
      <c r="B98" s="40" t="s">
        <v>175</v>
      </c>
      <c r="C98" s="40" t="s">
        <v>37</v>
      </c>
      <c r="D98" s="40" t="s">
        <v>6</v>
      </c>
      <c r="E98" s="40" t="s">
        <v>371</v>
      </c>
      <c r="F98" s="40" t="s">
        <v>176</v>
      </c>
      <c r="G98" s="40" t="s">
        <v>551</v>
      </c>
      <c r="H98" s="40" t="s">
        <v>43</v>
      </c>
      <c r="I98" s="43" t="n">
        <v>0</v>
      </c>
      <c r="J98" s="43" t="n">
        <v>0</v>
      </c>
      <c r="K98" s="43" t="n">
        <v>0</v>
      </c>
      <c r="L98" s="43" t="n">
        <v>0</v>
      </c>
      <c r="M98" s="43" t="n">
        <v>18</v>
      </c>
      <c r="N98" s="43" t="n">
        <v>73</v>
      </c>
      <c r="O98" s="43" t="n">
        <v>0</v>
      </c>
      <c r="P98" s="43" t="n">
        <v>0</v>
      </c>
      <c r="Q98" s="43" t="n">
        <v>37</v>
      </c>
      <c r="R98" s="43" t="n">
        <v>0</v>
      </c>
      <c r="S98" s="43" t="n">
        <v>0</v>
      </c>
      <c r="T98" s="43" t="n">
        <v>0</v>
      </c>
      <c r="U98" s="42" t="n">
        <f aca="false">SUM(I98:T98)</f>
        <v>128</v>
      </c>
    </row>
    <row r="99" customFormat="false" ht="23.85" hidden="false" customHeight="false" outlineLevel="0" collapsed="false">
      <c r="A99" s="40" t="s">
        <v>552</v>
      </c>
      <c r="B99" s="40" t="s">
        <v>175</v>
      </c>
      <c r="C99" s="40" t="s">
        <v>37</v>
      </c>
      <c r="D99" s="40" t="s">
        <v>6</v>
      </c>
      <c r="E99" s="40" t="s">
        <v>371</v>
      </c>
      <c r="F99" s="40" t="s">
        <v>176</v>
      </c>
      <c r="G99" s="40" t="s">
        <v>553</v>
      </c>
      <c r="H99" s="40" t="s">
        <v>43</v>
      </c>
      <c r="I99" s="43" t="n">
        <v>0</v>
      </c>
      <c r="J99" s="43" t="n">
        <v>0</v>
      </c>
      <c r="K99" s="43" t="n">
        <v>0</v>
      </c>
      <c r="L99" s="43" t="n">
        <v>0</v>
      </c>
      <c r="M99" s="43" t="n">
        <v>12</v>
      </c>
      <c r="N99" s="43" t="n">
        <v>0</v>
      </c>
      <c r="O99" s="43" t="n">
        <v>0</v>
      </c>
      <c r="P99" s="43" t="n">
        <v>0</v>
      </c>
      <c r="Q99" s="43" t="n">
        <v>0</v>
      </c>
      <c r="R99" s="43" t="n">
        <v>0</v>
      </c>
      <c r="S99" s="43" t="n">
        <v>0</v>
      </c>
      <c r="T99" s="43" t="n">
        <v>0</v>
      </c>
      <c r="U99" s="42" t="n">
        <f aca="false">SUM(I99:T99)</f>
        <v>12</v>
      </c>
    </row>
    <row r="100" customFormat="false" ht="23.85" hidden="false" customHeight="false" outlineLevel="0" collapsed="false">
      <c r="A100" s="40" t="s">
        <v>554</v>
      </c>
      <c r="B100" s="40" t="s">
        <v>175</v>
      </c>
      <c r="C100" s="40" t="s">
        <v>37</v>
      </c>
      <c r="D100" s="40" t="s">
        <v>6</v>
      </c>
      <c r="E100" s="40" t="s">
        <v>371</v>
      </c>
      <c r="F100" s="40" t="s">
        <v>176</v>
      </c>
      <c r="G100" s="40" t="s">
        <v>555</v>
      </c>
      <c r="H100" s="40" t="s">
        <v>43</v>
      </c>
      <c r="I100" s="43" t="n">
        <v>0</v>
      </c>
      <c r="J100" s="43" t="n">
        <v>0</v>
      </c>
      <c r="K100" s="43" t="n">
        <v>0</v>
      </c>
      <c r="L100" s="43" t="n">
        <v>0</v>
      </c>
      <c r="M100" s="43" t="n">
        <v>0</v>
      </c>
      <c r="N100" s="43" t="n">
        <v>0</v>
      </c>
      <c r="O100" s="43" t="n">
        <v>0</v>
      </c>
      <c r="P100" s="43" t="n">
        <v>0</v>
      </c>
      <c r="Q100" s="43" t="n">
        <v>0</v>
      </c>
      <c r="R100" s="43" t="n">
        <v>0</v>
      </c>
      <c r="S100" s="43" t="n">
        <v>73</v>
      </c>
      <c r="T100" s="43" t="n">
        <v>0</v>
      </c>
      <c r="U100" s="42" t="n">
        <f aca="false">SUM(I100:T100)</f>
        <v>73</v>
      </c>
    </row>
    <row r="101" customFormat="false" ht="23.85" hidden="false" customHeight="false" outlineLevel="0" collapsed="false">
      <c r="A101" s="40" t="s">
        <v>556</v>
      </c>
      <c r="B101" s="40" t="s">
        <v>175</v>
      </c>
      <c r="C101" s="40" t="s">
        <v>37</v>
      </c>
      <c r="D101" s="40" t="s">
        <v>6</v>
      </c>
      <c r="E101" s="40" t="s">
        <v>371</v>
      </c>
      <c r="F101" s="40" t="s">
        <v>176</v>
      </c>
      <c r="G101" s="40" t="s">
        <v>407</v>
      </c>
      <c r="H101" s="40" t="s">
        <v>43</v>
      </c>
      <c r="I101" s="43" t="n">
        <v>0</v>
      </c>
      <c r="J101" s="43" t="n">
        <v>0</v>
      </c>
      <c r="K101" s="43" t="n">
        <v>0</v>
      </c>
      <c r="L101" s="43" t="n">
        <v>0</v>
      </c>
      <c r="M101" s="43" t="n">
        <v>32</v>
      </c>
      <c r="N101" s="43" t="n">
        <v>0</v>
      </c>
      <c r="O101" s="43" t="n">
        <v>0</v>
      </c>
      <c r="P101" s="43" t="n">
        <v>0</v>
      </c>
      <c r="Q101" s="43" t="n">
        <v>0</v>
      </c>
      <c r="R101" s="43" t="n">
        <v>0</v>
      </c>
      <c r="S101" s="43" t="n">
        <v>0</v>
      </c>
      <c r="T101" s="43" t="n">
        <v>0</v>
      </c>
      <c r="U101" s="42" t="n">
        <f aca="false">SUM(I101:T101)</f>
        <v>32</v>
      </c>
    </row>
    <row r="102" customFormat="false" ht="23.85" hidden="false" customHeight="false" outlineLevel="0" collapsed="false">
      <c r="A102" s="40" t="s">
        <v>557</v>
      </c>
      <c r="B102" s="40" t="s">
        <v>175</v>
      </c>
      <c r="C102" s="40" t="s">
        <v>37</v>
      </c>
      <c r="D102" s="40" t="s">
        <v>6</v>
      </c>
      <c r="E102" s="40" t="s">
        <v>371</v>
      </c>
      <c r="F102" s="40" t="s">
        <v>176</v>
      </c>
      <c r="G102" s="40" t="s">
        <v>409</v>
      </c>
      <c r="H102" s="40" t="s">
        <v>43</v>
      </c>
      <c r="I102" s="43" t="n">
        <v>0</v>
      </c>
      <c r="J102" s="43" t="n">
        <v>0</v>
      </c>
      <c r="K102" s="43" t="n">
        <v>22</v>
      </c>
      <c r="L102" s="43" t="n">
        <v>0</v>
      </c>
      <c r="M102" s="43" t="n">
        <v>0</v>
      </c>
      <c r="N102" s="43" t="n">
        <v>0</v>
      </c>
      <c r="O102" s="43" t="n">
        <v>0</v>
      </c>
      <c r="P102" s="43" t="n">
        <v>0</v>
      </c>
      <c r="Q102" s="43" t="n">
        <v>0</v>
      </c>
      <c r="R102" s="43" t="n">
        <v>0</v>
      </c>
      <c r="S102" s="43" t="n">
        <v>0</v>
      </c>
      <c r="T102" s="43" t="n">
        <v>0</v>
      </c>
      <c r="U102" s="42" t="n">
        <f aca="false">SUM(I102:T102)</f>
        <v>22</v>
      </c>
    </row>
    <row r="103" customFormat="false" ht="23.85" hidden="false" customHeight="false" outlineLevel="0" collapsed="false">
      <c r="A103" s="40" t="s">
        <v>558</v>
      </c>
      <c r="B103" s="40" t="s">
        <v>175</v>
      </c>
      <c r="C103" s="40" t="s">
        <v>37</v>
      </c>
      <c r="D103" s="40" t="s">
        <v>6</v>
      </c>
      <c r="E103" s="40" t="s">
        <v>371</v>
      </c>
      <c r="F103" s="40" t="s">
        <v>176</v>
      </c>
      <c r="G103" s="40" t="s">
        <v>411</v>
      </c>
      <c r="H103" s="40" t="s">
        <v>43</v>
      </c>
      <c r="I103" s="43" t="n">
        <v>0</v>
      </c>
      <c r="J103" s="43" t="n">
        <v>0</v>
      </c>
      <c r="K103" s="43" t="n">
        <v>0</v>
      </c>
      <c r="L103" s="43" t="n">
        <v>0</v>
      </c>
      <c r="M103" s="43" t="n">
        <v>0</v>
      </c>
      <c r="N103" s="43" t="n">
        <v>22</v>
      </c>
      <c r="O103" s="43" t="n">
        <v>0</v>
      </c>
      <c r="P103" s="43" t="n">
        <v>0</v>
      </c>
      <c r="Q103" s="43" t="n">
        <v>0</v>
      </c>
      <c r="R103" s="43" t="n">
        <v>0</v>
      </c>
      <c r="S103" s="43" t="n">
        <v>0</v>
      </c>
      <c r="T103" s="43" t="n">
        <v>0</v>
      </c>
      <c r="U103" s="42" t="n">
        <f aca="false">SUM(I103:T103)</f>
        <v>22</v>
      </c>
    </row>
    <row r="104" customFormat="false" ht="23.85" hidden="false" customHeight="false" outlineLevel="0" collapsed="false">
      <c r="A104" s="40" t="s">
        <v>559</v>
      </c>
      <c r="B104" s="40" t="s">
        <v>175</v>
      </c>
      <c r="C104" s="40" t="s">
        <v>37</v>
      </c>
      <c r="D104" s="40" t="s">
        <v>6</v>
      </c>
      <c r="E104" s="40" t="s">
        <v>371</v>
      </c>
      <c r="F104" s="40" t="s">
        <v>176</v>
      </c>
      <c r="G104" s="40" t="s">
        <v>413</v>
      </c>
      <c r="H104" s="40" t="s">
        <v>43</v>
      </c>
      <c r="I104" s="43" t="n">
        <v>0</v>
      </c>
      <c r="J104" s="43" t="n">
        <v>0</v>
      </c>
      <c r="K104" s="43" t="n">
        <v>0</v>
      </c>
      <c r="L104" s="43" t="n">
        <v>0</v>
      </c>
      <c r="M104" s="43" t="n">
        <v>0</v>
      </c>
      <c r="N104" s="43" t="n">
        <v>43</v>
      </c>
      <c r="O104" s="43" t="n">
        <v>0</v>
      </c>
      <c r="P104" s="43" t="n">
        <v>0</v>
      </c>
      <c r="Q104" s="43" t="n">
        <v>0</v>
      </c>
      <c r="R104" s="43" t="n">
        <v>0</v>
      </c>
      <c r="S104" s="43" t="n">
        <v>0</v>
      </c>
      <c r="T104" s="43" t="n">
        <v>0</v>
      </c>
      <c r="U104" s="42" t="n">
        <f aca="false">SUM(I104:T104)</f>
        <v>43</v>
      </c>
    </row>
    <row r="105" customFormat="false" ht="23.85" hidden="false" customHeight="false" outlineLevel="0" collapsed="false">
      <c r="A105" s="40" t="s">
        <v>560</v>
      </c>
      <c r="B105" s="40" t="s">
        <v>178</v>
      </c>
      <c r="C105" s="40" t="s">
        <v>37</v>
      </c>
      <c r="D105" s="40" t="s">
        <v>6</v>
      </c>
      <c r="E105" s="40" t="s">
        <v>371</v>
      </c>
      <c r="F105" s="40" t="s">
        <v>179</v>
      </c>
      <c r="G105" s="40" t="s">
        <v>561</v>
      </c>
      <c r="H105" s="40" t="s">
        <v>43</v>
      </c>
      <c r="I105" s="43" t="n">
        <v>0</v>
      </c>
      <c r="J105" s="43" t="n">
        <v>0</v>
      </c>
      <c r="K105" s="43" t="n">
        <v>0</v>
      </c>
      <c r="L105" s="43" t="n">
        <v>0</v>
      </c>
      <c r="M105" s="43" t="n">
        <v>20</v>
      </c>
      <c r="N105" s="43" t="n">
        <v>0</v>
      </c>
      <c r="O105" s="43" t="n">
        <v>0</v>
      </c>
      <c r="P105" s="43" t="n">
        <v>0</v>
      </c>
      <c r="Q105" s="43" t="n">
        <v>0</v>
      </c>
      <c r="R105" s="43" t="n">
        <v>0</v>
      </c>
      <c r="S105" s="43" t="n">
        <v>0</v>
      </c>
      <c r="T105" s="43" t="n">
        <v>0</v>
      </c>
      <c r="U105" s="42" t="n">
        <f aca="false">SUM(I105:T105)</f>
        <v>20</v>
      </c>
    </row>
    <row r="106" customFormat="false" ht="23.85" hidden="false" customHeight="false" outlineLevel="0" collapsed="false">
      <c r="A106" s="40" t="s">
        <v>562</v>
      </c>
      <c r="B106" s="40" t="s">
        <v>178</v>
      </c>
      <c r="C106" s="40" t="s">
        <v>37</v>
      </c>
      <c r="D106" s="40" t="s">
        <v>6</v>
      </c>
      <c r="E106" s="40" t="s">
        <v>371</v>
      </c>
      <c r="F106" s="40" t="s">
        <v>179</v>
      </c>
      <c r="G106" s="40" t="s">
        <v>563</v>
      </c>
      <c r="H106" s="40" t="s">
        <v>43</v>
      </c>
      <c r="I106" s="43" t="n">
        <v>0</v>
      </c>
      <c r="J106" s="43" t="n">
        <v>0</v>
      </c>
      <c r="K106" s="43" t="n">
        <v>0</v>
      </c>
      <c r="L106" s="43" t="n">
        <v>0</v>
      </c>
      <c r="M106" s="43" t="n">
        <v>0</v>
      </c>
      <c r="N106" s="43" t="n">
        <v>31</v>
      </c>
      <c r="O106" s="43" t="n">
        <v>10</v>
      </c>
      <c r="P106" s="43" t="n">
        <v>0</v>
      </c>
      <c r="Q106" s="43" t="n">
        <v>0</v>
      </c>
      <c r="R106" s="43" t="n">
        <v>0</v>
      </c>
      <c r="S106" s="43" t="n">
        <v>0</v>
      </c>
      <c r="T106" s="43" t="n">
        <v>0</v>
      </c>
      <c r="U106" s="42" t="n">
        <f aca="false">SUM(I106:T106)</f>
        <v>41</v>
      </c>
    </row>
    <row r="107" customFormat="false" ht="23.85" hidden="false" customHeight="false" outlineLevel="0" collapsed="false">
      <c r="A107" s="40" t="s">
        <v>564</v>
      </c>
      <c r="B107" s="40" t="s">
        <v>178</v>
      </c>
      <c r="C107" s="40" t="s">
        <v>37</v>
      </c>
      <c r="D107" s="40" t="s">
        <v>6</v>
      </c>
      <c r="E107" s="40" t="s">
        <v>371</v>
      </c>
      <c r="F107" s="40" t="s">
        <v>179</v>
      </c>
      <c r="G107" s="40" t="s">
        <v>565</v>
      </c>
      <c r="H107" s="40" t="s">
        <v>43</v>
      </c>
      <c r="I107" s="43" t="n">
        <v>0</v>
      </c>
      <c r="J107" s="43" t="n">
        <v>0</v>
      </c>
      <c r="K107" s="43" t="n">
        <v>0</v>
      </c>
      <c r="L107" s="43" t="n">
        <v>0</v>
      </c>
      <c r="M107" s="43" t="n">
        <v>0</v>
      </c>
      <c r="N107" s="43" t="n">
        <v>26</v>
      </c>
      <c r="O107" s="43" t="n">
        <v>0</v>
      </c>
      <c r="P107" s="43" t="n">
        <v>0</v>
      </c>
      <c r="Q107" s="43" t="n">
        <v>0</v>
      </c>
      <c r="R107" s="43" t="n">
        <v>0</v>
      </c>
      <c r="S107" s="43" t="n">
        <v>0</v>
      </c>
      <c r="T107" s="43" t="n">
        <v>0</v>
      </c>
      <c r="U107" s="42" t="n">
        <f aca="false">SUM(I107:T107)</f>
        <v>26</v>
      </c>
    </row>
    <row r="108" customFormat="false" ht="23.85" hidden="false" customHeight="false" outlineLevel="0" collapsed="false">
      <c r="A108" s="40" t="s">
        <v>566</v>
      </c>
      <c r="B108" s="40" t="s">
        <v>178</v>
      </c>
      <c r="C108" s="40" t="s">
        <v>37</v>
      </c>
      <c r="D108" s="40" t="s">
        <v>6</v>
      </c>
      <c r="E108" s="40" t="s">
        <v>371</v>
      </c>
      <c r="F108" s="40" t="s">
        <v>179</v>
      </c>
      <c r="G108" s="40" t="s">
        <v>567</v>
      </c>
      <c r="H108" s="40" t="s">
        <v>43</v>
      </c>
      <c r="I108" s="43" t="n">
        <v>0</v>
      </c>
      <c r="J108" s="43" t="n">
        <v>0</v>
      </c>
      <c r="K108" s="43" t="n">
        <v>0</v>
      </c>
      <c r="L108" s="43" t="n">
        <v>0</v>
      </c>
      <c r="M108" s="43" t="n">
        <v>0</v>
      </c>
      <c r="N108" s="43" t="n">
        <v>41</v>
      </c>
      <c r="O108" s="43" t="n">
        <v>10</v>
      </c>
      <c r="P108" s="43" t="n">
        <v>0</v>
      </c>
      <c r="Q108" s="43" t="n">
        <v>0</v>
      </c>
      <c r="R108" s="43" t="n">
        <v>0</v>
      </c>
      <c r="S108" s="43" t="n">
        <v>0</v>
      </c>
      <c r="T108" s="43" t="n">
        <v>0</v>
      </c>
      <c r="U108" s="42" t="n">
        <f aca="false">SUM(I108:T108)</f>
        <v>51</v>
      </c>
    </row>
    <row r="109" customFormat="false" ht="23.85" hidden="false" customHeight="false" outlineLevel="0" collapsed="false">
      <c r="A109" s="40" t="s">
        <v>568</v>
      </c>
      <c r="B109" s="40" t="s">
        <v>178</v>
      </c>
      <c r="C109" s="40" t="s">
        <v>37</v>
      </c>
      <c r="D109" s="40" t="s">
        <v>6</v>
      </c>
      <c r="E109" s="40" t="s">
        <v>371</v>
      </c>
      <c r="F109" s="40" t="s">
        <v>179</v>
      </c>
      <c r="G109" s="40" t="s">
        <v>569</v>
      </c>
      <c r="H109" s="40" t="s">
        <v>43</v>
      </c>
      <c r="I109" s="43" t="n">
        <v>0</v>
      </c>
      <c r="J109" s="43" t="n">
        <v>0</v>
      </c>
      <c r="K109" s="43" t="n">
        <v>0</v>
      </c>
      <c r="L109" s="43" t="n">
        <v>0</v>
      </c>
      <c r="M109" s="43" t="n">
        <v>0</v>
      </c>
      <c r="N109" s="43" t="n">
        <v>26</v>
      </c>
      <c r="O109" s="43" t="n">
        <v>0</v>
      </c>
      <c r="P109" s="43" t="n">
        <v>0</v>
      </c>
      <c r="Q109" s="43" t="n">
        <v>0</v>
      </c>
      <c r="R109" s="43" t="n">
        <v>0</v>
      </c>
      <c r="S109" s="43" t="n">
        <v>0</v>
      </c>
      <c r="T109" s="43" t="n">
        <v>0</v>
      </c>
      <c r="U109" s="42" t="n">
        <f aca="false">SUM(I109:T109)</f>
        <v>26</v>
      </c>
    </row>
    <row r="110" customFormat="false" ht="23.85" hidden="false" customHeight="false" outlineLevel="0" collapsed="false">
      <c r="A110" s="40" t="s">
        <v>570</v>
      </c>
      <c r="B110" s="40" t="s">
        <v>178</v>
      </c>
      <c r="C110" s="40" t="s">
        <v>37</v>
      </c>
      <c r="D110" s="40" t="s">
        <v>6</v>
      </c>
      <c r="E110" s="40" t="s">
        <v>371</v>
      </c>
      <c r="F110" s="40" t="s">
        <v>179</v>
      </c>
      <c r="G110" s="40" t="s">
        <v>571</v>
      </c>
      <c r="H110" s="40" t="s">
        <v>43</v>
      </c>
      <c r="I110" s="43" t="n">
        <v>0</v>
      </c>
      <c r="J110" s="43" t="n">
        <v>0</v>
      </c>
      <c r="K110" s="43" t="n">
        <v>0</v>
      </c>
      <c r="L110" s="43" t="n">
        <v>0</v>
      </c>
      <c r="M110" s="43" t="n">
        <v>10</v>
      </c>
      <c r="N110" s="43" t="n">
        <v>20</v>
      </c>
      <c r="O110" s="43" t="n">
        <v>0</v>
      </c>
      <c r="P110" s="43" t="n">
        <v>0</v>
      </c>
      <c r="Q110" s="43" t="n">
        <v>0</v>
      </c>
      <c r="R110" s="43" t="n">
        <v>0</v>
      </c>
      <c r="S110" s="43" t="n">
        <v>0</v>
      </c>
      <c r="T110" s="43" t="n">
        <v>0</v>
      </c>
      <c r="U110" s="42" t="n">
        <f aca="false">SUM(I110:T110)</f>
        <v>30</v>
      </c>
    </row>
    <row r="111" customFormat="false" ht="23.85" hidden="false" customHeight="false" outlineLevel="0" collapsed="false">
      <c r="A111" s="40" t="s">
        <v>572</v>
      </c>
      <c r="B111" s="40" t="s">
        <v>178</v>
      </c>
      <c r="C111" s="40" t="s">
        <v>37</v>
      </c>
      <c r="D111" s="40" t="s">
        <v>6</v>
      </c>
      <c r="E111" s="40" t="s">
        <v>371</v>
      </c>
      <c r="F111" s="40" t="s">
        <v>179</v>
      </c>
      <c r="G111" s="40" t="s">
        <v>573</v>
      </c>
      <c r="H111" s="40" t="s">
        <v>43</v>
      </c>
      <c r="I111" s="43" t="n">
        <v>0</v>
      </c>
      <c r="J111" s="43" t="n">
        <v>0</v>
      </c>
      <c r="K111" s="43" t="n">
        <v>0</v>
      </c>
      <c r="L111" s="43" t="n">
        <v>0</v>
      </c>
      <c r="M111" s="43" t="n">
        <v>0</v>
      </c>
      <c r="N111" s="43" t="n">
        <v>0</v>
      </c>
      <c r="O111" s="43" t="n">
        <v>0</v>
      </c>
      <c r="P111" s="43" t="n">
        <v>0</v>
      </c>
      <c r="Q111" s="43" t="n">
        <v>0</v>
      </c>
      <c r="R111" s="43" t="n">
        <v>0</v>
      </c>
      <c r="S111" s="43" t="n">
        <v>31</v>
      </c>
      <c r="T111" s="43" t="n">
        <v>0</v>
      </c>
      <c r="U111" s="42" t="n">
        <f aca="false">SUM(I111:T111)</f>
        <v>31</v>
      </c>
    </row>
    <row r="112" customFormat="false" ht="23.85" hidden="false" customHeight="false" outlineLevel="0" collapsed="false">
      <c r="A112" s="40" t="s">
        <v>574</v>
      </c>
      <c r="B112" s="40" t="s">
        <v>178</v>
      </c>
      <c r="C112" s="40" t="s">
        <v>37</v>
      </c>
      <c r="D112" s="40" t="s">
        <v>6</v>
      </c>
      <c r="E112" s="40" t="s">
        <v>371</v>
      </c>
      <c r="F112" s="40" t="s">
        <v>179</v>
      </c>
      <c r="G112" s="40" t="s">
        <v>407</v>
      </c>
      <c r="H112" s="40" t="s">
        <v>43</v>
      </c>
      <c r="I112" s="43" t="n">
        <v>0</v>
      </c>
      <c r="J112" s="43" t="n">
        <v>0</v>
      </c>
      <c r="K112" s="43" t="n">
        <v>0</v>
      </c>
      <c r="L112" s="43" t="n">
        <v>0</v>
      </c>
      <c r="M112" s="43" t="n">
        <v>14</v>
      </c>
      <c r="N112" s="43" t="n">
        <v>0</v>
      </c>
      <c r="O112" s="43" t="n">
        <v>0</v>
      </c>
      <c r="P112" s="43" t="n">
        <v>0</v>
      </c>
      <c r="Q112" s="43" t="n">
        <v>0</v>
      </c>
      <c r="R112" s="43" t="n">
        <v>0</v>
      </c>
      <c r="S112" s="43" t="n">
        <v>0</v>
      </c>
      <c r="T112" s="43" t="n">
        <v>0</v>
      </c>
      <c r="U112" s="42" t="n">
        <f aca="false">SUM(I112:T112)</f>
        <v>14</v>
      </c>
    </row>
    <row r="113" customFormat="false" ht="23.85" hidden="false" customHeight="false" outlineLevel="0" collapsed="false">
      <c r="A113" s="40" t="s">
        <v>575</v>
      </c>
      <c r="B113" s="40" t="s">
        <v>178</v>
      </c>
      <c r="C113" s="40" t="s">
        <v>37</v>
      </c>
      <c r="D113" s="40" t="s">
        <v>6</v>
      </c>
      <c r="E113" s="40" t="s">
        <v>371</v>
      </c>
      <c r="F113" s="40" t="s">
        <v>179</v>
      </c>
      <c r="G113" s="40" t="s">
        <v>409</v>
      </c>
      <c r="H113" s="40" t="s">
        <v>43</v>
      </c>
      <c r="I113" s="43" t="n">
        <v>0</v>
      </c>
      <c r="J113" s="43" t="n">
        <v>0</v>
      </c>
      <c r="K113" s="43" t="n">
        <v>9</v>
      </c>
      <c r="L113" s="43" t="n">
        <v>0</v>
      </c>
      <c r="M113" s="43" t="n">
        <v>0</v>
      </c>
      <c r="N113" s="43" t="n">
        <v>0</v>
      </c>
      <c r="O113" s="43" t="n">
        <v>0</v>
      </c>
      <c r="P113" s="43" t="n">
        <v>0</v>
      </c>
      <c r="Q113" s="43" t="n">
        <v>0</v>
      </c>
      <c r="R113" s="43" t="n">
        <v>0</v>
      </c>
      <c r="S113" s="43" t="n">
        <v>0</v>
      </c>
      <c r="T113" s="43" t="n">
        <v>0</v>
      </c>
      <c r="U113" s="42" t="n">
        <f aca="false">SUM(I113:T113)</f>
        <v>9</v>
      </c>
    </row>
    <row r="114" customFormat="false" ht="23.85" hidden="false" customHeight="false" outlineLevel="0" collapsed="false">
      <c r="A114" s="40" t="s">
        <v>576</v>
      </c>
      <c r="B114" s="40" t="s">
        <v>178</v>
      </c>
      <c r="C114" s="40" t="s">
        <v>37</v>
      </c>
      <c r="D114" s="40" t="s">
        <v>6</v>
      </c>
      <c r="E114" s="40" t="s">
        <v>371</v>
      </c>
      <c r="F114" s="40" t="s">
        <v>179</v>
      </c>
      <c r="G114" s="40" t="s">
        <v>411</v>
      </c>
      <c r="H114" s="40" t="s">
        <v>43</v>
      </c>
      <c r="I114" s="43" t="n">
        <v>0</v>
      </c>
      <c r="J114" s="43" t="n">
        <v>0</v>
      </c>
      <c r="K114" s="43" t="n">
        <v>0</v>
      </c>
      <c r="L114" s="43" t="n">
        <v>0</v>
      </c>
      <c r="M114" s="43" t="n">
        <v>0</v>
      </c>
      <c r="N114" s="43" t="n">
        <v>9</v>
      </c>
      <c r="O114" s="43" t="n">
        <v>0</v>
      </c>
      <c r="P114" s="43" t="n">
        <v>0</v>
      </c>
      <c r="Q114" s="43" t="n">
        <v>0</v>
      </c>
      <c r="R114" s="43" t="n">
        <v>0</v>
      </c>
      <c r="S114" s="43" t="n">
        <v>0</v>
      </c>
      <c r="T114" s="43" t="n">
        <v>0</v>
      </c>
      <c r="U114" s="42" t="n">
        <f aca="false">SUM(I114:T114)</f>
        <v>9</v>
      </c>
    </row>
    <row r="115" customFormat="false" ht="23.85" hidden="false" customHeight="false" outlineLevel="0" collapsed="false">
      <c r="A115" s="40" t="s">
        <v>577</v>
      </c>
      <c r="B115" s="40" t="s">
        <v>178</v>
      </c>
      <c r="C115" s="40" t="s">
        <v>37</v>
      </c>
      <c r="D115" s="40" t="s">
        <v>6</v>
      </c>
      <c r="E115" s="40" t="s">
        <v>371</v>
      </c>
      <c r="F115" s="40" t="s">
        <v>179</v>
      </c>
      <c r="G115" s="40" t="s">
        <v>413</v>
      </c>
      <c r="H115" s="40" t="s">
        <v>43</v>
      </c>
      <c r="I115" s="43" t="n">
        <v>0</v>
      </c>
      <c r="J115" s="43" t="n">
        <v>0</v>
      </c>
      <c r="K115" s="43" t="n">
        <v>0</v>
      </c>
      <c r="L115" s="43" t="n">
        <v>0</v>
      </c>
      <c r="M115" s="43" t="n">
        <v>0</v>
      </c>
      <c r="N115" s="43" t="n">
        <v>18</v>
      </c>
      <c r="O115" s="43" t="n">
        <v>0</v>
      </c>
      <c r="P115" s="43" t="n">
        <v>0</v>
      </c>
      <c r="Q115" s="43" t="n">
        <v>0</v>
      </c>
      <c r="R115" s="43" t="n">
        <v>0</v>
      </c>
      <c r="S115" s="43" t="n">
        <v>0</v>
      </c>
      <c r="T115" s="43" t="n">
        <v>0</v>
      </c>
      <c r="U115" s="42" t="n">
        <f aca="false">SUM(I115:T115)</f>
        <v>18</v>
      </c>
    </row>
    <row r="116" customFormat="false" ht="15" hidden="false" customHeight="false" outlineLevel="0" collapsed="false">
      <c r="A116" s="40" t="s">
        <v>578</v>
      </c>
      <c r="B116" s="40" t="s">
        <v>181</v>
      </c>
      <c r="C116" s="40" t="s">
        <v>37</v>
      </c>
      <c r="D116" s="40" t="s">
        <v>6</v>
      </c>
      <c r="E116" s="40" t="s">
        <v>371</v>
      </c>
      <c r="F116" s="40" t="s">
        <v>182</v>
      </c>
      <c r="G116" s="40" t="s">
        <v>579</v>
      </c>
      <c r="H116" s="40" t="s">
        <v>43</v>
      </c>
      <c r="I116" s="43" t="n">
        <v>0</v>
      </c>
      <c r="J116" s="43" t="n">
        <v>0</v>
      </c>
      <c r="K116" s="43" t="n">
        <v>0</v>
      </c>
      <c r="L116" s="43" t="n">
        <v>0</v>
      </c>
      <c r="M116" s="43" t="n">
        <v>0</v>
      </c>
      <c r="N116" s="43" t="n">
        <v>12</v>
      </c>
      <c r="O116" s="43" t="n">
        <v>0</v>
      </c>
      <c r="P116" s="43" t="n">
        <v>0</v>
      </c>
      <c r="Q116" s="43" t="n">
        <v>0</v>
      </c>
      <c r="R116" s="43" t="n">
        <v>4</v>
      </c>
      <c r="S116" s="43" t="n">
        <v>0</v>
      </c>
      <c r="T116" s="43" t="n">
        <v>0</v>
      </c>
      <c r="U116" s="42" t="n">
        <f aca="false">SUM(I116:T116)</f>
        <v>16</v>
      </c>
    </row>
    <row r="117" customFormat="false" ht="15" hidden="false" customHeight="false" outlineLevel="0" collapsed="false">
      <c r="A117" s="40" t="s">
        <v>580</v>
      </c>
      <c r="B117" s="40" t="s">
        <v>181</v>
      </c>
      <c r="C117" s="40" t="s">
        <v>37</v>
      </c>
      <c r="D117" s="40" t="s">
        <v>6</v>
      </c>
      <c r="E117" s="40" t="s">
        <v>371</v>
      </c>
      <c r="F117" s="40" t="s">
        <v>182</v>
      </c>
      <c r="G117" s="40" t="s">
        <v>581</v>
      </c>
      <c r="H117" s="40" t="s">
        <v>43</v>
      </c>
      <c r="I117" s="43" t="n">
        <v>0</v>
      </c>
      <c r="J117" s="43" t="n">
        <v>0</v>
      </c>
      <c r="K117" s="43" t="n">
        <v>0</v>
      </c>
      <c r="L117" s="43" t="n">
        <v>0</v>
      </c>
      <c r="M117" s="43" t="n">
        <v>0</v>
      </c>
      <c r="N117" s="43" t="n">
        <v>20</v>
      </c>
      <c r="O117" s="43" t="n">
        <v>0</v>
      </c>
      <c r="P117" s="43" t="n">
        <v>0</v>
      </c>
      <c r="Q117" s="43" t="n">
        <v>0</v>
      </c>
      <c r="R117" s="43" t="n">
        <v>0</v>
      </c>
      <c r="S117" s="43" t="n">
        <v>0</v>
      </c>
      <c r="T117" s="43" t="n">
        <v>0</v>
      </c>
      <c r="U117" s="42" t="n">
        <f aca="false">SUM(I117:T117)</f>
        <v>20</v>
      </c>
    </row>
    <row r="118" customFormat="false" ht="15" hidden="false" customHeight="false" outlineLevel="0" collapsed="false">
      <c r="A118" s="40" t="s">
        <v>582</v>
      </c>
      <c r="B118" s="40" t="s">
        <v>181</v>
      </c>
      <c r="C118" s="40" t="s">
        <v>37</v>
      </c>
      <c r="D118" s="40" t="s">
        <v>6</v>
      </c>
      <c r="E118" s="40" t="s">
        <v>371</v>
      </c>
      <c r="F118" s="40" t="s">
        <v>182</v>
      </c>
      <c r="G118" s="40" t="s">
        <v>583</v>
      </c>
      <c r="H118" s="40" t="s">
        <v>43</v>
      </c>
      <c r="I118" s="43" t="n">
        <v>0</v>
      </c>
      <c r="J118" s="43" t="n">
        <v>0</v>
      </c>
      <c r="K118" s="43" t="n">
        <v>0</v>
      </c>
      <c r="L118" s="43" t="n">
        <v>0</v>
      </c>
      <c r="M118" s="43" t="n">
        <v>0</v>
      </c>
      <c r="N118" s="43" t="n">
        <v>20</v>
      </c>
      <c r="O118" s="43" t="n">
        <v>0</v>
      </c>
      <c r="P118" s="43" t="n">
        <v>0</v>
      </c>
      <c r="Q118" s="43" t="n">
        <v>0</v>
      </c>
      <c r="R118" s="43" t="n">
        <v>12</v>
      </c>
      <c r="S118" s="43" t="n">
        <v>0</v>
      </c>
      <c r="T118" s="43" t="n">
        <v>0</v>
      </c>
      <c r="U118" s="42" t="n">
        <f aca="false">SUM(I118:T118)</f>
        <v>32</v>
      </c>
    </row>
    <row r="119" customFormat="false" ht="15" hidden="false" customHeight="false" outlineLevel="0" collapsed="false">
      <c r="A119" s="40" t="s">
        <v>584</v>
      </c>
      <c r="B119" s="40" t="s">
        <v>181</v>
      </c>
      <c r="C119" s="40" t="s">
        <v>37</v>
      </c>
      <c r="D119" s="40" t="s">
        <v>6</v>
      </c>
      <c r="E119" s="40" t="s">
        <v>371</v>
      </c>
      <c r="F119" s="40" t="s">
        <v>182</v>
      </c>
      <c r="G119" s="40" t="s">
        <v>585</v>
      </c>
      <c r="H119" s="40" t="s">
        <v>43</v>
      </c>
      <c r="I119" s="43" t="n">
        <v>0</v>
      </c>
      <c r="J119" s="43" t="n">
        <v>0</v>
      </c>
      <c r="K119" s="43" t="n">
        <v>0</v>
      </c>
      <c r="L119" s="43" t="n">
        <v>0</v>
      </c>
      <c r="M119" s="43" t="n">
        <v>0</v>
      </c>
      <c r="N119" s="43" t="n">
        <v>12</v>
      </c>
      <c r="O119" s="43" t="n">
        <v>0</v>
      </c>
      <c r="P119" s="43" t="n">
        <v>0</v>
      </c>
      <c r="Q119" s="43" t="n">
        <v>0</v>
      </c>
      <c r="R119" s="43" t="n">
        <v>0</v>
      </c>
      <c r="S119" s="43" t="n">
        <v>0</v>
      </c>
      <c r="T119" s="43" t="n">
        <v>0</v>
      </c>
      <c r="U119" s="42" t="n">
        <f aca="false">SUM(I119:T119)</f>
        <v>12</v>
      </c>
    </row>
    <row r="120" customFormat="false" ht="15" hidden="false" customHeight="false" outlineLevel="0" collapsed="false">
      <c r="A120" s="40" t="s">
        <v>586</v>
      </c>
      <c r="B120" s="40" t="s">
        <v>181</v>
      </c>
      <c r="C120" s="40" t="s">
        <v>37</v>
      </c>
      <c r="D120" s="40" t="s">
        <v>6</v>
      </c>
      <c r="E120" s="40" t="s">
        <v>371</v>
      </c>
      <c r="F120" s="40" t="s">
        <v>182</v>
      </c>
      <c r="G120" s="40" t="s">
        <v>587</v>
      </c>
      <c r="H120" s="40" t="s">
        <v>43</v>
      </c>
      <c r="I120" s="43" t="n">
        <v>0</v>
      </c>
      <c r="J120" s="43" t="n">
        <v>0</v>
      </c>
      <c r="K120" s="43" t="n">
        <v>0</v>
      </c>
      <c r="L120" s="43" t="n">
        <v>0</v>
      </c>
      <c r="M120" s="43" t="n">
        <v>0</v>
      </c>
      <c r="N120" s="43" t="n">
        <v>0</v>
      </c>
      <c r="O120" s="43" t="n">
        <v>0</v>
      </c>
      <c r="P120" s="43" t="n">
        <v>0</v>
      </c>
      <c r="Q120" s="43" t="n">
        <v>0</v>
      </c>
      <c r="R120" s="43" t="n">
        <v>0</v>
      </c>
      <c r="S120" s="43" t="n">
        <v>16</v>
      </c>
      <c r="T120" s="43" t="n">
        <v>0</v>
      </c>
      <c r="U120" s="42" t="n">
        <f aca="false">SUM(I120:T120)</f>
        <v>16</v>
      </c>
    </row>
    <row r="121" customFormat="false" ht="15" hidden="false" customHeight="false" outlineLevel="0" collapsed="false">
      <c r="A121" s="40" t="s">
        <v>588</v>
      </c>
      <c r="B121" s="40" t="s">
        <v>181</v>
      </c>
      <c r="C121" s="40" t="s">
        <v>37</v>
      </c>
      <c r="D121" s="40" t="s">
        <v>6</v>
      </c>
      <c r="E121" s="40" t="s">
        <v>371</v>
      </c>
      <c r="F121" s="40" t="s">
        <v>182</v>
      </c>
      <c r="G121" s="40" t="s">
        <v>407</v>
      </c>
      <c r="H121" s="40" t="s">
        <v>43</v>
      </c>
      <c r="I121" s="43" t="n">
        <v>0</v>
      </c>
      <c r="J121" s="43" t="n">
        <v>0</v>
      </c>
      <c r="K121" s="43" t="n">
        <v>0</v>
      </c>
      <c r="L121" s="43" t="n">
        <v>0</v>
      </c>
      <c r="M121" s="43" t="n">
        <v>6</v>
      </c>
      <c r="N121" s="43" t="n">
        <v>0</v>
      </c>
      <c r="O121" s="43" t="n">
        <v>0</v>
      </c>
      <c r="P121" s="43" t="n">
        <v>0</v>
      </c>
      <c r="Q121" s="43" t="n">
        <v>0</v>
      </c>
      <c r="R121" s="43" t="n">
        <v>0</v>
      </c>
      <c r="S121" s="43" t="n">
        <v>0</v>
      </c>
      <c r="T121" s="43" t="n">
        <v>0</v>
      </c>
      <c r="U121" s="42" t="n">
        <f aca="false">SUM(I121:T121)</f>
        <v>6</v>
      </c>
    </row>
    <row r="122" customFormat="false" ht="15" hidden="false" customHeight="false" outlineLevel="0" collapsed="false">
      <c r="A122" s="40" t="s">
        <v>589</v>
      </c>
      <c r="B122" s="40" t="s">
        <v>181</v>
      </c>
      <c r="C122" s="40" t="s">
        <v>37</v>
      </c>
      <c r="D122" s="40" t="s">
        <v>6</v>
      </c>
      <c r="E122" s="40" t="s">
        <v>371</v>
      </c>
      <c r="F122" s="40" t="s">
        <v>182</v>
      </c>
      <c r="G122" s="40" t="s">
        <v>409</v>
      </c>
      <c r="H122" s="40" t="s">
        <v>43</v>
      </c>
      <c r="I122" s="43" t="n">
        <v>0</v>
      </c>
      <c r="J122" s="43" t="n">
        <v>0</v>
      </c>
      <c r="K122" s="43" t="n">
        <v>4</v>
      </c>
      <c r="L122" s="43" t="n">
        <v>0</v>
      </c>
      <c r="M122" s="43" t="n">
        <v>0</v>
      </c>
      <c r="N122" s="43" t="n">
        <v>0</v>
      </c>
      <c r="O122" s="43" t="n">
        <v>0</v>
      </c>
      <c r="P122" s="43" t="n">
        <v>0</v>
      </c>
      <c r="Q122" s="43" t="n">
        <v>0</v>
      </c>
      <c r="R122" s="43" t="n">
        <v>0</v>
      </c>
      <c r="S122" s="43" t="n">
        <v>0</v>
      </c>
      <c r="T122" s="43" t="n">
        <v>0</v>
      </c>
      <c r="U122" s="42" t="n">
        <f aca="false">SUM(I122:T122)</f>
        <v>4</v>
      </c>
    </row>
    <row r="123" customFormat="false" ht="15" hidden="false" customHeight="false" outlineLevel="0" collapsed="false">
      <c r="A123" s="40" t="s">
        <v>590</v>
      </c>
      <c r="B123" s="40" t="s">
        <v>181</v>
      </c>
      <c r="C123" s="40" t="s">
        <v>37</v>
      </c>
      <c r="D123" s="40" t="s">
        <v>6</v>
      </c>
      <c r="E123" s="40" t="s">
        <v>371</v>
      </c>
      <c r="F123" s="40" t="s">
        <v>182</v>
      </c>
      <c r="G123" s="40" t="s">
        <v>411</v>
      </c>
      <c r="H123" s="40" t="s">
        <v>43</v>
      </c>
      <c r="I123" s="43" t="n">
        <v>0</v>
      </c>
      <c r="J123" s="43" t="n">
        <v>0</v>
      </c>
      <c r="K123" s="43" t="n">
        <v>0</v>
      </c>
      <c r="L123" s="43" t="n">
        <v>0</v>
      </c>
      <c r="M123" s="43" t="n">
        <v>0</v>
      </c>
      <c r="N123" s="43" t="n">
        <v>4</v>
      </c>
      <c r="O123" s="43" t="n">
        <v>0</v>
      </c>
      <c r="P123" s="43" t="n">
        <v>0</v>
      </c>
      <c r="Q123" s="43" t="n">
        <v>0</v>
      </c>
      <c r="R123" s="43" t="n">
        <v>0</v>
      </c>
      <c r="S123" s="43" t="n">
        <v>0</v>
      </c>
      <c r="T123" s="43" t="n">
        <v>0</v>
      </c>
      <c r="U123" s="42" t="n">
        <f aca="false">SUM(I123:T123)</f>
        <v>4</v>
      </c>
    </row>
    <row r="124" customFormat="false" ht="15" hidden="false" customHeight="false" outlineLevel="0" collapsed="false">
      <c r="A124" s="40" t="s">
        <v>591</v>
      </c>
      <c r="B124" s="40" t="s">
        <v>181</v>
      </c>
      <c r="C124" s="40" t="s">
        <v>37</v>
      </c>
      <c r="D124" s="40" t="s">
        <v>6</v>
      </c>
      <c r="E124" s="40" t="s">
        <v>371</v>
      </c>
      <c r="F124" s="40" t="s">
        <v>182</v>
      </c>
      <c r="G124" s="40" t="s">
        <v>413</v>
      </c>
      <c r="H124" s="40" t="s">
        <v>43</v>
      </c>
      <c r="I124" s="43" t="n">
        <v>0</v>
      </c>
      <c r="J124" s="43" t="n">
        <v>0</v>
      </c>
      <c r="K124" s="43" t="n">
        <v>0</v>
      </c>
      <c r="L124" s="43" t="n">
        <v>0</v>
      </c>
      <c r="M124" s="43" t="n">
        <v>0</v>
      </c>
      <c r="N124" s="43" t="n">
        <v>8</v>
      </c>
      <c r="O124" s="43" t="n">
        <v>0</v>
      </c>
      <c r="P124" s="43" t="n">
        <v>0</v>
      </c>
      <c r="Q124" s="43" t="n">
        <v>0</v>
      </c>
      <c r="R124" s="43" t="n">
        <v>0</v>
      </c>
      <c r="S124" s="43" t="n">
        <v>0</v>
      </c>
      <c r="T124" s="43" t="n">
        <v>0</v>
      </c>
      <c r="U124" s="42" t="n">
        <f aca="false">SUM(I124:T124)</f>
        <v>8</v>
      </c>
    </row>
    <row r="125" customFormat="false" ht="15" hidden="false" customHeight="false" outlineLevel="0" collapsed="false">
      <c r="A125" s="40" t="s">
        <v>592</v>
      </c>
      <c r="B125" s="40" t="s">
        <v>184</v>
      </c>
      <c r="C125" s="40" t="s">
        <v>37</v>
      </c>
      <c r="D125" s="40" t="s">
        <v>6</v>
      </c>
      <c r="E125" s="40" t="s">
        <v>371</v>
      </c>
      <c r="F125" s="40" t="s">
        <v>185</v>
      </c>
      <c r="G125" s="40" t="s">
        <v>593</v>
      </c>
      <c r="H125" s="40" t="s">
        <v>43</v>
      </c>
      <c r="I125" s="43" t="n">
        <v>0</v>
      </c>
      <c r="J125" s="43" t="n">
        <v>0</v>
      </c>
      <c r="K125" s="43" t="n">
        <v>0</v>
      </c>
      <c r="L125" s="43" t="n">
        <v>10</v>
      </c>
      <c r="M125" s="43" t="n">
        <v>10</v>
      </c>
      <c r="N125" s="43" t="n">
        <v>0</v>
      </c>
      <c r="O125" s="43" t="n">
        <v>0</v>
      </c>
      <c r="P125" s="43" t="n">
        <v>0</v>
      </c>
      <c r="Q125" s="43" t="n">
        <v>0</v>
      </c>
      <c r="R125" s="43" t="n">
        <v>0</v>
      </c>
      <c r="S125" s="43" t="n">
        <v>0</v>
      </c>
      <c r="T125" s="43" t="n">
        <v>0</v>
      </c>
      <c r="U125" s="42" t="n">
        <f aca="false">SUM(I125:T125)</f>
        <v>20</v>
      </c>
    </row>
    <row r="126" customFormat="false" ht="15" hidden="false" customHeight="false" outlineLevel="0" collapsed="false">
      <c r="A126" s="40" t="s">
        <v>594</v>
      </c>
      <c r="B126" s="40" t="s">
        <v>184</v>
      </c>
      <c r="C126" s="40" t="s">
        <v>37</v>
      </c>
      <c r="D126" s="40" t="s">
        <v>6</v>
      </c>
      <c r="E126" s="40" t="s">
        <v>371</v>
      </c>
      <c r="F126" s="40" t="s">
        <v>185</v>
      </c>
      <c r="G126" s="40" t="s">
        <v>595</v>
      </c>
      <c r="H126" s="40" t="s">
        <v>43</v>
      </c>
      <c r="I126" s="43" t="n">
        <v>0</v>
      </c>
      <c r="J126" s="43" t="n">
        <v>0</v>
      </c>
      <c r="K126" s="43" t="n">
        <v>0</v>
      </c>
      <c r="L126" s="43" t="n">
        <v>0</v>
      </c>
      <c r="M126" s="43" t="n">
        <v>0</v>
      </c>
      <c r="N126" s="43" t="n">
        <v>15</v>
      </c>
      <c r="O126" s="43" t="n">
        <v>0</v>
      </c>
      <c r="P126" s="43" t="n">
        <v>0</v>
      </c>
      <c r="Q126" s="43" t="n">
        <v>0</v>
      </c>
      <c r="R126" s="43" t="n">
        <v>0</v>
      </c>
      <c r="S126" s="43" t="n">
        <v>0</v>
      </c>
      <c r="T126" s="43" t="n">
        <v>0</v>
      </c>
      <c r="U126" s="42" t="n">
        <f aca="false">SUM(I126:T126)</f>
        <v>15</v>
      </c>
    </row>
    <row r="127" customFormat="false" ht="15" hidden="false" customHeight="false" outlineLevel="0" collapsed="false">
      <c r="A127" s="40" t="s">
        <v>596</v>
      </c>
      <c r="B127" s="40" t="s">
        <v>184</v>
      </c>
      <c r="C127" s="40" t="s">
        <v>37</v>
      </c>
      <c r="D127" s="40" t="s">
        <v>6</v>
      </c>
      <c r="E127" s="40" t="s">
        <v>371</v>
      </c>
      <c r="F127" s="40" t="s">
        <v>185</v>
      </c>
      <c r="G127" s="40" t="s">
        <v>597</v>
      </c>
      <c r="H127" s="40" t="s">
        <v>43</v>
      </c>
      <c r="I127" s="43" t="n">
        <v>0</v>
      </c>
      <c r="J127" s="43" t="n">
        <v>0</v>
      </c>
      <c r="K127" s="43" t="n">
        <v>0</v>
      </c>
      <c r="L127" s="43" t="n">
        <v>10</v>
      </c>
      <c r="M127" s="43" t="n">
        <v>0</v>
      </c>
      <c r="N127" s="43" t="n">
        <v>15</v>
      </c>
      <c r="O127" s="43" t="n">
        <v>0</v>
      </c>
      <c r="P127" s="43" t="n">
        <v>0</v>
      </c>
      <c r="Q127" s="43" t="n">
        <v>0</v>
      </c>
      <c r="R127" s="43" t="n">
        <v>0</v>
      </c>
      <c r="S127" s="43" t="n">
        <v>0</v>
      </c>
      <c r="T127" s="43" t="n">
        <v>0</v>
      </c>
      <c r="U127" s="42" t="n">
        <f aca="false">SUM(I127:T127)</f>
        <v>25</v>
      </c>
    </row>
    <row r="128" customFormat="false" ht="15" hidden="false" customHeight="false" outlineLevel="0" collapsed="false">
      <c r="A128" s="40" t="s">
        <v>598</v>
      </c>
      <c r="B128" s="40" t="s">
        <v>184</v>
      </c>
      <c r="C128" s="40" t="s">
        <v>37</v>
      </c>
      <c r="D128" s="40" t="s">
        <v>6</v>
      </c>
      <c r="E128" s="40" t="s">
        <v>371</v>
      </c>
      <c r="F128" s="40" t="s">
        <v>185</v>
      </c>
      <c r="G128" s="40" t="s">
        <v>599</v>
      </c>
      <c r="H128" s="40" t="s">
        <v>43</v>
      </c>
      <c r="I128" s="43" t="n">
        <v>0</v>
      </c>
      <c r="J128" s="43" t="n">
        <v>0</v>
      </c>
      <c r="K128" s="43" t="n">
        <v>0</v>
      </c>
      <c r="L128" s="43" t="n">
        <v>10</v>
      </c>
      <c r="M128" s="43" t="n">
        <v>0</v>
      </c>
      <c r="N128" s="43" t="n">
        <v>20</v>
      </c>
      <c r="O128" s="43" t="n">
        <v>0</v>
      </c>
      <c r="P128" s="43" t="n">
        <v>0</v>
      </c>
      <c r="Q128" s="43" t="n">
        <v>0</v>
      </c>
      <c r="R128" s="43" t="n">
        <v>0</v>
      </c>
      <c r="S128" s="43" t="n">
        <v>0</v>
      </c>
      <c r="T128" s="43" t="n">
        <v>0</v>
      </c>
      <c r="U128" s="42" t="n">
        <f aca="false">SUM(I128:T128)</f>
        <v>30</v>
      </c>
    </row>
    <row r="129" customFormat="false" ht="15" hidden="false" customHeight="false" outlineLevel="0" collapsed="false">
      <c r="A129" s="40" t="s">
        <v>600</v>
      </c>
      <c r="B129" s="40" t="s">
        <v>184</v>
      </c>
      <c r="C129" s="40" t="s">
        <v>37</v>
      </c>
      <c r="D129" s="40" t="s">
        <v>6</v>
      </c>
      <c r="E129" s="40" t="s">
        <v>371</v>
      </c>
      <c r="F129" s="40" t="s">
        <v>185</v>
      </c>
      <c r="G129" s="40" t="s">
        <v>601</v>
      </c>
      <c r="H129" s="40" t="s">
        <v>43</v>
      </c>
      <c r="I129" s="43" t="n">
        <v>0</v>
      </c>
      <c r="J129" s="43" t="n">
        <v>0</v>
      </c>
      <c r="K129" s="43" t="n">
        <v>0</v>
      </c>
      <c r="L129" s="43" t="n">
        <v>10</v>
      </c>
      <c r="M129" s="43" t="n">
        <v>10</v>
      </c>
      <c r="N129" s="43" t="n">
        <v>10</v>
      </c>
      <c r="O129" s="43" t="n">
        <v>0</v>
      </c>
      <c r="P129" s="43" t="n">
        <v>0</v>
      </c>
      <c r="Q129" s="43" t="n">
        <v>0</v>
      </c>
      <c r="R129" s="43" t="n">
        <v>0</v>
      </c>
      <c r="S129" s="43" t="n">
        <v>0</v>
      </c>
      <c r="T129" s="43" t="n">
        <v>0</v>
      </c>
      <c r="U129" s="42" t="n">
        <f aca="false">SUM(I129:T129)</f>
        <v>30</v>
      </c>
    </row>
    <row r="130" customFormat="false" ht="15" hidden="false" customHeight="false" outlineLevel="0" collapsed="false">
      <c r="A130" s="40" t="s">
        <v>602</v>
      </c>
      <c r="B130" s="40" t="s">
        <v>184</v>
      </c>
      <c r="C130" s="40" t="s">
        <v>37</v>
      </c>
      <c r="D130" s="40" t="s">
        <v>6</v>
      </c>
      <c r="E130" s="40" t="s">
        <v>371</v>
      </c>
      <c r="F130" s="40" t="s">
        <v>185</v>
      </c>
      <c r="G130" s="40" t="s">
        <v>603</v>
      </c>
      <c r="H130" s="40" t="s">
        <v>43</v>
      </c>
      <c r="I130" s="43" t="n">
        <v>0</v>
      </c>
      <c r="J130" s="43" t="n">
        <v>0</v>
      </c>
      <c r="K130" s="43" t="n">
        <v>0</v>
      </c>
      <c r="L130" s="43" t="n">
        <v>0</v>
      </c>
      <c r="M130" s="43" t="n">
        <v>0</v>
      </c>
      <c r="N130" s="43" t="n">
        <v>0</v>
      </c>
      <c r="O130" s="43" t="n">
        <v>0</v>
      </c>
      <c r="P130" s="43" t="n">
        <v>0</v>
      </c>
      <c r="Q130" s="43" t="n">
        <v>0</v>
      </c>
      <c r="R130" s="43" t="n">
        <v>0</v>
      </c>
      <c r="S130" s="43" t="n">
        <v>41</v>
      </c>
      <c r="T130" s="43" t="n">
        <v>0</v>
      </c>
      <c r="U130" s="42" t="n">
        <f aca="false">SUM(I130:T130)</f>
        <v>41</v>
      </c>
    </row>
    <row r="131" customFormat="false" ht="15" hidden="false" customHeight="false" outlineLevel="0" collapsed="false">
      <c r="A131" s="40" t="s">
        <v>604</v>
      </c>
      <c r="B131" s="40" t="s">
        <v>184</v>
      </c>
      <c r="C131" s="40" t="s">
        <v>37</v>
      </c>
      <c r="D131" s="40" t="s">
        <v>6</v>
      </c>
      <c r="E131" s="40" t="s">
        <v>371</v>
      </c>
      <c r="F131" s="40" t="s">
        <v>185</v>
      </c>
      <c r="G131" s="40" t="s">
        <v>407</v>
      </c>
      <c r="H131" s="40" t="s">
        <v>43</v>
      </c>
      <c r="I131" s="43" t="n">
        <v>0</v>
      </c>
      <c r="J131" s="43" t="n">
        <v>0</v>
      </c>
      <c r="K131" s="43" t="n">
        <v>0</v>
      </c>
      <c r="L131" s="43" t="n">
        <v>0</v>
      </c>
      <c r="M131" s="43" t="n">
        <v>10</v>
      </c>
      <c r="N131" s="43" t="n">
        <v>0</v>
      </c>
      <c r="O131" s="43" t="n">
        <v>0</v>
      </c>
      <c r="P131" s="43" t="n">
        <v>0</v>
      </c>
      <c r="Q131" s="43" t="n">
        <v>0</v>
      </c>
      <c r="R131" s="43" t="n">
        <v>0</v>
      </c>
      <c r="S131" s="43" t="n">
        <v>0</v>
      </c>
      <c r="T131" s="43" t="n">
        <v>0</v>
      </c>
      <c r="U131" s="42" t="n">
        <f aca="false">SUM(I131:T131)</f>
        <v>10</v>
      </c>
    </row>
    <row r="132" customFormat="false" ht="15" hidden="false" customHeight="false" outlineLevel="0" collapsed="false">
      <c r="A132" s="40" t="s">
        <v>605</v>
      </c>
      <c r="B132" s="40" t="s">
        <v>184</v>
      </c>
      <c r="C132" s="40" t="s">
        <v>37</v>
      </c>
      <c r="D132" s="40" t="s">
        <v>6</v>
      </c>
      <c r="E132" s="40" t="s">
        <v>371</v>
      </c>
      <c r="F132" s="40" t="s">
        <v>185</v>
      </c>
      <c r="G132" s="40" t="s">
        <v>409</v>
      </c>
      <c r="H132" s="40" t="s">
        <v>43</v>
      </c>
      <c r="I132" s="43" t="n">
        <v>0</v>
      </c>
      <c r="J132" s="43" t="n">
        <v>0</v>
      </c>
      <c r="K132" s="43" t="n">
        <v>7</v>
      </c>
      <c r="L132" s="43" t="n">
        <v>0</v>
      </c>
      <c r="M132" s="43" t="n">
        <v>0</v>
      </c>
      <c r="N132" s="43" t="n">
        <v>0</v>
      </c>
      <c r="O132" s="43" t="n">
        <v>0</v>
      </c>
      <c r="P132" s="43" t="n">
        <v>0</v>
      </c>
      <c r="Q132" s="43" t="n">
        <v>0</v>
      </c>
      <c r="R132" s="43" t="n">
        <v>0</v>
      </c>
      <c r="S132" s="43" t="n">
        <v>0</v>
      </c>
      <c r="T132" s="43" t="n">
        <v>0</v>
      </c>
      <c r="U132" s="42" t="n">
        <f aca="false">SUM(I132:T132)</f>
        <v>7</v>
      </c>
    </row>
    <row r="133" customFormat="false" ht="15" hidden="false" customHeight="false" outlineLevel="0" collapsed="false">
      <c r="A133" s="40" t="s">
        <v>606</v>
      </c>
      <c r="B133" s="40" t="s">
        <v>184</v>
      </c>
      <c r="C133" s="40" t="s">
        <v>37</v>
      </c>
      <c r="D133" s="40" t="s">
        <v>6</v>
      </c>
      <c r="E133" s="40" t="s">
        <v>371</v>
      </c>
      <c r="F133" s="40" t="s">
        <v>185</v>
      </c>
      <c r="G133" s="40" t="s">
        <v>411</v>
      </c>
      <c r="H133" s="40" t="s">
        <v>43</v>
      </c>
      <c r="I133" s="43" t="n">
        <v>0</v>
      </c>
      <c r="J133" s="43" t="n">
        <v>0</v>
      </c>
      <c r="K133" s="43" t="n">
        <v>0</v>
      </c>
      <c r="L133" s="43" t="n">
        <v>0</v>
      </c>
      <c r="M133" s="43" t="n">
        <v>0</v>
      </c>
      <c r="N133" s="43" t="n">
        <v>7</v>
      </c>
      <c r="O133" s="43" t="n">
        <v>0</v>
      </c>
      <c r="P133" s="43" t="n">
        <v>0</v>
      </c>
      <c r="Q133" s="43" t="n">
        <v>0</v>
      </c>
      <c r="R133" s="43" t="n">
        <v>0</v>
      </c>
      <c r="S133" s="43" t="n">
        <v>0</v>
      </c>
      <c r="T133" s="43" t="n">
        <v>0</v>
      </c>
      <c r="U133" s="42" t="n">
        <f aca="false">SUM(I133:T133)</f>
        <v>7</v>
      </c>
    </row>
    <row r="134" customFormat="false" ht="15" hidden="false" customHeight="false" outlineLevel="0" collapsed="false">
      <c r="A134" s="40" t="s">
        <v>607</v>
      </c>
      <c r="B134" s="40" t="s">
        <v>184</v>
      </c>
      <c r="C134" s="40" t="s">
        <v>37</v>
      </c>
      <c r="D134" s="40" t="s">
        <v>6</v>
      </c>
      <c r="E134" s="40" t="s">
        <v>371</v>
      </c>
      <c r="F134" s="40" t="s">
        <v>185</v>
      </c>
      <c r="G134" s="40" t="s">
        <v>413</v>
      </c>
      <c r="H134" s="40" t="s">
        <v>43</v>
      </c>
      <c r="I134" s="43" t="n">
        <v>0</v>
      </c>
      <c r="J134" s="43" t="n">
        <v>0</v>
      </c>
      <c r="K134" s="43" t="n">
        <v>0</v>
      </c>
      <c r="L134" s="43" t="n">
        <v>0</v>
      </c>
      <c r="M134" s="43" t="n">
        <v>0</v>
      </c>
      <c r="N134" s="43" t="n">
        <v>13</v>
      </c>
      <c r="O134" s="43" t="n">
        <v>0</v>
      </c>
      <c r="P134" s="43" t="n">
        <v>0</v>
      </c>
      <c r="Q134" s="43" t="n">
        <v>0</v>
      </c>
      <c r="R134" s="43" t="n">
        <v>0</v>
      </c>
      <c r="S134" s="43" t="n">
        <v>0</v>
      </c>
      <c r="T134" s="43" t="n">
        <v>0</v>
      </c>
      <c r="U134" s="42" t="n">
        <f aca="false">SUM(I134:T134)</f>
        <v>13</v>
      </c>
    </row>
    <row r="135" customFormat="false" ht="23.85" hidden="false" customHeight="false" outlineLevel="0" collapsed="false">
      <c r="A135" s="40" t="s">
        <v>608</v>
      </c>
      <c r="B135" s="40" t="s">
        <v>233</v>
      </c>
      <c r="C135" s="40" t="s">
        <v>37</v>
      </c>
      <c r="D135" s="40" t="s">
        <v>7</v>
      </c>
      <c r="E135" s="40" t="s">
        <v>372</v>
      </c>
      <c r="F135" s="40" t="s">
        <v>234</v>
      </c>
      <c r="G135" s="40" t="s">
        <v>609</v>
      </c>
      <c r="H135" s="40" t="s">
        <v>42</v>
      </c>
      <c r="I135" s="43" t="n">
        <v>0</v>
      </c>
      <c r="J135" s="43" t="n">
        <v>8</v>
      </c>
      <c r="K135" s="43" t="n">
        <v>0</v>
      </c>
      <c r="L135" s="43" t="n">
        <v>0</v>
      </c>
      <c r="M135" s="43" t="n">
        <v>0</v>
      </c>
      <c r="N135" s="43" t="n">
        <v>8</v>
      </c>
      <c r="O135" s="43" t="n">
        <v>0</v>
      </c>
      <c r="P135" s="43" t="n">
        <v>0</v>
      </c>
      <c r="Q135" s="43" t="n">
        <v>0</v>
      </c>
      <c r="R135" s="43" t="n">
        <v>0</v>
      </c>
      <c r="S135" s="43" t="n">
        <v>0</v>
      </c>
      <c r="T135" s="43" t="n">
        <v>0</v>
      </c>
      <c r="U135" s="42" t="n">
        <f aca="false">SUM(I135:T135)</f>
        <v>16</v>
      </c>
    </row>
    <row r="136" customFormat="false" ht="23.85" hidden="false" customHeight="false" outlineLevel="0" collapsed="false">
      <c r="A136" s="40" t="s">
        <v>610</v>
      </c>
      <c r="B136" s="40" t="s">
        <v>233</v>
      </c>
      <c r="C136" s="40" t="s">
        <v>37</v>
      </c>
      <c r="D136" s="40" t="s">
        <v>7</v>
      </c>
      <c r="E136" s="40" t="s">
        <v>372</v>
      </c>
      <c r="F136" s="40" t="s">
        <v>234</v>
      </c>
      <c r="G136" s="40" t="s">
        <v>611</v>
      </c>
      <c r="H136" s="40" t="s">
        <v>42</v>
      </c>
      <c r="I136" s="43" t="n">
        <v>0</v>
      </c>
      <c r="J136" s="43" t="n">
        <v>0</v>
      </c>
      <c r="K136" s="43" t="n">
        <v>25</v>
      </c>
      <c r="L136" s="43" t="n">
        <v>0</v>
      </c>
      <c r="M136" s="43" t="n">
        <v>0</v>
      </c>
      <c r="N136" s="43" t="n">
        <v>0</v>
      </c>
      <c r="O136" s="43" t="n">
        <v>0</v>
      </c>
      <c r="P136" s="43" t="n">
        <v>0</v>
      </c>
      <c r="Q136" s="43" t="n">
        <v>0</v>
      </c>
      <c r="R136" s="43" t="n">
        <v>0</v>
      </c>
      <c r="S136" s="43" t="n">
        <v>0</v>
      </c>
      <c r="T136" s="43" t="n">
        <v>0</v>
      </c>
      <c r="U136" s="42" t="n">
        <f aca="false">SUM(I136:T136)</f>
        <v>25</v>
      </c>
    </row>
    <row r="137" customFormat="false" ht="23.85" hidden="false" customHeight="false" outlineLevel="0" collapsed="false">
      <c r="A137" s="40" t="s">
        <v>612</v>
      </c>
      <c r="B137" s="40" t="s">
        <v>233</v>
      </c>
      <c r="C137" s="40" t="s">
        <v>37</v>
      </c>
      <c r="D137" s="40" t="s">
        <v>7</v>
      </c>
      <c r="E137" s="40" t="s">
        <v>372</v>
      </c>
      <c r="F137" s="40" t="s">
        <v>234</v>
      </c>
      <c r="G137" s="40" t="s">
        <v>613</v>
      </c>
      <c r="H137" s="40" t="s">
        <v>42</v>
      </c>
      <c r="I137" s="43" t="n">
        <v>0</v>
      </c>
      <c r="J137" s="43" t="n">
        <v>0</v>
      </c>
      <c r="K137" s="43" t="n">
        <v>12</v>
      </c>
      <c r="L137" s="43" t="n">
        <v>0</v>
      </c>
      <c r="M137" s="43" t="n">
        <v>0</v>
      </c>
      <c r="N137" s="43" t="n">
        <v>20</v>
      </c>
      <c r="O137" s="43" t="n">
        <v>0</v>
      </c>
      <c r="P137" s="43" t="n">
        <v>0</v>
      </c>
      <c r="Q137" s="43" t="n">
        <v>0</v>
      </c>
      <c r="R137" s="43" t="n">
        <v>0</v>
      </c>
      <c r="S137" s="43" t="n">
        <v>0</v>
      </c>
      <c r="T137" s="43" t="n">
        <v>0</v>
      </c>
      <c r="U137" s="42" t="n">
        <f aca="false">SUM(I137:T137)</f>
        <v>32</v>
      </c>
    </row>
    <row r="138" customFormat="false" ht="23.85" hidden="false" customHeight="false" outlineLevel="0" collapsed="false">
      <c r="A138" s="40" t="s">
        <v>614</v>
      </c>
      <c r="B138" s="40" t="s">
        <v>233</v>
      </c>
      <c r="C138" s="40" t="s">
        <v>37</v>
      </c>
      <c r="D138" s="40" t="s">
        <v>7</v>
      </c>
      <c r="E138" s="40" t="s">
        <v>372</v>
      </c>
      <c r="F138" s="40" t="s">
        <v>234</v>
      </c>
      <c r="G138" s="40" t="s">
        <v>615</v>
      </c>
      <c r="H138" s="40" t="s">
        <v>42</v>
      </c>
      <c r="I138" s="43" t="n">
        <v>0</v>
      </c>
      <c r="J138" s="43" t="n">
        <v>0</v>
      </c>
      <c r="K138" s="43" t="n">
        <v>0</v>
      </c>
      <c r="L138" s="43" t="n">
        <v>0</v>
      </c>
      <c r="M138" s="43" t="n">
        <v>0</v>
      </c>
      <c r="N138" s="43" t="n">
        <v>12</v>
      </c>
      <c r="O138" s="43" t="n">
        <v>0</v>
      </c>
      <c r="P138" s="43" t="n">
        <v>0</v>
      </c>
      <c r="Q138" s="43" t="n">
        <v>0</v>
      </c>
      <c r="R138" s="43" t="n">
        <v>0</v>
      </c>
      <c r="S138" s="43" t="n">
        <v>0</v>
      </c>
      <c r="T138" s="43" t="n">
        <v>0</v>
      </c>
      <c r="U138" s="42" t="n">
        <f aca="false">SUM(I138:T138)</f>
        <v>12</v>
      </c>
    </row>
    <row r="139" customFormat="false" ht="23.85" hidden="false" customHeight="false" outlineLevel="0" collapsed="false">
      <c r="A139" s="40" t="s">
        <v>616</v>
      </c>
      <c r="B139" s="40" t="s">
        <v>233</v>
      </c>
      <c r="C139" s="40" t="s">
        <v>37</v>
      </c>
      <c r="D139" s="40" t="s">
        <v>7</v>
      </c>
      <c r="E139" s="40" t="s">
        <v>372</v>
      </c>
      <c r="F139" s="40" t="s">
        <v>234</v>
      </c>
      <c r="G139" s="40" t="s">
        <v>617</v>
      </c>
      <c r="H139" s="40" t="s">
        <v>42</v>
      </c>
      <c r="I139" s="43" t="n">
        <v>0</v>
      </c>
      <c r="J139" s="43" t="n">
        <v>0</v>
      </c>
      <c r="K139" s="43" t="n">
        <v>12</v>
      </c>
      <c r="L139" s="43" t="n">
        <v>0</v>
      </c>
      <c r="M139" s="43" t="n">
        <v>0</v>
      </c>
      <c r="N139" s="43" t="n">
        <v>8</v>
      </c>
      <c r="O139" s="43" t="n">
        <v>0</v>
      </c>
      <c r="P139" s="43" t="n">
        <v>0</v>
      </c>
      <c r="Q139" s="43" t="n">
        <v>0</v>
      </c>
      <c r="R139" s="43" t="n">
        <v>0</v>
      </c>
      <c r="S139" s="43" t="n">
        <v>0</v>
      </c>
      <c r="T139" s="43" t="n">
        <v>0</v>
      </c>
      <c r="U139" s="42" t="n">
        <f aca="false">SUM(I139:T139)</f>
        <v>20</v>
      </c>
    </row>
    <row r="140" customFormat="false" ht="23.85" hidden="false" customHeight="false" outlineLevel="0" collapsed="false">
      <c r="A140" s="40" t="s">
        <v>618</v>
      </c>
      <c r="B140" s="40" t="s">
        <v>233</v>
      </c>
      <c r="C140" s="40" t="s">
        <v>37</v>
      </c>
      <c r="D140" s="40" t="s">
        <v>7</v>
      </c>
      <c r="E140" s="40" t="s">
        <v>372</v>
      </c>
      <c r="F140" s="40" t="s">
        <v>234</v>
      </c>
      <c r="G140" s="40" t="s">
        <v>619</v>
      </c>
      <c r="H140" s="40" t="s">
        <v>42</v>
      </c>
      <c r="I140" s="43" t="n">
        <v>0</v>
      </c>
      <c r="J140" s="43" t="n">
        <v>0</v>
      </c>
      <c r="K140" s="43" t="n">
        <v>0</v>
      </c>
      <c r="L140" s="43" t="n">
        <v>0</v>
      </c>
      <c r="M140" s="43" t="n">
        <v>0</v>
      </c>
      <c r="N140" s="43" t="n">
        <v>0</v>
      </c>
      <c r="O140" s="43" t="n">
        <v>0</v>
      </c>
      <c r="P140" s="43" t="n">
        <v>0</v>
      </c>
      <c r="Q140" s="43" t="n">
        <v>0</v>
      </c>
      <c r="R140" s="43" t="n">
        <v>0</v>
      </c>
      <c r="S140" s="43" t="n">
        <v>16</v>
      </c>
      <c r="T140" s="43" t="n">
        <v>0</v>
      </c>
      <c r="U140" s="42" t="n">
        <f aca="false">SUM(I140:T140)</f>
        <v>16</v>
      </c>
    </row>
    <row r="141" customFormat="false" ht="23.85" hidden="false" customHeight="false" outlineLevel="0" collapsed="false">
      <c r="A141" s="40" t="s">
        <v>620</v>
      </c>
      <c r="B141" s="40" t="s">
        <v>233</v>
      </c>
      <c r="C141" s="40" t="s">
        <v>37</v>
      </c>
      <c r="D141" s="40" t="s">
        <v>7</v>
      </c>
      <c r="E141" s="40" t="s">
        <v>372</v>
      </c>
      <c r="F141" s="40" t="s">
        <v>234</v>
      </c>
      <c r="G141" s="40" t="s">
        <v>407</v>
      </c>
      <c r="H141" s="40" t="s">
        <v>42</v>
      </c>
      <c r="I141" s="43" t="n">
        <v>0</v>
      </c>
      <c r="J141" s="43" t="n">
        <v>7</v>
      </c>
      <c r="K141" s="43" t="n">
        <v>0</v>
      </c>
      <c r="L141" s="43" t="n">
        <v>0</v>
      </c>
      <c r="M141" s="43" t="n">
        <v>0</v>
      </c>
      <c r="N141" s="43" t="n">
        <v>0</v>
      </c>
      <c r="O141" s="43" t="n">
        <v>0</v>
      </c>
      <c r="P141" s="43" t="n">
        <v>0</v>
      </c>
      <c r="Q141" s="43" t="n">
        <v>0</v>
      </c>
      <c r="R141" s="43" t="n">
        <v>0</v>
      </c>
      <c r="S141" s="43" t="n">
        <v>0</v>
      </c>
      <c r="T141" s="43" t="n">
        <v>0</v>
      </c>
      <c r="U141" s="42" t="n">
        <f aca="false">SUM(I141:T141)</f>
        <v>7</v>
      </c>
    </row>
    <row r="142" customFormat="false" ht="23.85" hidden="false" customHeight="false" outlineLevel="0" collapsed="false">
      <c r="A142" s="40" t="s">
        <v>621</v>
      </c>
      <c r="B142" s="40" t="s">
        <v>233</v>
      </c>
      <c r="C142" s="40" t="s">
        <v>37</v>
      </c>
      <c r="D142" s="40" t="s">
        <v>7</v>
      </c>
      <c r="E142" s="40" t="s">
        <v>372</v>
      </c>
      <c r="F142" s="40" t="s">
        <v>234</v>
      </c>
      <c r="G142" s="40" t="s">
        <v>409</v>
      </c>
      <c r="H142" s="40" t="s">
        <v>42</v>
      </c>
      <c r="I142" s="43" t="n">
        <v>0</v>
      </c>
      <c r="J142" s="43" t="n">
        <v>0</v>
      </c>
      <c r="K142" s="43" t="n">
        <v>5</v>
      </c>
      <c r="L142" s="43" t="n">
        <v>0</v>
      </c>
      <c r="M142" s="43" t="n">
        <v>0</v>
      </c>
      <c r="N142" s="43" t="n">
        <v>0</v>
      </c>
      <c r="O142" s="43" t="n">
        <v>0</v>
      </c>
      <c r="P142" s="43" t="n">
        <v>0</v>
      </c>
      <c r="Q142" s="43" t="n">
        <v>0</v>
      </c>
      <c r="R142" s="43" t="n">
        <v>0</v>
      </c>
      <c r="S142" s="43" t="n">
        <v>0</v>
      </c>
      <c r="T142" s="43" t="n">
        <v>0</v>
      </c>
      <c r="U142" s="42" t="n">
        <f aca="false">SUM(I142:T142)</f>
        <v>5</v>
      </c>
    </row>
    <row r="143" customFormat="false" ht="23.85" hidden="false" customHeight="false" outlineLevel="0" collapsed="false">
      <c r="A143" s="40" t="s">
        <v>622</v>
      </c>
      <c r="B143" s="40" t="s">
        <v>233</v>
      </c>
      <c r="C143" s="40" t="s">
        <v>37</v>
      </c>
      <c r="D143" s="40" t="s">
        <v>7</v>
      </c>
      <c r="E143" s="40" t="s">
        <v>372</v>
      </c>
      <c r="F143" s="40" t="s">
        <v>234</v>
      </c>
      <c r="G143" s="40" t="s">
        <v>411</v>
      </c>
      <c r="H143" s="40" t="s">
        <v>42</v>
      </c>
      <c r="I143" s="43" t="n">
        <v>0</v>
      </c>
      <c r="J143" s="43" t="n">
        <v>0</v>
      </c>
      <c r="K143" s="43" t="n">
        <v>0</v>
      </c>
      <c r="L143" s="43" t="n">
        <v>0</v>
      </c>
      <c r="M143" s="43" t="n">
        <v>0</v>
      </c>
      <c r="N143" s="43" t="n">
        <v>5</v>
      </c>
      <c r="O143" s="43" t="n">
        <v>0</v>
      </c>
      <c r="P143" s="43" t="n">
        <v>0</v>
      </c>
      <c r="Q143" s="43" t="n">
        <v>0</v>
      </c>
      <c r="R143" s="43" t="n">
        <v>0</v>
      </c>
      <c r="S143" s="43" t="n">
        <v>0</v>
      </c>
      <c r="T143" s="43" t="n">
        <v>0</v>
      </c>
      <c r="U143" s="42" t="n">
        <f aca="false">SUM(I143:T143)</f>
        <v>5</v>
      </c>
    </row>
    <row r="144" customFormat="false" ht="23.85" hidden="false" customHeight="false" outlineLevel="0" collapsed="false">
      <c r="A144" s="40" t="s">
        <v>623</v>
      </c>
      <c r="B144" s="40" t="s">
        <v>233</v>
      </c>
      <c r="C144" s="40" t="s">
        <v>37</v>
      </c>
      <c r="D144" s="40" t="s">
        <v>7</v>
      </c>
      <c r="E144" s="40" t="s">
        <v>372</v>
      </c>
      <c r="F144" s="40" t="s">
        <v>234</v>
      </c>
      <c r="G144" s="40" t="s">
        <v>413</v>
      </c>
      <c r="H144" s="40" t="s">
        <v>42</v>
      </c>
      <c r="I144" s="43" t="n">
        <v>0</v>
      </c>
      <c r="J144" s="43" t="n">
        <v>0</v>
      </c>
      <c r="K144" s="43" t="n">
        <v>0</v>
      </c>
      <c r="L144" s="43" t="n">
        <v>0</v>
      </c>
      <c r="M144" s="43" t="n">
        <v>0</v>
      </c>
      <c r="N144" s="43" t="n">
        <v>10</v>
      </c>
      <c r="O144" s="43" t="n">
        <v>0</v>
      </c>
      <c r="P144" s="43" t="n">
        <v>0</v>
      </c>
      <c r="Q144" s="43" t="n">
        <v>0</v>
      </c>
      <c r="R144" s="43" t="n">
        <v>0</v>
      </c>
      <c r="S144" s="43" t="n">
        <v>0</v>
      </c>
      <c r="T144" s="43" t="n">
        <v>0</v>
      </c>
      <c r="U144" s="42" t="n">
        <f aca="false">SUM(I144:T144)</f>
        <v>10</v>
      </c>
    </row>
    <row r="145" customFormat="false" ht="23.85" hidden="false" customHeight="false" outlineLevel="0" collapsed="false">
      <c r="A145" s="40" t="s">
        <v>624</v>
      </c>
      <c r="B145" s="40" t="s">
        <v>236</v>
      </c>
      <c r="C145" s="40" t="s">
        <v>37</v>
      </c>
      <c r="D145" s="40" t="s">
        <v>7</v>
      </c>
      <c r="E145" s="40" t="s">
        <v>372</v>
      </c>
      <c r="F145" s="40" t="s">
        <v>237</v>
      </c>
      <c r="G145" s="40" t="s">
        <v>625</v>
      </c>
      <c r="H145" s="40" t="s">
        <v>42</v>
      </c>
      <c r="I145" s="43" t="n">
        <v>0</v>
      </c>
      <c r="J145" s="43" t="n">
        <v>20</v>
      </c>
      <c r="K145" s="43" t="n">
        <v>0</v>
      </c>
      <c r="L145" s="43" t="n">
        <v>0</v>
      </c>
      <c r="M145" s="43" t="n">
        <v>0</v>
      </c>
      <c r="N145" s="43" t="n">
        <v>0</v>
      </c>
      <c r="O145" s="43" t="n">
        <v>0</v>
      </c>
      <c r="P145" s="43" t="n">
        <v>0</v>
      </c>
      <c r="Q145" s="43" t="n">
        <v>0</v>
      </c>
      <c r="R145" s="43" t="n">
        <v>0</v>
      </c>
      <c r="S145" s="43" t="n">
        <v>0</v>
      </c>
      <c r="T145" s="43" t="n">
        <v>0</v>
      </c>
      <c r="U145" s="42" t="n">
        <f aca="false">SUM(I145:T145)</f>
        <v>20</v>
      </c>
    </row>
    <row r="146" customFormat="false" ht="23.85" hidden="false" customHeight="false" outlineLevel="0" collapsed="false">
      <c r="A146" s="40" t="s">
        <v>626</v>
      </c>
      <c r="B146" s="40" t="s">
        <v>236</v>
      </c>
      <c r="C146" s="40" t="s">
        <v>37</v>
      </c>
      <c r="D146" s="40" t="s">
        <v>7</v>
      </c>
      <c r="E146" s="40" t="s">
        <v>372</v>
      </c>
      <c r="F146" s="40" t="s">
        <v>237</v>
      </c>
      <c r="G146" s="40" t="s">
        <v>627</v>
      </c>
      <c r="H146" s="40" t="s">
        <v>42</v>
      </c>
      <c r="I146" s="43" t="n">
        <v>0</v>
      </c>
      <c r="J146" s="43" t="n">
        <v>0</v>
      </c>
      <c r="K146" s="43" t="n">
        <v>31</v>
      </c>
      <c r="L146" s="43" t="n">
        <v>0</v>
      </c>
      <c r="M146" s="43" t="n">
        <v>0</v>
      </c>
      <c r="N146" s="43" t="n">
        <v>0</v>
      </c>
      <c r="O146" s="43" t="n">
        <v>0</v>
      </c>
      <c r="P146" s="43" t="n">
        <v>0</v>
      </c>
      <c r="Q146" s="43" t="n">
        <v>0</v>
      </c>
      <c r="R146" s="43" t="n">
        <v>0</v>
      </c>
      <c r="S146" s="43" t="n">
        <v>0</v>
      </c>
      <c r="T146" s="43" t="n">
        <v>0</v>
      </c>
      <c r="U146" s="42" t="n">
        <f aca="false">SUM(I146:T146)</f>
        <v>31</v>
      </c>
    </row>
    <row r="147" customFormat="false" ht="23.85" hidden="false" customHeight="false" outlineLevel="0" collapsed="false">
      <c r="A147" s="40" t="s">
        <v>628</v>
      </c>
      <c r="B147" s="40" t="s">
        <v>236</v>
      </c>
      <c r="C147" s="40" t="s">
        <v>37</v>
      </c>
      <c r="D147" s="40" t="s">
        <v>7</v>
      </c>
      <c r="E147" s="40" t="s">
        <v>372</v>
      </c>
      <c r="F147" s="40" t="s">
        <v>237</v>
      </c>
      <c r="G147" s="40" t="s">
        <v>629</v>
      </c>
      <c r="H147" s="40" t="s">
        <v>42</v>
      </c>
      <c r="I147" s="43" t="n">
        <v>0</v>
      </c>
      <c r="J147" s="43" t="n">
        <v>0</v>
      </c>
      <c r="K147" s="43" t="n">
        <v>20</v>
      </c>
      <c r="L147" s="43" t="n">
        <v>0</v>
      </c>
      <c r="M147" s="43" t="n">
        <v>0</v>
      </c>
      <c r="N147" s="43" t="n">
        <v>0</v>
      </c>
      <c r="O147" s="43" t="n">
        <v>0</v>
      </c>
      <c r="P147" s="43" t="n">
        <v>0</v>
      </c>
      <c r="Q147" s="43" t="n">
        <v>0</v>
      </c>
      <c r="R147" s="43" t="n">
        <v>0</v>
      </c>
      <c r="S147" s="43" t="n">
        <v>0</v>
      </c>
      <c r="T147" s="43" t="n">
        <v>0</v>
      </c>
      <c r="U147" s="42" t="n">
        <f aca="false">SUM(I147:T147)</f>
        <v>20</v>
      </c>
    </row>
    <row r="148" customFormat="false" ht="23.85" hidden="false" customHeight="false" outlineLevel="0" collapsed="false">
      <c r="A148" s="40" t="s">
        <v>630</v>
      </c>
      <c r="B148" s="40" t="s">
        <v>236</v>
      </c>
      <c r="C148" s="40" t="s">
        <v>37</v>
      </c>
      <c r="D148" s="40" t="s">
        <v>7</v>
      </c>
      <c r="E148" s="40" t="s">
        <v>372</v>
      </c>
      <c r="F148" s="40" t="s">
        <v>237</v>
      </c>
      <c r="G148" s="40" t="s">
        <v>631</v>
      </c>
      <c r="H148" s="40" t="s">
        <v>42</v>
      </c>
      <c r="I148" s="43" t="n">
        <v>0</v>
      </c>
      <c r="J148" s="43" t="n">
        <v>0</v>
      </c>
      <c r="K148" s="43" t="n">
        <v>20</v>
      </c>
      <c r="L148" s="43" t="n">
        <v>0</v>
      </c>
      <c r="M148" s="43" t="n">
        <v>0</v>
      </c>
      <c r="N148" s="43" t="n">
        <v>0</v>
      </c>
      <c r="O148" s="43" t="n">
        <v>0</v>
      </c>
      <c r="P148" s="43" t="n">
        <v>0</v>
      </c>
      <c r="Q148" s="43" t="n">
        <v>41</v>
      </c>
      <c r="R148" s="43" t="n">
        <v>0</v>
      </c>
      <c r="S148" s="43" t="n">
        <v>0</v>
      </c>
      <c r="T148" s="43" t="n">
        <v>0</v>
      </c>
      <c r="U148" s="42" t="n">
        <f aca="false">SUM(I148:T148)</f>
        <v>61</v>
      </c>
    </row>
    <row r="149" customFormat="false" ht="23.85" hidden="false" customHeight="false" outlineLevel="0" collapsed="false">
      <c r="A149" s="40" t="s">
        <v>632</v>
      </c>
      <c r="B149" s="40" t="s">
        <v>236</v>
      </c>
      <c r="C149" s="40" t="s">
        <v>37</v>
      </c>
      <c r="D149" s="40" t="s">
        <v>7</v>
      </c>
      <c r="E149" s="40" t="s">
        <v>372</v>
      </c>
      <c r="F149" s="40" t="s">
        <v>237</v>
      </c>
      <c r="G149" s="40" t="s">
        <v>633</v>
      </c>
      <c r="H149" s="40" t="s">
        <v>42</v>
      </c>
      <c r="I149" s="43" t="n">
        <v>0</v>
      </c>
      <c r="J149" s="43" t="n">
        <v>0</v>
      </c>
      <c r="K149" s="43" t="n">
        <v>10</v>
      </c>
      <c r="L149" s="43" t="n">
        <v>0</v>
      </c>
      <c r="M149" s="43" t="n">
        <v>0</v>
      </c>
      <c r="N149" s="43" t="n">
        <v>0</v>
      </c>
      <c r="O149" s="43" t="n">
        <v>0</v>
      </c>
      <c r="P149" s="43" t="n">
        <v>0</v>
      </c>
      <c r="Q149" s="43" t="n">
        <v>20</v>
      </c>
      <c r="R149" s="43" t="n">
        <v>0</v>
      </c>
      <c r="S149" s="43" t="n">
        <v>0</v>
      </c>
      <c r="T149" s="43" t="n">
        <v>0</v>
      </c>
      <c r="U149" s="42" t="n">
        <f aca="false">SUM(I149:T149)</f>
        <v>30</v>
      </c>
    </row>
    <row r="150" customFormat="false" ht="23.85" hidden="false" customHeight="false" outlineLevel="0" collapsed="false">
      <c r="A150" s="40" t="s">
        <v>634</v>
      </c>
      <c r="B150" s="40" t="s">
        <v>236</v>
      </c>
      <c r="C150" s="40" t="s">
        <v>37</v>
      </c>
      <c r="D150" s="40" t="s">
        <v>7</v>
      </c>
      <c r="E150" s="40" t="s">
        <v>372</v>
      </c>
      <c r="F150" s="40" t="s">
        <v>237</v>
      </c>
      <c r="G150" s="40" t="s">
        <v>635</v>
      </c>
      <c r="H150" s="40" t="s">
        <v>42</v>
      </c>
      <c r="I150" s="43" t="n">
        <v>0</v>
      </c>
      <c r="J150" s="43" t="n">
        <v>0</v>
      </c>
      <c r="K150" s="43" t="n">
        <v>20</v>
      </c>
      <c r="L150" s="43" t="n">
        <v>0</v>
      </c>
      <c r="M150" s="43" t="n">
        <v>0</v>
      </c>
      <c r="N150" s="43" t="n">
        <v>0</v>
      </c>
      <c r="O150" s="43" t="n">
        <v>0</v>
      </c>
      <c r="P150" s="43" t="n">
        <v>0</v>
      </c>
      <c r="Q150" s="43" t="n">
        <v>0</v>
      </c>
      <c r="R150" s="43" t="n">
        <v>0</v>
      </c>
      <c r="S150" s="43" t="n">
        <v>0</v>
      </c>
      <c r="T150" s="43" t="n">
        <v>0</v>
      </c>
      <c r="U150" s="42" t="n">
        <f aca="false">SUM(I150:T150)</f>
        <v>20</v>
      </c>
    </row>
    <row r="151" customFormat="false" ht="23.85" hidden="false" customHeight="false" outlineLevel="0" collapsed="false">
      <c r="A151" s="40" t="s">
        <v>636</v>
      </c>
      <c r="B151" s="40" t="s">
        <v>236</v>
      </c>
      <c r="C151" s="40" t="s">
        <v>37</v>
      </c>
      <c r="D151" s="40" t="s">
        <v>7</v>
      </c>
      <c r="E151" s="40" t="s">
        <v>372</v>
      </c>
      <c r="F151" s="40" t="s">
        <v>237</v>
      </c>
      <c r="G151" s="40" t="s">
        <v>637</v>
      </c>
      <c r="H151" s="40" t="s">
        <v>42</v>
      </c>
      <c r="I151" s="43" t="n">
        <v>0</v>
      </c>
      <c r="J151" s="43" t="n">
        <v>0</v>
      </c>
      <c r="K151" s="43" t="n">
        <v>0</v>
      </c>
      <c r="L151" s="43" t="n">
        <v>0</v>
      </c>
      <c r="M151" s="43" t="n">
        <v>0</v>
      </c>
      <c r="N151" s="43" t="n">
        <v>0</v>
      </c>
      <c r="O151" s="43" t="n">
        <v>0</v>
      </c>
      <c r="P151" s="43" t="n">
        <v>0</v>
      </c>
      <c r="Q151" s="43" t="n">
        <v>0</v>
      </c>
      <c r="R151" s="43" t="n">
        <v>0</v>
      </c>
      <c r="S151" s="43" t="n">
        <v>31</v>
      </c>
      <c r="T151" s="43" t="n">
        <v>0</v>
      </c>
      <c r="U151" s="42" t="n">
        <f aca="false">SUM(I151:T151)</f>
        <v>31</v>
      </c>
    </row>
    <row r="152" customFormat="false" ht="23.85" hidden="false" customHeight="false" outlineLevel="0" collapsed="false">
      <c r="A152" s="40" t="s">
        <v>638</v>
      </c>
      <c r="B152" s="40" t="s">
        <v>236</v>
      </c>
      <c r="C152" s="40" t="s">
        <v>37</v>
      </c>
      <c r="D152" s="40" t="s">
        <v>7</v>
      </c>
      <c r="E152" s="40" t="s">
        <v>372</v>
      </c>
      <c r="F152" s="40" t="s">
        <v>237</v>
      </c>
      <c r="G152" s="40" t="s">
        <v>407</v>
      </c>
      <c r="H152" s="40" t="s">
        <v>42</v>
      </c>
      <c r="I152" s="43" t="n">
        <v>0</v>
      </c>
      <c r="J152" s="43" t="n">
        <v>13</v>
      </c>
      <c r="K152" s="43" t="n">
        <v>0</v>
      </c>
      <c r="L152" s="43" t="n">
        <v>0</v>
      </c>
      <c r="M152" s="43" t="n">
        <v>0</v>
      </c>
      <c r="N152" s="43" t="n">
        <v>0</v>
      </c>
      <c r="O152" s="43" t="n">
        <v>0</v>
      </c>
      <c r="P152" s="43" t="n">
        <v>0</v>
      </c>
      <c r="Q152" s="43" t="n">
        <v>0</v>
      </c>
      <c r="R152" s="43" t="n">
        <v>0</v>
      </c>
      <c r="S152" s="43" t="n">
        <v>0</v>
      </c>
      <c r="T152" s="43" t="n">
        <v>0</v>
      </c>
      <c r="U152" s="42" t="n">
        <f aca="false">SUM(I152:T152)</f>
        <v>13</v>
      </c>
    </row>
    <row r="153" customFormat="false" ht="23.85" hidden="false" customHeight="false" outlineLevel="0" collapsed="false">
      <c r="A153" s="40" t="s">
        <v>639</v>
      </c>
      <c r="B153" s="40" t="s">
        <v>236</v>
      </c>
      <c r="C153" s="40" t="s">
        <v>37</v>
      </c>
      <c r="D153" s="40" t="s">
        <v>7</v>
      </c>
      <c r="E153" s="40" t="s">
        <v>372</v>
      </c>
      <c r="F153" s="40" t="s">
        <v>237</v>
      </c>
      <c r="G153" s="40" t="s">
        <v>409</v>
      </c>
      <c r="H153" s="40" t="s">
        <v>42</v>
      </c>
      <c r="I153" s="43" t="n">
        <v>0</v>
      </c>
      <c r="J153" s="43" t="n">
        <v>0</v>
      </c>
      <c r="K153" s="43" t="n">
        <v>9</v>
      </c>
      <c r="L153" s="43" t="n">
        <v>0</v>
      </c>
      <c r="M153" s="43" t="n">
        <v>0</v>
      </c>
      <c r="N153" s="43" t="n">
        <v>0</v>
      </c>
      <c r="O153" s="43" t="n">
        <v>0</v>
      </c>
      <c r="P153" s="43" t="n">
        <v>0</v>
      </c>
      <c r="Q153" s="43" t="n">
        <v>0</v>
      </c>
      <c r="R153" s="43" t="n">
        <v>0</v>
      </c>
      <c r="S153" s="43" t="n">
        <v>0</v>
      </c>
      <c r="T153" s="43" t="n">
        <v>0</v>
      </c>
      <c r="U153" s="42" t="n">
        <f aca="false">SUM(I153:T153)</f>
        <v>9</v>
      </c>
    </row>
    <row r="154" customFormat="false" ht="23.85" hidden="false" customHeight="false" outlineLevel="0" collapsed="false">
      <c r="A154" s="40" t="s">
        <v>640</v>
      </c>
      <c r="B154" s="40" t="s">
        <v>236</v>
      </c>
      <c r="C154" s="40" t="s">
        <v>37</v>
      </c>
      <c r="D154" s="40" t="s">
        <v>7</v>
      </c>
      <c r="E154" s="40" t="s">
        <v>372</v>
      </c>
      <c r="F154" s="40" t="s">
        <v>237</v>
      </c>
      <c r="G154" s="40" t="s">
        <v>411</v>
      </c>
      <c r="H154" s="40" t="s">
        <v>42</v>
      </c>
      <c r="I154" s="43" t="n">
        <v>0</v>
      </c>
      <c r="J154" s="43" t="n">
        <v>0</v>
      </c>
      <c r="K154" s="43" t="n">
        <v>9</v>
      </c>
      <c r="L154" s="43" t="n">
        <v>0</v>
      </c>
      <c r="M154" s="43" t="n">
        <v>0</v>
      </c>
      <c r="N154" s="43" t="n">
        <v>0</v>
      </c>
      <c r="O154" s="43" t="n">
        <v>0</v>
      </c>
      <c r="P154" s="43" t="n">
        <v>0</v>
      </c>
      <c r="Q154" s="43" t="n">
        <v>0</v>
      </c>
      <c r="R154" s="43" t="n">
        <v>0</v>
      </c>
      <c r="S154" s="43" t="n">
        <v>0</v>
      </c>
      <c r="T154" s="43" t="n">
        <v>0</v>
      </c>
      <c r="U154" s="42" t="n">
        <f aca="false">SUM(I154:T154)</f>
        <v>9</v>
      </c>
    </row>
    <row r="155" customFormat="false" ht="23.85" hidden="false" customHeight="false" outlineLevel="0" collapsed="false">
      <c r="A155" s="40" t="s">
        <v>641</v>
      </c>
      <c r="B155" s="40" t="s">
        <v>236</v>
      </c>
      <c r="C155" s="40" t="s">
        <v>37</v>
      </c>
      <c r="D155" s="40" t="s">
        <v>7</v>
      </c>
      <c r="E155" s="40" t="s">
        <v>372</v>
      </c>
      <c r="F155" s="40" t="s">
        <v>237</v>
      </c>
      <c r="G155" s="40" t="s">
        <v>413</v>
      </c>
      <c r="H155" s="40" t="s">
        <v>42</v>
      </c>
      <c r="I155" s="43" t="n">
        <v>0</v>
      </c>
      <c r="J155" s="43" t="n">
        <v>0</v>
      </c>
      <c r="K155" s="43" t="n">
        <v>17</v>
      </c>
      <c r="L155" s="43" t="n">
        <v>0</v>
      </c>
      <c r="M155" s="43" t="n">
        <v>0</v>
      </c>
      <c r="N155" s="43" t="n">
        <v>0</v>
      </c>
      <c r="O155" s="43" t="n">
        <v>0</v>
      </c>
      <c r="P155" s="43" t="n">
        <v>0</v>
      </c>
      <c r="Q155" s="43" t="n">
        <v>0</v>
      </c>
      <c r="R155" s="43" t="n">
        <v>0</v>
      </c>
      <c r="S155" s="43" t="n">
        <v>0</v>
      </c>
      <c r="T155" s="43" t="n">
        <v>0</v>
      </c>
      <c r="U155" s="42" t="n">
        <f aca="false">SUM(I155:T155)</f>
        <v>17</v>
      </c>
    </row>
    <row r="156" customFormat="false" ht="15" hidden="false" customHeight="false" outlineLevel="0" collapsed="false">
      <c r="A156" s="40" t="s">
        <v>642</v>
      </c>
      <c r="B156" s="40" t="s">
        <v>239</v>
      </c>
      <c r="C156" s="40" t="s">
        <v>37</v>
      </c>
      <c r="D156" s="40" t="s">
        <v>7</v>
      </c>
      <c r="E156" s="40" t="s">
        <v>372</v>
      </c>
      <c r="F156" s="40" t="s">
        <v>240</v>
      </c>
      <c r="G156" s="40" t="s">
        <v>643</v>
      </c>
      <c r="H156" s="40" t="s">
        <v>43</v>
      </c>
      <c r="I156" s="43" t="n">
        <v>0</v>
      </c>
      <c r="J156" s="43" t="n">
        <v>0</v>
      </c>
      <c r="K156" s="43" t="n">
        <v>0</v>
      </c>
      <c r="L156" s="43" t="n">
        <v>0</v>
      </c>
      <c r="M156" s="43" t="n">
        <v>29</v>
      </c>
      <c r="N156" s="43" t="n">
        <v>0</v>
      </c>
      <c r="O156" s="43" t="n">
        <v>0</v>
      </c>
      <c r="P156" s="43" t="n">
        <v>0</v>
      </c>
      <c r="Q156" s="43" t="n">
        <v>0</v>
      </c>
      <c r="R156" s="43" t="n">
        <v>0</v>
      </c>
      <c r="S156" s="43" t="n">
        <v>0</v>
      </c>
      <c r="T156" s="43" t="n">
        <v>0</v>
      </c>
      <c r="U156" s="42" t="n">
        <f aca="false">SUM(I156:T156)</f>
        <v>29</v>
      </c>
    </row>
    <row r="157" customFormat="false" ht="15" hidden="false" customHeight="false" outlineLevel="0" collapsed="false">
      <c r="A157" s="40" t="s">
        <v>644</v>
      </c>
      <c r="B157" s="40" t="s">
        <v>239</v>
      </c>
      <c r="C157" s="40" t="s">
        <v>37</v>
      </c>
      <c r="D157" s="40" t="s">
        <v>7</v>
      </c>
      <c r="E157" s="40" t="s">
        <v>372</v>
      </c>
      <c r="F157" s="40" t="s">
        <v>240</v>
      </c>
      <c r="G157" s="40" t="s">
        <v>645</v>
      </c>
      <c r="H157" s="40" t="s">
        <v>43</v>
      </c>
      <c r="I157" s="43" t="n">
        <v>0</v>
      </c>
      <c r="J157" s="43" t="n">
        <v>0</v>
      </c>
      <c r="K157" s="43" t="n">
        <v>0</v>
      </c>
      <c r="L157" s="43" t="n">
        <v>0</v>
      </c>
      <c r="M157" s="43" t="n">
        <v>0</v>
      </c>
      <c r="N157" s="43" t="n">
        <v>43</v>
      </c>
      <c r="O157" s="43" t="n">
        <v>0</v>
      </c>
      <c r="P157" s="43" t="n">
        <v>0</v>
      </c>
      <c r="Q157" s="43" t="n">
        <v>43</v>
      </c>
      <c r="R157" s="43" t="n">
        <v>0</v>
      </c>
      <c r="S157" s="43" t="n">
        <v>0</v>
      </c>
      <c r="T157" s="43" t="n">
        <v>0</v>
      </c>
      <c r="U157" s="42" t="n">
        <f aca="false">SUM(I157:T157)</f>
        <v>86</v>
      </c>
    </row>
    <row r="158" customFormat="false" ht="23.85" hidden="false" customHeight="false" outlineLevel="0" collapsed="false">
      <c r="A158" s="40" t="s">
        <v>646</v>
      </c>
      <c r="B158" s="40" t="s">
        <v>239</v>
      </c>
      <c r="C158" s="40" t="s">
        <v>37</v>
      </c>
      <c r="D158" s="40" t="s">
        <v>7</v>
      </c>
      <c r="E158" s="40" t="s">
        <v>372</v>
      </c>
      <c r="F158" s="40" t="s">
        <v>240</v>
      </c>
      <c r="G158" s="40" t="s">
        <v>647</v>
      </c>
      <c r="H158" s="40" t="s">
        <v>43</v>
      </c>
      <c r="I158" s="43" t="n">
        <v>0</v>
      </c>
      <c r="J158" s="43" t="n">
        <v>0</v>
      </c>
      <c r="K158" s="43" t="n">
        <v>0</v>
      </c>
      <c r="L158" s="43" t="n">
        <v>0</v>
      </c>
      <c r="M158" s="43" t="n">
        <v>0</v>
      </c>
      <c r="N158" s="43" t="n">
        <v>100</v>
      </c>
      <c r="O158" s="43" t="n">
        <v>0</v>
      </c>
      <c r="P158" s="43" t="n">
        <v>0</v>
      </c>
      <c r="Q158" s="43" t="n">
        <v>0</v>
      </c>
      <c r="R158" s="43" t="n">
        <v>0</v>
      </c>
      <c r="S158" s="43" t="n">
        <v>0</v>
      </c>
      <c r="T158" s="43" t="n">
        <v>0</v>
      </c>
      <c r="U158" s="42" t="n">
        <f aca="false">SUM(I158:T158)</f>
        <v>100</v>
      </c>
    </row>
    <row r="159" customFormat="false" ht="15" hidden="false" customHeight="false" outlineLevel="0" collapsed="false">
      <c r="A159" s="40" t="s">
        <v>648</v>
      </c>
      <c r="B159" s="40" t="s">
        <v>239</v>
      </c>
      <c r="C159" s="40" t="s">
        <v>37</v>
      </c>
      <c r="D159" s="40" t="s">
        <v>7</v>
      </c>
      <c r="E159" s="40" t="s">
        <v>372</v>
      </c>
      <c r="F159" s="40" t="s">
        <v>240</v>
      </c>
      <c r="G159" s="40" t="s">
        <v>649</v>
      </c>
      <c r="H159" s="40" t="s">
        <v>43</v>
      </c>
      <c r="I159" s="43" t="n">
        <v>0</v>
      </c>
      <c r="J159" s="43" t="n">
        <v>0</v>
      </c>
      <c r="K159" s="43" t="n">
        <v>0</v>
      </c>
      <c r="L159" s="43" t="n">
        <v>43</v>
      </c>
      <c r="M159" s="43" t="n">
        <v>0</v>
      </c>
      <c r="N159" s="43" t="n">
        <v>14</v>
      </c>
      <c r="O159" s="43" t="n">
        <v>0</v>
      </c>
      <c r="P159" s="43" t="n">
        <v>0</v>
      </c>
      <c r="Q159" s="43" t="n">
        <v>0</v>
      </c>
      <c r="R159" s="43" t="n">
        <v>0</v>
      </c>
      <c r="S159" s="43" t="n">
        <v>0</v>
      </c>
      <c r="T159" s="43" t="n">
        <v>0</v>
      </c>
      <c r="U159" s="42" t="n">
        <f aca="false">SUM(I159:T159)</f>
        <v>57</v>
      </c>
    </row>
    <row r="160" customFormat="false" ht="15" hidden="false" customHeight="false" outlineLevel="0" collapsed="false">
      <c r="A160" s="40" t="s">
        <v>650</v>
      </c>
      <c r="B160" s="40" t="s">
        <v>239</v>
      </c>
      <c r="C160" s="40" t="s">
        <v>37</v>
      </c>
      <c r="D160" s="40" t="s">
        <v>7</v>
      </c>
      <c r="E160" s="40" t="s">
        <v>372</v>
      </c>
      <c r="F160" s="40" t="s">
        <v>240</v>
      </c>
      <c r="G160" s="40" t="s">
        <v>651</v>
      </c>
      <c r="H160" s="40" t="s">
        <v>43</v>
      </c>
      <c r="I160" s="43" t="n">
        <v>0</v>
      </c>
      <c r="J160" s="43" t="n">
        <v>0</v>
      </c>
      <c r="K160" s="43" t="n">
        <v>0</v>
      </c>
      <c r="L160" s="43" t="n">
        <v>0</v>
      </c>
      <c r="M160" s="43" t="n">
        <v>0</v>
      </c>
      <c r="N160" s="43" t="n">
        <v>14</v>
      </c>
      <c r="O160" s="43" t="n">
        <v>0</v>
      </c>
      <c r="P160" s="43" t="n">
        <v>0</v>
      </c>
      <c r="Q160" s="43" t="n">
        <v>14</v>
      </c>
      <c r="R160" s="43" t="n">
        <v>0</v>
      </c>
      <c r="S160" s="43" t="n">
        <v>0</v>
      </c>
      <c r="T160" s="43" t="n">
        <v>0</v>
      </c>
      <c r="U160" s="42" t="n">
        <f aca="false">SUM(I160:T160)</f>
        <v>28</v>
      </c>
    </row>
    <row r="161" customFormat="false" ht="15" hidden="false" customHeight="false" outlineLevel="0" collapsed="false">
      <c r="A161" s="40" t="s">
        <v>652</v>
      </c>
      <c r="B161" s="40" t="s">
        <v>239</v>
      </c>
      <c r="C161" s="40" t="s">
        <v>37</v>
      </c>
      <c r="D161" s="40" t="s">
        <v>7</v>
      </c>
      <c r="E161" s="40" t="s">
        <v>372</v>
      </c>
      <c r="F161" s="40" t="s">
        <v>240</v>
      </c>
      <c r="G161" s="40" t="s">
        <v>653</v>
      </c>
      <c r="H161" s="40" t="s">
        <v>43</v>
      </c>
      <c r="I161" s="43" t="n">
        <v>0</v>
      </c>
      <c r="J161" s="43" t="n">
        <v>0</v>
      </c>
      <c r="K161" s="43" t="n">
        <v>0</v>
      </c>
      <c r="L161" s="43" t="n">
        <v>14</v>
      </c>
      <c r="M161" s="43" t="n">
        <v>29</v>
      </c>
      <c r="N161" s="43" t="n">
        <v>0</v>
      </c>
      <c r="O161" s="43" t="n">
        <v>0</v>
      </c>
      <c r="P161" s="43" t="n">
        <v>0</v>
      </c>
      <c r="Q161" s="43" t="n">
        <v>0</v>
      </c>
      <c r="R161" s="43" t="n">
        <v>0</v>
      </c>
      <c r="S161" s="43" t="n">
        <v>0</v>
      </c>
      <c r="T161" s="43" t="n">
        <v>0</v>
      </c>
      <c r="U161" s="42" t="n">
        <f aca="false">SUM(I161:T161)</f>
        <v>43</v>
      </c>
    </row>
    <row r="162" customFormat="false" ht="15" hidden="false" customHeight="false" outlineLevel="0" collapsed="false">
      <c r="A162" s="40" t="s">
        <v>654</v>
      </c>
      <c r="B162" s="40" t="s">
        <v>239</v>
      </c>
      <c r="C162" s="40" t="s">
        <v>37</v>
      </c>
      <c r="D162" s="40" t="s">
        <v>7</v>
      </c>
      <c r="E162" s="40" t="s">
        <v>372</v>
      </c>
      <c r="F162" s="40" t="s">
        <v>240</v>
      </c>
      <c r="G162" s="40" t="s">
        <v>655</v>
      </c>
      <c r="H162" s="40" t="s">
        <v>43</v>
      </c>
      <c r="I162" s="43" t="n">
        <v>0</v>
      </c>
      <c r="J162" s="43" t="n">
        <v>0</v>
      </c>
      <c r="K162" s="43" t="n">
        <v>0</v>
      </c>
      <c r="L162" s="43" t="n">
        <v>0</v>
      </c>
      <c r="M162" s="43" t="n">
        <v>0</v>
      </c>
      <c r="N162" s="43" t="n">
        <v>0</v>
      </c>
      <c r="O162" s="43" t="n">
        <v>0</v>
      </c>
      <c r="P162" s="43" t="n">
        <v>0</v>
      </c>
      <c r="Q162" s="43" t="n">
        <v>0</v>
      </c>
      <c r="R162" s="43" t="n">
        <v>0</v>
      </c>
      <c r="S162" s="43" t="n">
        <v>57</v>
      </c>
      <c r="T162" s="43" t="n">
        <v>0</v>
      </c>
      <c r="U162" s="42" t="n">
        <f aca="false">SUM(I162:T162)</f>
        <v>57</v>
      </c>
    </row>
    <row r="163" customFormat="false" ht="15" hidden="false" customHeight="false" outlineLevel="0" collapsed="false">
      <c r="A163" s="40" t="s">
        <v>656</v>
      </c>
      <c r="B163" s="40" t="s">
        <v>239</v>
      </c>
      <c r="C163" s="40" t="s">
        <v>37</v>
      </c>
      <c r="D163" s="40" t="s">
        <v>7</v>
      </c>
      <c r="E163" s="40" t="s">
        <v>372</v>
      </c>
      <c r="F163" s="40" t="s">
        <v>240</v>
      </c>
      <c r="G163" s="40" t="s">
        <v>407</v>
      </c>
      <c r="H163" s="40" t="s">
        <v>43</v>
      </c>
      <c r="I163" s="43" t="n">
        <v>0</v>
      </c>
      <c r="J163" s="43" t="n">
        <v>0</v>
      </c>
      <c r="K163" s="43" t="n">
        <v>0</v>
      </c>
      <c r="L163" s="43" t="n">
        <v>0</v>
      </c>
      <c r="M163" s="43" t="n">
        <v>24</v>
      </c>
      <c r="N163" s="43" t="n">
        <v>0</v>
      </c>
      <c r="O163" s="43" t="n">
        <v>0</v>
      </c>
      <c r="P163" s="43" t="n">
        <v>0</v>
      </c>
      <c r="Q163" s="43" t="n">
        <v>0</v>
      </c>
      <c r="R163" s="43" t="n">
        <v>0</v>
      </c>
      <c r="S163" s="43" t="n">
        <v>0</v>
      </c>
      <c r="T163" s="43" t="n">
        <v>0</v>
      </c>
      <c r="U163" s="42" t="n">
        <f aca="false">SUM(I163:T163)</f>
        <v>24</v>
      </c>
    </row>
    <row r="164" customFormat="false" ht="15" hidden="false" customHeight="false" outlineLevel="0" collapsed="false">
      <c r="A164" s="40" t="s">
        <v>657</v>
      </c>
      <c r="B164" s="40" t="s">
        <v>239</v>
      </c>
      <c r="C164" s="40" t="s">
        <v>37</v>
      </c>
      <c r="D164" s="40" t="s">
        <v>7</v>
      </c>
      <c r="E164" s="40" t="s">
        <v>372</v>
      </c>
      <c r="F164" s="40" t="s">
        <v>240</v>
      </c>
      <c r="G164" s="40" t="s">
        <v>409</v>
      </c>
      <c r="H164" s="40" t="s">
        <v>43</v>
      </c>
      <c r="I164" s="43" t="n">
        <v>0</v>
      </c>
      <c r="J164" s="43" t="n">
        <v>0</v>
      </c>
      <c r="K164" s="43" t="n">
        <v>16</v>
      </c>
      <c r="L164" s="43" t="n">
        <v>0</v>
      </c>
      <c r="M164" s="43" t="n">
        <v>0</v>
      </c>
      <c r="N164" s="43" t="n">
        <v>0</v>
      </c>
      <c r="O164" s="43" t="n">
        <v>0</v>
      </c>
      <c r="P164" s="43" t="n">
        <v>0</v>
      </c>
      <c r="Q164" s="43" t="n">
        <v>0</v>
      </c>
      <c r="R164" s="43" t="n">
        <v>0</v>
      </c>
      <c r="S164" s="43" t="n">
        <v>0</v>
      </c>
      <c r="T164" s="43" t="n">
        <v>0</v>
      </c>
      <c r="U164" s="42" t="n">
        <f aca="false">SUM(I164:T164)</f>
        <v>16</v>
      </c>
    </row>
    <row r="165" customFormat="false" ht="15" hidden="false" customHeight="false" outlineLevel="0" collapsed="false">
      <c r="A165" s="40" t="s">
        <v>658</v>
      </c>
      <c r="B165" s="40" t="s">
        <v>239</v>
      </c>
      <c r="C165" s="40" t="s">
        <v>37</v>
      </c>
      <c r="D165" s="40" t="s">
        <v>7</v>
      </c>
      <c r="E165" s="40" t="s">
        <v>372</v>
      </c>
      <c r="F165" s="40" t="s">
        <v>240</v>
      </c>
      <c r="G165" s="40" t="s">
        <v>411</v>
      </c>
      <c r="H165" s="40" t="s">
        <v>43</v>
      </c>
      <c r="I165" s="43" t="n">
        <v>0</v>
      </c>
      <c r="J165" s="43" t="n">
        <v>0</v>
      </c>
      <c r="K165" s="43" t="n">
        <v>0</v>
      </c>
      <c r="L165" s="43" t="n">
        <v>0</v>
      </c>
      <c r="M165" s="43" t="n">
        <v>0</v>
      </c>
      <c r="N165" s="43" t="n">
        <v>16</v>
      </c>
      <c r="O165" s="43" t="n">
        <v>0</v>
      </c>
      <c r="P165" s="43" t="n">
        <v>0</v>
      </c>
      <c r="Q165" s="43" t="n">
        <v>0</v>
      </c>
      <c r="R165" s="43" t="n">
        <v>0</v>
      </c>
      <c r="S165" s="43" t="n">
        <v>0</v>
      </c>
      <c r="T165" s="43" t="n">
        <v>0</v>
      </c>
      <c r="U165" s="42" t="n">
        <f aca="false">SUM(I165:T165)</f>
        <v>16</v>
      </c>
    </row>
    <row r="166" customFormat="false" ht="15" hidden="false" customHeight="false" outlineLevel="0" collapsed="false">
      <c r="A166" s="40" t="s">
        <v>659</v>
      </c>
      <c r="B166" s="40" t="s">
        <v>239</v>
      </c>
      <c r="C166" s="40" t="s">
        <v>37</v>
      </c>
      <c r="D166" s="40" t="s">
        <v>7</v>
      </c>
      <c r="E166" s="40" t="s">
        <v>372</v>
      </c>
      <c r="F166" s="40" t="s">
        <v>240</v>
      </c>
      <c r="G166" s="40" t="s">
        <v>413</v>
      </c>
      <c r="H166" s="40" t="s">
        <v>43</v>
      </c>
      <c r="I166" s="43" t="n">
        <v>0</v>
      </c>
      <c r="J166" s="43" t="n">
        <v>0</v>
      </c>
      <c r="K166" s="43" t="n">
        <v>0</v>
      </c>
      <c r="L166" s="43" t="n">
        <v>0</v>
      </c>
      <c r="M166" s="43" t="n">
        <v>0</v>
      </c>
      <c r="N166" s="43" t="n">
        <v>32</v>
      </c>
      <c r="O166" s="43" t="n">
        <v>0</v>
      </c>
      <c r="P166" s="43" t="n">
        <v>0</v>
      </c>
      <c r="Q166" s="43" t="n">
        <v>0</v>
      </c>
      <c r="R166" s="43" t="n">
        <v>0</v>
      </c>
      <c r="S166" s="43" t="n">
        <v>0</v>
      </c>
      <c r="T166" s="43" t="n">
        <v>0</v>
      </c>
      <c r="U166" s="42" t="n">
        <f aca="false">SUM(I166:T166)</f>
        <v>32</v>
      </c>
    </row>
    <row r="167" customFormat="false" ht="15" hidden="false" customHeight="false" outlineLevel="0" collapsed="false">
      <c r="A167" s="40" t="s">
        <v>660</v>
      </c>
      <c r="B167" s="40" t="s">
        <v>242</v>
      </c>
      <c r="C167" s="40" t="s">
        <v>37</v>
      </c>
      <c r="D167" s="40" t="s">
        <v>7</v>
      </c>
      <c r="E167" s="40" t="s">
        <v>372</v>
      </c>
      <c r="F167" s="40" t="s">
        <v>243</v>
      </c>
      <c r="G167" s="40" t="s">
        <v>661</v>
      </c>
      <c r="H167" s="40" t="s">
        <v>43</v>
      </c>
      <c r="I167" s="43" t="n">
        <v>0</v>
      </c>
      <c r="J167" s="43" t="n">
        <v>0</v>
      </c>
      <c r="K167" s="43" t="n">
        <v>0</v>
      </c>
      <c r="L167" s="43" t="n">
        <v>0</v>
      </c>
      <c r="M167" s="43" t="n">
        <v>0</v>
      </c>
      <c r="N167" s="43" t="n">
        <v>0</v>
      </c>
      <c r="O167" s="43" t="n">
        <v>0</v>
      </c>
      <c r="P167" s="43" t="n">
        <v>0</v>
      </c>
      <c r="Q167" s="43" t="n">
        <v>0</v>
      </c>
      <c r="R167" s="43" t="n">
        <v>37</v>
      </c>
      <c r="S167" s="43" t="n">
        <v>0</v>
      </c>
      <c r="T167" s="43" t="n">
        <v>0</v>
      </c>
      <c r="U167" s="42" t="n">
        <f aca="false">SUM(I167:T167)</f>
        <v>37</v>
      </c>
    </row>
    <row r="168" customFormat="false" ht="15" hidden="false" customHeight="false" outlineLevel="0" collapsed="false">
      <c r="A168" s="40" t="s">
        <v>662</v>
      </c>
      <c r="B168" s="40" t="s">
        <v>242</v>
      </c>
      <c r="C168" s="40" t="s">
        <v>37</v>
      </c>
      <c r="D168" s="40" t="s">
        <v>7</v>
      </c>
      <c r="E168" s="40" t="s">
        <v>372</v>
      </c>
      <c r="F168" s="40" t="s">
        <v>243</v>
      </c>
      <c r="G168" s="40" t="s">
        <v>663</v>
      </c>
      <c r="H168" s="40" t="s">
        <v>43</v>
      </c>
      <c r="I168" s="43" t="n">
        <v>0</v>
      </c>
      <c r="J168" s="43" t="n">
        <v>0</v>
      </c>
      <c r="K168" s="43" t="n">
        <v>0</v>
      </c>
      <c r="L168" s="43" t="n">
        <v>0</v>
      </c>
      <c r="M168" s="43" t="n">
        <v>0</v>
      </c>
      <c r="N168" s="43" t="n">
        <v>0</v>
      </c>
      <c r="O168" s="43" t="n">
        <v>0</v>
      </c>
      <c r="P168" s="43" t="n">
        <v>0</v>
      </c>
      <c r="Q168" s="43" t="n">
        <v>73</v>
      </c>
      <c r="R168" s="43" t="n">
        <v>0</v>
      </c>
      <c r="S168" s="43" t="n">
        <v>0</v>
      </c>
      <c r="T168" s="43" t="n">
        <v>0</v>
      </c>
      <c r="U168" s="42" t="n">
        <f aca="false">SUM(I168:T168)</f>
        <v>73</v>
      </c>
    </row>
    <row r="169" customFormat="false" ht="15" hidden="false" customHeight="false" outlineLevel="0" collapsed="false">
      <c r="A169" s="40" t="s">
        <v>664</v>
      </c>
      <c r="B169" s="40" t="s">
        <v>242</v>
      </c>
      <c r="C169" s="40" t="s">
        <v>37</v>
      </c>
      <c r="D169" s="40" t="s">
        <v>7</v>
      </c>
      <c r="E169" s="40" t="s">
        <v>372</v>
      </c>
      <c r="F169" s="40" t="s">
        <v>243</v>
      </c>
      <c r="G169" s="40" t="s">
        <v>665</v>
      </c>
      <c r="H169" s="40" t="s">
        <v>43</v>
      </c>
      <c r="I169" s="43" t="n">
        <v>0</v>
      </c>
      <c r="J169" s="43" t="n">
        <v>0</v>
      </c>
      <c r="K169" s="43" t="n">
        <v>0</v>
      </c>
      <c r="L169" s="43" t="n">
        <v>0</v>
      </c>
      <c r="M169" s="43" t="n">
        <v>0</v>
      </c>
      <c r="N169" s="43" t="n">
        <v>49</v>
      </c>
      <c r="O169" s="43" t="n">
        <v>0</v>
      </c>
      <c r="P169" s="43" t="n">
        <v>0</v>
      </c>
      <c r="Q169" s="43" t="n">
        <v>0</v>
      </c>
      <c r="R169" s="43" t="n">
        <v>0</v>
      </c>
      <c r="S169" s="43" t="n">
        <v>0</v>
      </c>
      <c r="T169" s="43" t="n">
        <v>0</v>
      </c>
      <c r="U169" s="42" t="n">
        <f aca="false">SUM(I169:T169)</f>
        <v>49</v>
      </c>
    </row>
    <row r="170" customFormat="false" ht="15" hidden="false" customHeight="false" outlineLevel="0" collapsed="false">
      <c r="A170" s="40" t="s">
        <v>666</v>
      </c>
      <c r="B170" s="40" t="s">
        <v>242</v>
      </c>
      <c r="C170" s="40" t="s">
        <v>37</v>
      </c>
      <c r="D170" s="40" t="s">
        <v>7</v>
      </c>
      <c r="E170" s="40" t="s">
        <v>372</v>
      </c>
      <c r="F170" s="40" t="s">
        <v>243</v>
      </c>
      <c r="G170" s="40" t="s">
        <v>667</v>
      </c>
      <c r="H170" s="40" t="s">
        <v>43</v>
      </c>
      <c r="I170" s="43" t="n">
        <v>0</v>
      </c>
      <c r="J170" s="43" t="n">
        <v>0</v>
      </c>
      <c r="K170" s="43" t="n">
        <v>0</v>
      </c>
      <c r="L170" s="43" t="n">
        <v>0</v>
      </c>
      <c r="M170" s="43" t="n">
        <v>0</v>
      </c>
      <c r="N170" s="43" t="n">
        <v>12</v>
      </c>
      <c r="O170" s="43" t="n">
        <v>0</v>
      </c>
      <c r="P170" s="43" t="n">
        <v>0</v>
      </c>
      <c r="Q170" s="43" t="n">
        <v>37</v>
      </c>
      <c r="R170" s="43" t="n">
        <v>0</v>
      </c>
      <c r="S170" s="43" t="n">
        <v>0</v>
      </c>
      <c r="T170" s="43" t="n">
        <v>0</v>
      </c>
      <c r="U170" s="42" t="n">
        <f aca="false">SUM(I170:T170)</f>
        <v>49</v>
      </c>
    </row>
    <row r="171" customFormat="false" ht="15" hidden="false" customHeight="false" outlineLevel="0" collapsed="false">
      <c r="A171" s="40" t="s">
        <v>668</v>
      </c>
      <c r="B171" s="40" t="s">
        <v>242</v>
      </c>
      <c r="C171" s="40" t="s">
        <v>37</v>
      </c>
      <c r="D171" s="40" t="s">
        <v>7</v>
      </c>
      <c r="E171" s="40" t="s">
        <v>372</v>
      </c>
      <c r="F171" s="40" t="s">
        <v>243</v>
      </c>
      <c r="G171" s="40" t="s">
        <v>669</v>
      </c>
      <c r="H171" s="40" t="s">
        <v>43</v>
      </c>
      <c r="I171" s="43" t="n">
        <v>0</v>
      </c>
      <c r="J171" s="43" t="n">
        <v>0</v>
      </c>
      <c r="K171" s="43" t="n">
        <v>0</v>
      </c>
      <c r="L171" s="43" t="n">
        <v>0</v>
      </c>
      <c r="M171" s="43" t="n">
        <v>0</v>
      </c>
      <c r="N171" s="43" t="n">
        <v>12</v>
      </c>
      <c r="O171" s="43" t="n">
        <v>0</v>
      </c>
      <c r="P171" s="43" t="n">
        <v>0</v>
      </c>
      <c r="Q171" s="43" t="n">
        <v>37</v>
      </c>
      <c r="R171" s="43" t="n">
        <v>0</v>
      </c>
      <c r="S171" s="43" t="n">
        <v>0</v>
      </c>
      <c r="T171" s="43" t="n">
        <v>0</v>
      </c>
      <c r="U171" s="42" t="n">
        <f aca="false">SUM(I171:T171)</f>
        <v>49</v>
      </c>
    </row>
    <row r="172" customFormat="false" ht="15" hidden="false" customHeight="false" outlineLevel="0" collapsed="false">
      <c r="A172" s="40" t="s">
        <v>670</v>
      </c>
      <c r="B172" s="40" t="s">
        <v>242</v>
      </c>
      <c r="C172" s="40" t="s">
        <v>37</v>
      </c>
      <c r="D172" s="40" t="s">
        <v>7</v>
      </c>
      <c r="E172" s="40" t="s">
        <v>372</v>
      </c>
      <c r="F172" s="40" t="s">
        <v>243</v>
      </c>
      <c r="G172" s="40" t="s">
        <v>671</v>
      </c>
      <c r="H172" s="40" t="s">
        <v>43</v>
      </c>
      <c r="I172" s="43" t="n">
        <v>0</v>
      </c>
      <c r="J172" s="43" t="n">
        <v>0</v>
      </c>
      <c r="K172" s="43" t="n">
        <v>0</v>
      </c>
      <c r="L172" s="43" t="n">
        <v>0</v>
      </c>
      <c r="M172" s="43" t="n">
        <v>0</v>
      </c>
      <c r="N172" s="43" t="n">
        <v>0</v>
      </c>
      <c r="O172" s="43" t="n">
        <v>0</v>
      </c>
      <c r="P172" s="43" t="n">
        <v>0</v>
      </c>
      <c r="Q172" s="43" t="n">
        <v>0</v>
      </c>
      <c r="R172" s="43" t="n">
        <v>12</v>
      </c>
      <c r="S172" s="43" t="n">
        <v>0</v>
      </c>
      <c r="T172" s="43" t="n">
        <v>0</v>
      </c>
      <c r="U172" s="42" t="n">
        <f aca="false">SUM(I172:T172)</f>
        <v>12</v>
      </c>
    </row>
    <row r="173" customFormat="false" ht="15" hidden="false" customHeight="false" outlineLevel="0" collapsed="false">
      <c r="A173" s="40" t="s">
        <v>672</v>
      </c>
      <c r="B173" s="40" t="s">
        <v>242</v>
      </c>
      <c r="C173" s="40" t="s">
        <v>37</v>
      </c>
      <c r="D173" s="40" t="s">
        <v>7</v>
      </c>
      <c r="E173" s="40" t="s">
        <v>372</v>
      </c>
      <c r="F173" s="40" t="s">
        <v>243</v>
      </c>
      <c r="G173" s="40" t="s">
        <v>673</v>
      </c>
      <c r="H173" s="40" t="s">
        <v>43</v>
      </c>
      <c r="I173" s="43" t="n">
        <v>0</v>
      </c>
      <c r="J173" s="43" t="n">
        <v>0</v>
      </c>
      <c r="K173" s="43" t="n">
        <v>0</v>
      </c>
      <c r="L173" s="43" t="n">
        <v>0</v>
      </c>
      <c r="M173" s="43" t="n">
        <v>0</v>
      </c>
      <c r="N173" s="43" t="n">
        <v>0</v>
      </c>
      <c r="O173" s="43" t="n">
        <v>0</v>
      </c>
      <c r="P173" s="43" t="n">
        <v>0</v>
      </c>
      <c r="Q173" s="43" t="n">
        <v>0</v>
      </c>
      <c r="R173" s="43" t="n">
        <v>0</v>
      </c>
      <c r="S173" s="43" t="n">
        <v>49</v>
      </c>
      <c r="T173" s="43" t="n">
        <v>0</v>
      </c>
      <c r="U173" s="42" t="n">
        <f aca="false">SUM(I173:T173)</f>
        <v>49</v>
      </c>
    </row>
    <row r="174" customFormat="false" ht="15" hidden="false" customHeight="false" outlineLevel="0" collapsed="false">
      <c r="A174" s="40" t="s">
        <v>674</v>
      </c>
      <c r="B174" s="40" t="s">
        <v>242</v>
      </c>
      <c r="C174" s="40" t="s">
        <v>37</v>
      </c>
      <c r="D174" s="40" t="s">
        <v>7</v>
      </c>
      <c r="E174" s="40" t="s">
        <v>372</v>
      </c>
      <c r="F174" s="40" t="s">
        <v>243</v>
      </c>
      <c r="G174" s="40" t="s">
        <v>407</v>
      </c>
      <c r="H174" s="40" t="s">
        <v>43</v>
      </c>
      <c r="I174" s="43" t="n">
        <v>0</v>
      </c>
      <c r="J174" s="43" t="n">
        <v>0</v>
      </c>
      <c r="K174" s="43" t="n">
        <v>0</v>
      </c>
      <c r="L174" s="43" t="n">
        <v>0</v>
      </c>
      <c r="M174" s="43" t="n">
        <v>19</v>
      </c>
      <c r="N174" s="43" t="n">
        <v>0</v>
      </c>
      <c r="O174" s="43" t="n">
        <v>0</v>
      </c>
      <c r="P174" s="43" t="n">
        <v>0</v>
      </c>
      <c r="Q174" s="43" t="n">
        <v>0</v>
      </c>
      <c r="R174" s="43" t="n">
        <v>0</v>
      </c>
      <c r="S174" s="43" t="n">
        <v>0</v>
      </c>
      <c r="T174" s="43" t="n">
        <v>0</v>
      </c>
      <c r="U174" s="42" t="n">
        <f aca="false">SUM(I174:T174)</f>
        <v>19</v>
      </c>
    </row>
    <row r="175" customFormat="false" ht="15" hidden="false" customHeight="false" outlineLevel="0" collapsed="false">
      <c r="A175" s="40" t="s">
        <v>675</v>
      </c>
      <c r="B175" s="40" t="s">
        <v>242</v>
      </c>
      <c r="C175" s="40" t="s">
        <v>37</v>
      </c>
      <c r="D175" s="40" t="s">
        <v>7</v>
      </c>
      <c r="E175" s="40" t="s">
        <v>372</v>
      </c>
      <c r="F175" s="40" t="s">
        <v>243</v>
      </c>
      <c r="G175" s="40" t="s">
        <v>409</v>
      </c>
      <c r="H175" s="40" t="s">
        <v>43</v>
      </c>
      <c r="I175" s="43" t="n">
        <v>0</v>
      </c>
      <c r="J175" s="43" t="n">
        <v>0</v>
      </c>
      <c r="K175" s="43" t="n">
        <v>13</v>
      </c>
      <c r="L175" s="43" t="n">
        <v>0</v>
      </c>
      <c r="M175" s="43" t="n">
        <v>0</v>
      </c>
      <c r="N175" s="43" t="n">
        <v>0</v>
      </c>
      <c r="O175" s="43" t="n">
        <v>0</v>
      </c>
      <c r="P175" s="43" t="n">
        <v>0</v>
      </c>
      <c r="Q175" s="43" t="n">
        <v>0</v>
      </c>
      <c r="R175" s="43" t="n">
        <v>0</v>
      </c>
      <c r="S175" s="43" t="n">
        <v>0</v>
      </c>
      <c r="T175" s="43" t="n">
        <v>0</v>
      </c>
      <c r="U175" s="42" t="n">
        <f aca="false">SUM(I175:T175)</f>
        <v>13</v>
      </c>
    </row>
    <row r="176" customFormat="false" ht="15" hidden="false" customHeight="false" outlineLevel="0" collapsed="false">
      <c r="A176" s="40" t="s">
        <v>676</v>
      </c>
      <c r="B176" s="40" t="s">
        <v>242</v>
      </c>
      <c r="C176" s="40" t="s">
        <v>37</v>
      </c>
      <c r="D176" s="40" t="s">
        <v>7</v>
      </c>
      <c r="E176" s="40" t="s">
        <v>372</v>
      </c>
      <c r="F176" s="40" t="s">
        <v>243</v>
      </c>
      <c r="G176" s="40" t="s">
        <v>411</v>
      </c>
      <c r="H176" s="40" t="s">
        <v>43</v>
      </c>
      <c r="I176" s="43" t="n">
        <v>0</v>
      </c>
      <c r="J176" s="43" t="n">
        <v>0</v>
      </c>
      <c r="K176" s="43" t="n">
        <v>0</v>
      </c>
      <c r="L176" s="43" t="n">
        <v>0</v>
      </c>
      <c r="M176" s="43" t="n">
        <v>0</v>
      </c>
      <c r="N176" s="43" t="n">
        <v>0</v>
      </c>
      <c r="O176" s="43" t="n">
        <v>0</v>
      </c>
      <c r="P176" s="43" t="n">
        <v>0</v>
      </c>
      <c r="Q176" s="43" t="n">
        <v>13</v>
      </c>
      <c r="R176" s="43" t="n">
        <v>0</v>
      </c>
      <c r="S176" s="43" t="n">
        <v>0</v>
      </c>
      <c r="T176" s="43" t="n">
        <v>0</v>
      </c>
      <c r="U176" s="42" t="n">
        <f aca="false">SUM(I176:T176)</f>
        <v>13</v>
      </c>
    </row>
    <row r="177" customFormat="false" ht="15" hidden="false" customHeight="false" outlineLevel="0" collapsed="false">
      <c r="A177" s="40" t="s">
        <v>677</v>
      </c>
      <c r="B177" s="40" t="s">
        <v>242</v>
      </c>
      <c r="C177" s="40" t="s">
        <v>37</v>
      </c>
      <c r="D177" s="40" t="s">
        <v>7</v>
      </c>
      <c r="E177" s="40" t="s">
        <v>372</v>
      </c>
      <c r="F177" s="40" t="s">
        <v>243</v>
      </c>
      <c r="G177" s="40" t="s">
        <v>413</v>
      </c>
      <c r="H177" s="40" t="s">
        <v>43</v>
      </c>
      <c r="I177" s="43" t="n">
        <v>0</v>
      </c>
      <c r="J177" s="43" t="n">
        <v>0</v>
      </c>
      <c r="K177" s="43" t="n">
        <v>0</v>
      </c>
      <c r="L177" s="43" t="n">
        <v>0</v>
      </c>
      <c r="M177" s="43" t="n">
        <v>0</v>
      </c>
      <c r="N177" s="43" t="n">
        <v>0</v>
      </c>
      <c r="O177" s="43" t="n">
        <v>0</v>
      </c>
      <c r="P177" s="43" t="n">
        <v>0</v>
      </c>
      <c r="Q177" s="43" t="n">
        <v>25</v>
      </c>
      <c r="R177" s="43" t="n">
        <v>0</v>
      </c>
      <c r="S177" s="43" t="n">
        <v>0</v>
      </c>
      <c r="T177" s="43" t="n">
        <v>0</v>
      </c>
      <c r="U177" s="42" t="n">
        <f aca="false">SUM(I177:T177)</f>
        <v>25</v>
      </c>
    </row>
    <row r="178" customFormat="false" ht="23.85" hidden="false" customHeight="false" outlineLevel="0" collapsed="false">
      <c r="A178" s="40" t="s">
        <v>678</v>
      </c>
      <c r="B178" s="40" t="s">
        <v>245</v>
      </c>
      <c r="C178" s="40" t="s">
        <v>37</v>
      </c>
      <c r="D178" s="40" t="s">
        <v>7</v>
      </c>
      <c r="E178" s="40" t="s">
        <v>372</v>
      </c>
      <c r="F178" s="40" t="s">
        <v>246</v>
      </c>
      <c r="G178" s="40" t="s">
        <v>679</v>
      </c>
      <c r="H178" s="40" t="s">
        <v>42</v>
      </c>
      <c r="I178" s="43" t="n">
        <v>0</v>
      </c>
      <c r="J178" s="43" t="n">
        <v>0</v>
      </c>
      <c r="K178" s="43" t="n">
        <v>0</v>
      </c>
      <c r="L178" s="43" t="n">
        <v>0</v>
      </c>
      <c r="M178" s="43" t="n">
        <v>0</v>
      </c>
      <c r="N178" s="43" t="n">
        <v>0</v>
      </c>
      <c r="O178" s="43" t="n">
        <v>0</v>
      </c>
      <c r="P178" s="43" t="n">
        <v>0</v>
      </c>
      <c r="Q178" s="43" t="n">
        <v>0</v>
      </c>
      <c r="R178" s="43" t="n">
        <v>37</v>
      </c>
      <c r="S178" s="43" t="n">
        <v>0</v>
      </c>
      <c r="T178" s="43" t="n">
        <v>0</v>
      </c>
      <c r="U178" s="42" t="n">
        <f aca="false">SUM(I178:T178)</f>
        <v>37</v>
      </c>
    </row>
    <row r="179" customFormat="false" ht="23.85" hidden="false" customHeight="false" outlineLevel="0" collapsed="false">
      <c r="A179" s="40" t="s">
        <v>680</v>
      </c>
      <c r="B179" s="40" t="s">
        <v>245</v>
      </c>
      <c r="C179" s="40" t="s">
        <v>37</v>
      </c>
      <c r="D179" s="40" t="s">
        <v>7</v>
      </c>
      <c r="E179" s="40" t="s">
        <v>372</v>
      </c>
      <c r="F179" s="40" t="s">
        <v>246</v>
      </c>
      <c r="G179" s="40" t="s">
        <v>681</v>
      </c>
      <c r="H179" s="40" t="s">
        <v>42</v>
      </c>
      <c r="I179" s="43" t="n">
        <v>0</v>
      </c>
      <c r="J179" s="43" t="n">
        <v>0</v>
      </c>
      <c r="K179" s="43" t="n">
        <v>0</v>
      </c>
      <c r="L179" s="43" t="n">
        <v>0</v>
      </c>
      <c r="M179" s="43" t="n">
        <v>0</v>
      </c>
      <c r="N179" s="43" t="n">
        <v>0</v>
      </c>
      <c r="O179" s="43" t="n">
        <v>0</v>
      </c>
      <c r="P179" s="43" t="n">
        <v>0</v>
      </c>
      <c r="Q179" s="43" t="n">
        <v>73</v>
      </c>
      <c r="R179" s="43" t="n">
        <v>0</v>
      </c>
      <c r="S179" s="43" t="n">
        <v>0</v>
      </c>
      <c r="T179" s="43" t="n">
        <v>0</v>
      </c>
      <c r="U179" s="42" t="n">
        <f aca="false">SUM(I179:T179)</f>
        <v>73</v>
      </c>
    </row>
    <row r="180" customFormat="false" ht="23.85" hidden="false" customHeight="false" outlineLevel="0" collapsed="false">
      <c r="A180" s="40" t="s">
        <v>682</v>
      </c>
      <c r="B180" s="40" t="s">
        <v>245</v>
      </c>
      <c r="C180" s="40" t="s">
        <v>37</v>
      </c>
      <c r="D180" s="40" t="s">
        <v>7</v>
      </c>
      <c r="E180" s="40" t="s">
        <v>372</v>
      </c>
      <c r="F180" s="40" t="s">
        <v>246</v>
      </c>
      <c r="G180" s="40" t="s">
        <v>683</v>
      </c>
      <c r="H180" s="40" t="s">
        <v>42</v>
      </c>
      <c r="I180" s="43" t="n">
        <v>0</v>
      </c>
      <c r="J180" s="43" t="n">
        <v>0</v>
      </c>
      <c r="K180" s="43" t="n">
        <v>0</v>
      </c>
      <c r="L180" s="43" t="n">
        <v>12</v>
      </c>
      <c r="M180" s="43" t="n">
        <v>0</v>
      </c>
      <c r="N180" s="43" t="n">
        <v>0</v>
      </c>
      <c r="O180" s="43" t="n">
        <v>0</v>
      </c>
      <c r="P180" s="43" t="n">
        <v>0</v>
      </c>
      <c r="Q180" s="43" t="n">
        <v>49</v>
      </c>
      <c r="R180" s="43" t="n">
        <v>0</v>
      </c>
      <c r="S180" s="43" t="n">
        <v>0</v>
      </c>
      <c r="T180" s="43" t="n">
        <v>0</v>
      </c>
      <c r="U180" s="42" t="n">
        <f aca="false">SUM(I180:T180)</f>
        <v>61</v>
      </c>
    </row>
    <row r="181" customFormat="false" ht="23.85" hidden="false" customHeight="false" outlineLevel="0" collapsed="false">
      <c r="A181" s="40" t="s">
        <v>684</v>
      </c>
      <c r="B181" s="40" t="s">
        <v>245</v>
      </c>
      <c r="C181" s="40" t="s">
        <v>37</v>
      </c>
      <c r="D181" s="40" t="s">
        <v>7</v>
      </c>
      <c r="E181" s="40" t="s">
        <v>372</v>
      </c>
      <c r="F181" s="40" t="s">
        <v>246</v>
      </c>
      <c r="G181" s="40" t="s">
        <v>685</v>
      </c>
      <c r="H181" s="40" t="s">
        <v>42</v>
      </c>
      <c r="I181" s="43" t="n">
        <v>0</v>
      </c>
      <c r="J181" s="43" t="n">
        <v>0</v>
      </c>
      <c r="K181" s="43" t="n">
        <v>0</v>
      </c>
      <c r="L181" s="43" t="n">
        <v>0</v>
      </c>
      <c r="M181" s="43" t="n">
        <v>0</v>
      </c>
      <c r="N181" s="43" t="n">
        <v>0</v>
      </c>
      <c r="O181" s="43" t="n">
        <v>0</v>
      </c>
      <c r="P181" s="43" t="n">
        <v>0</v>
      </c>
      <c r="Q181" s="43" t="n">
        <v>61</v>
      </c>
      <c r="R181" s="43" t="n">
        <v>0</v>
      </c>
      <c r="S181" s="43" t="n">
        <v>0</v>
      </c>
      <c r="T181" s="43" t="n">
        <v>0</v>
      </c>
      <c r="U181" s="42" t="n">
        <f aca="false">SUM(I181:T181)</f>
        <v>61</v>
      </c>
    </row>
    <row r="182" customFormat="false" ht="23.85" hidden="false" customHeight="false" outlineLevel="0" collapsed="false">
      <c r="A182" s="40" t="s">
        <v>686</v>
      </c>
      <c r="B182" s="40" t="s">
        <v>245</v>
      </c>
      <c r="C182" s="40" t="s">
        <v>37</v>
      </c>
      <c r="D182" s="40" t="s">
        <v>7</v>
      </c>
      <c r="E182" s="40" t="s">
        <v>372</v>
      </c>
      <c r="F182" s="40" t="s">
        <v>246</v>
      </c>
      <c r="G182" s="40" t="s">
        <v>687</v>
      </c>
      <c r="H182" s="40" t="s">
        <v>42</v>
      </c>
      <c r="I182" s="43" t="n">
        <v>0</v>
      </c>
      <c r="J182" s="43" t="n">
        <v>0</v>
      </c>
      <c r="K182" s="43" t="n">
        <v>0</v>
      </c>
      <c r="L182" s="43" t="n">
        <v>0</v>
      </c>
      <c r="M182" s="43" t="n">
        <v>0</v>
      </c>
      <c r="N182" s="43" t="n">
        <v>0</v>
      </c>
      <c r="O182" s="43" t="n">
        <v>0</v>
      </c>
      <c r="P182" s="43" t="n">
        <v>0</v>
      </c>
      <c r="Q182" s="43" t="n">
        <v>61</v>
      </c>
      <c r="R182" s="43" t="n">
        <v>0</v>
      </c>
      <c r="S182" s="43" t="n">
        <v>0</v>
      </c>
      <c r="T182" s="43" t="n">
        <v>0</v>
      </c>
      <c r="U182" s="42" t="n">
        <f aca="false">SUM(I182:T182)</f>
        <v>61</v>
      </c>
    </row>
    <row r="183" customFormat="false" ht="23.85" hidden="false" customHeight="false" outlineLevel="0" collapsed="false">
      <c r="A183" s="40" t="s">
        <v>688</v>
      </c>
      <c r="B183" s="40" t="s">
        <v>245</v>
      </c>
      <c r="C183" s="40" t="s">
        <v>37</v>
      </c>
      <c r="D183" s="40" t="s">
        <v>7</v>
      </c>
      <c r="E183" s="40" t="s">
        <v>372</v>
      </c>
      <c r="F183" s="40" t="s">
        <v>246</v>
      </c>
      <c r="G183" s="40" t="s">
        <v>689</v>
      </c>
      <c r="H183" s="40" t="s">
        <v>42</v>
      </c>
      <c r="I183" s="43" t="n">
        <v>0</v>
      </c>
      <c r="J183" s="43" t="n">
        <v>0</v>
      </c>
      <c r="K183" s="43" t="n">
        <v>0</v>
      </c>
      <c r="L183" s="43" t="n">
        <v>12</v>
      </c>
      <c r="M183" s="43" t="n">
        <v>0</v>
      </c>
      <c r="N183" s="43" t="n">
        <v>0</v>
      </c>
      <c r="O183" s="43" t="n">
        <v>0</v>
      </c>
      <c r="P183" s="43" t="n">
        <v>0</v>
      </c>
      <c r="Q183" s="43" t="n">
        <v>0</v>
      </c>
      <c r="R183" s="43" t="n">
        <v>0</v>
      </c>
      <c r="S183" s="43" t="n">
        <v>0</v>
      </c>
      <c r="T183" s="43" t="n">
        <v>0</v>
      </c>
      <c r="U183" s="42" t="n">
        <f aca="false">SUM(I183:T183)</f>
        <v>12</v>
      </c>
    </row>
    <row r="184" customFormat="false" ht="23.85" hidden="false" customHeight="false" outlineLevel="0" collapsed="false">
      <c r="A184" s="40" t="s">
        <v>690</v>
      </c>
      <c r="B184" s="40" t="s">
        <v>245</v>
      </c>
      <c r="C184" s="40" t="s">
        <v>37</v>
      </c>
      <c r="D184" s="40" t="s">
        <v>7</v>
      </c>
      <c r="E184" s="40" t="s">
        <v>372</v>
      </c>
      <c r="F184" s="40" t="s">
        <v>246</v>
      </c>
      <c r="G184" s="40" t="s">
        <v>691</v>
      </c>
      <c r="H184" s="40" t="s">
        <v>42</v>
      </c>
      <c r="I184" s="43" t="n">
        <v>0</v>
      </c>
      <c r="J184" s="43" t="n">
        <v>0</v>
      </c>
      <c r="K184" s="43" t="n">
        <v>0</v>
      </c>
      <c r="L184" s="43" t="n">
        <v>0</v>
      </c>
      <c r="M184" s="43" t="n">
        <v>0</v>
      </c>
      <c r="N184" s="43" t="n">
        <v>0</v>
      </c>
      <c r="O184" s="43" t="n">
        <v>0</v>
      </c>
      <c r="P184" s="43" t="n">
        <v>0</v>
      </c>
      <c r="Q184" s="43" t="n">
        <v>0</v>
      </c>
      <c r="R184" s="43" t="n">
        <v>12</v>
      </c>
      <c r="S184" s="43" t="n">
        <v>73</v>
      </c>
      <c r="T184" s="43" t="n">
        <v>0</v>
      </c>
      <c r="U184" s="42" t="n">
        <f aca="false">SUM(I184:T184)</f>
        <v>85</v>
      </c>
    </row>
    <row r="185" customFormat="false" ht="23.85" hidden="false" customHeight="false" outlineLevel="0" collapsed="false">
      <c r="A185" s="40" t="s">
        <v>692</v>
      </c>
      <c r="B185" s="40" t="s">
        <v>245</v>
      </c>
      <c r="C185" s="40" t="s">
        <v>37</v>
      </c>
      <c r="D185" s="40" t="s">
        <v>7</v>
      </c>
      <c r="E185" s="40" t="s">
        <v>372</v>
      </c>
      <c r="F185" s="40" t="s">
        <v>246</v>
      </c>
      <c r="G185" s="40" t="s">
        <v>407</v>
      </c>
      <c r="H185" s="40" t="s">
        <v>42</v>
      </c>
      <c r="I185" s="43" t="n">
        <v>0</v>
      </c>
      <c r="J185" s="43" t="n">
        <v>24</v>
      </c>
      <c r="K185" s="43" t="n">
        <v>0</v>
      </c>
      <c r="L185" s="43" t="n">
        <v>0</v>
      </c>
      <c r="M185" s="43" t="n">
        <v>0</v>
      </c>
      <c r="N185" s="43" t="n">
        <v>0</v>
      </c>
      <c r="O185" s="43" t="n">
        <v>0</v>
      </c>
      <c r="P185" s="43" t="n">
        <v>0</v>
      </c>
      <c r="Q185" s="43" t="n">
        <v>0</v>
      </c>
      <c r="R185" s="43" t="n">
        <v>0</v>
      </c>
      <c r="S185" s="43" t="n">
        <v>0</v>
      </c>
      <c r="T185" s="43" t="n">
        <v>0</v>
      </c>
      <c r="U185" s="42" t="n">
        <f aca="false">SUM(I185:T185)</f>
        <v>24</v>
      </c>
    </row>
    <row r="186" customFormat="false" ht="23.85" hidden="false" customHeight="false" outlineLevel="0" collapsed="false">
      <c r="A186" s="40" t="s">
        <v>693</v>
      </c>
      <c r="B186" s="40" t="s">
        <v>245</v>
      </c>
      <c r="C186" s="40" t="s">
        <v>37</v>
      </c>
      <c r="D186" s="40" t="s">
        <v>7</v>
      </c>
      <c r="E186" s="40" t="s">
        <v>372</v>
      </c>
      <c r="F186" s="40" t="s">
        <v>246</v>
      </c>
      <c r="G186" s="40" t="s">
        <v>409</v>
      </c>
      <c r="H186" s="40" t="s">
        <v>42</v>
      </c>
      <c r="I186" s="43" t="n">
        <v>0</v>
      </c>
      <c r="J186" s="43" t="n">
        <v>0</v>
      </c>
      <c r="K186" s="43" t="n">
        <v>16</v>
      </c>
      <c r="L186" s="43" t="n">
        <v>0</v>
      </c>
      <c r="M186" s="43" t="n">
        <v>0</v>
      </c>
      <c r="N186" s="43" t="n">
        <v>0</v>
      </c>
      <c r="O186" s="43" t="n">
        <v>0</v>
      </c>
      <c r="P186" s="43" t="n">
        <v>0</v>
      </c>
      <c r="Q186" s="43" t="n">
        <v>0</v>
      </c>
      <c r="R186" s="43" t="n">
        <v>0</v>
      </c>
      <c r="S186" s="43" t="n">
        <v>0</v>
      </c>
      <c r="T186" s="43" t="n">
        <v>0</v>
      </c>
      <c r="U186" s="42" t="n">
        <f aca="false">SUM(I186:T186)</f>
        <v>16</v>
      </c>
    </row>
    <row r="187" customFormat="false" ht="23.85" hidden="false" customHeight="false" outlineLevel="0" collapsed="false">
      <c r="A187" s="40" t="s">
        <v>694</v>
      </c>
      <c r="B187" s="40" t="s">
        <v>245</v>
      </c>
      <c r="C187" s="40" t="s">
        <v>37</v>
      </c>
      <c r="D187" s="40" t="s">
        <v>7</v>
      </c>
      <c r="E187" s="40" t="s">
        <v>372</v>
      </c>
      <c r="F187" s="40" t="s">
        <v>246</v>
      </c>
      <c r="G187" s="40" t="s">
        <v>411</v>
      </c>
      <c r="H187" s="40" t="s">
        <v>42</v>
      </c>
      <c r="I187" s="43" t="n">
        <v>0</v>
      </c>
      <c r="J187" s="43" t="n">
        <v>0</v>
      </c>
      <c r="K187" s="43" t="n">
        <v>0</v>
      </c>
      <c r="L187" s="43" t="n">
        <v>0</v>
      </c>
      <c r="M187" s="43" t="n">
        <v>0</v>
      </c>
      <c r="N187" s="43" t="n">
        <v>0</v>
      </c>
      <c r="O187" s="43" t="n">
        <v>0</v>
      </c>
      <c r="P187" s="43" t="n">
        <v>0</v>
      </c>
      <c r="Q187" s="43" t="n">
        <v>16</v>
      </c>
      <c r="R187" s="43" t="n">
        <v>0</v>
      </c>
      <c r="S187" s="43" t="n">
        <v>0</v>
      </c>
      <c r="T187" s="43" t="n">
        <v>0</v>
      </c>
      <c r="U187" s="42" t="n">
        <f aca="false">SUM(I187:T187)</f>
        <v>16</v>
      </c>
    </row>
    <row r="188" customFormat="false" ht="23.85" hidden="false" customHeight="false" outlineLevel="0" collapsed="false">
      <c r="A188" s="40" t="s">
        <v>695</v>
      </c>
      <c r="B188" s="40" t="s">
        <v>245</v>
      </c>
      <c r="C188" s="40" t="s">
        <v>37</v>
      </c>
      <c r="D188" s="40" t="s">
        <v>7</v>
      </c>
      <c r="E188" s="40" t="s">
        <v>372</v>
      </c>
      <c r="F188" s="40" t="s">
        <v>246</v>
      </c>
      <c r="G188" s="40" t="s">
        <v>413</v>
      </c>
      <c r="H188" s="40" t="s">
        <v>42</v>
      </c>
      <c r="I188" s="43" t="n">
        <v>0</v>
      </c>
      <c r="J188" s="43" t="n">
        <v>0</v>
      </c>
      <c r="K188" s="43" t="n">
        <v>0</v>
      </c>
      <c r="L188" s="43" t="n">
        <v>0</v>
      </c>
      <c r="M188" s="43" t="n">
        <v>0</v>
      </c>
      <c r="N188" s="43" t="n">
        <v>0</v>
      </c>
      <c r="O188" s="43" t="n">
        <v>0</v>
      </c>
      <c r="P188" s="43" t="n">
        <v>0</v>
      </c>
      <c r="Q188" s="43" t="n">
        <v>31</v>
      </c>
      <c r="R188" s="43" t="n">
        <v>0</v>
      </c>
      <c r="S188" s="43" t="n">
        <v>0</v>
      </c>
      <c r="T188" s="43" t="n">
        <v>0</v>
      </c>
      <c r="U188" s="42" t="n">
        <f aca="false">SUM(I188:T188)</f>
        <v>31</v>
      </c>
    </row>
    <row r="189" customFormat="false" ht="23.85" hidden="false" customHeight="false" outlineLevel="0" collapsed="false">
      <c r="A189" s="40" t="s">
        <v>696</v>
      </c>
      <c r="B189" s="40" t="s">
        <v>248</v>
      </c>
      <c r="C189" s="40" t="s">
        <v>37</v>
      </c>
      <c r="D189" s="40" t="s">
        <v>7</v>
      </c>
      <c r="E189" s="40" t="s">
        <v>372</v>
      </c>
      <c r="F189" s="40" t="s">
        <v>249</v>
      </c>
      <c r="G189" s="40" t="s">
        <v>697</v>
      </c>
      <c r="H189" s="40" t="s">
        <v>42</v>
      </c>
      <c r="I189" s="43" t="n">
        <v>0</v>
      </c>
      <c r="J189" s="43" t="n">
        <v>0</v>
      </c>
      <c r="K189" s="43" t="n">
        <v>10</v>
      </c>
      <c r="L189" s="43" t="n">
        <v>0</v>
      </c>
      <c r="M189" s="43" t="n">
        <v>0</v>
      </c>
      <c r="N189" s="43" t="n">
        <v>26</v>
      </c>
      <c r="O189" s="43" t="n">
        <v>0</v>
      </c>
      <c r="P189" s="43" t="n">
        <v>0</v>
      </c>
      <c r="Q189" s="43" t="n">
        <v>0</v>
      </c>
      <c r="R189" s="43" t="n">
        <v>0</v>
      </c>
      <c r="S189" s="43" t="n">
        <v>0</v>
      </c>
      <c r="T189" s="43" t="n">
        <v>0</v>
      </c>
      <c r="U189" s="42" t="n">
        <f aca="false">SUM(I189:T189)</f>
        <v>36</v>
      </c>
    </row>
    <row r="190" customFormat="false" ht="23.85" hidden="false" customHeight="false" outlineLevel="0" collapsed="false">
      <c r="A190" s="40" t="s">
        <v>698</v>
      </c>
      <c r="B190" s="40" t="s">
        <v>248</v>
      </c>
      <c r="C190" s="40" t="s">
        <v>37</v>
      </c>
      <c r="D190" s="40" t="s">
        <v>7</v>
      </c>
      <c r="E190" s="40" t="s">
        <v>372</v>
      </c>
      <c r="F190" s="40" t="s">
        <v>249</v>
      </c>
      <c r="G190" s="40" t="s">
        <v>699</v>
      </c>
      <c r="H190" s="40" t="s">
        <v>42</v>
      </c>
      <c r="I190" s="43" t="n">
        <v>0</v>
      </c>
      <c r="J190" s="43" t="n">
        <v>0</v>
      </c>
      <c r="K190" s="43" t="n">
        <v>0</v>
      </c>
      <c r="L190" s="43" t="n">
        <v>0</v>
      </c>
      <c r="M190" s="43" t="n">
        <v>0</v>
      </c>
      <c r="N190" s="43" t="n">
        <v>15</v>
      </c>
      <c r="O190" s="43" t="n">
        <v>0</v>
      </c>
      <c r="P190" s="43" t="n">
        <v>0</v>
      </c>
      <c r="Q190" s="43" t="n">
        <v>0</v>
      </c>
      <c r="R190" s="43" t="n">
        <v>0</v>
      </c>
      <c r="S190" s="43" t="n">
        <v>0</v>
      </c>
      <c r="T190" s="43" t="n">
        <v>0</v>
      </c>
      <c r="U190" s="42" t="n">
        <f aca="false">SUM(I190:T190)</f>
        <v>15</v>
      </c>
    </row>
    <row r="191" customFormat="false" ht="23.85" hidden="false" customHeight="false" outlineLevel="0" collapsed="false">
      <c r="A191" s="40" t="s">
        <v>700</v>
      </c>
      <c r="B191" s="40" t="s">
        <v>248</v>
      </c>
      <c r="C191" s="40" t="s">
        <v>37</v>
      </c>
      <c r="D191" s="40" t="s">
        <v>7</v>
      </c>
      <c r="E191" s="40" t="s">
        <v>372</v>
      </c>
      <c r="F191" s="40" t="s">
        <v>249</v>
      </c>
      <c r="G191" s="40" t="s">
        <v>701</v>
      </c>
      <c r="H191" s="40" t="s">
        <v>42</v>
      </c>
      <c r="I191" s="43" t="n">
        <v>0</v>
      </c>
      <c r="J191" s="43" t="n">
        <v>0</v>
      </c>
      <c r="K191" s="43" t="n">
        <v>20</v>
      </c>
      <c r="L191" s="43" t="n">
        <v>0</v>
      </c>
      <c r="M191" s="43" t="n">
        <v>0</v>
      </c>
      <c r="N191" s="43" t="n">
        <v>0</v>
      </c>
      <c r="O191" s="43" t="n">
        <v>0</v>
      </c>
      <c r="P191" s="43" t="n">
        <v>0</v>
      </c>
      <c r="Q191" s="43" t="n">
        <v>0</v>
      </c>
      <c r="R191" s="43" t="n">
        <v>0</v>
      </c>
      <c r="S191" s="43" t="n">
        <v>0</v>
      </c>
      <c r="T191" s="43" t="n">
        <v>0</v>
      </c>
      <c r="U191" s="42" t="n">
        <f aca="false">SUM(I191:T191)</f>
        <v>20</v>
      </c>
    </row>
    <row r="192" customFormat="false" ht="23.85" hidden="false" customHeight="false" outlineLevel="0" collapsed="false">
      <c r="A192" s="40" t="s">
        <v>702</v>
      </c>
      <c r="B192" s="40" t="s">
        <v>248</v>
      </c>
      <c r="C192" s="40" t="s">
        <v>37</v>
      </c>
      <c r="D192" s="40" t="s">
        <v>7</v>
      </c>
      <c r="E192" s="40" t="s">
        <v>372</v>
      </c>
      <c r="F192" s="40" t="s">
        <v>249</v>
      </c>
      <c r="G192" s="40" t="s">
        <v>703</v>
      </c>
      <c r="H192" s="40" t="s">
        <v>42</v>
      </c>
      <c r="I192" s="43" t="n">
        <v>0</v>
      </c>
      <c r="J192" s="43" t="n">
        <v>0</v>
      </c>
      <c r="K192" s="43" t="n">
        <v>31</v>
      </c>
      <c r="L192" s="43" t="n">
        <v>0</v>
      </c>
      <c r="M192" s="43" t="n">
        <v>0</v>
      </c>
      <c r="N192" s="43" t="n">
        <v>0</v>
      </c>
      <c r="O192" s="43" t="n">
        <v>0</v>
      </c>
      <c r="P192" s="43" t="n">
        <v>0</v>
      </c>
      <c r="Q192" s="43" t="n">
        <v>0</v>
      </c>
      <c r="R192" s="43" t="n">
        <v>0</v>
      </c>
      <c r="S192" s="43" t="n">
        <v>0</v>
      </c>
      <c r="T192" s="43" t="n">
        <v>0</v>
      </c>
      <c r="U192" s="42" t="n">
        <f aca="false">SUM(I192:T192)</f>
        <v>31</v>
      </c>
    </row>
    <row r="193" customFormat="false" ht="23.85" hidden="false" customHeight="false" outlineLevel="0" collapsed="false">
      <c r="A193" s="40" t="s">
        <v>704</v>
      </c>
      <c r="B193" s="40" t="s">
        <v>248</v>
      </c>
      <c r="C193" s="40" t="s">
        <v>37</v>
      </c>
      <c r="D193" s="40" t="s">
        <v>7</v>
      </c>
      <c r="E193" s="40" t="s">
        <v>372</v>
      </c>
      <c r="F193" s="40" t="s">
        <v>249</v>
      </c>
      <c r="G193" s="40" t="s">
        <v>705</v>
      </c>
      <c r="H193" s="40" t="s">
        <v>42</v>
      </c>
      <c r="I193" s="43" t="n">
        <v>0</v>
      </c>
      <c r="J193" s="43" t="n">
        <v>0</v>
      </c>
      <c r="K193" s="43" t="n">
        <v>20</v>
      </c>
      <c r="L193" s="43" t="n">
        <v>0</v>
      </c>
      <c r="M193" s="43" t="n">
        <v>0</v>
      </c>
      <c r="N193" s="43" t="n">
        <v>0</v>
      </c>
      <c r="O193" s="43" t="n">
        <v>0</v>
      </c>
      <c r="P193" s="43" t="n">
        <v>0</v>
      </c>
      <c r="Q193" s="43" t="n">
        <v>0</v>
      </c>
      <c r="R193" s="43" t="n">
        <v>0</v>
      </c>
      <c r="S193" s="43" t="n">
        <v>0</v>
      </c>
      <c r="T193" s="43" t="n">
        <v>0</v>
      </c>
      <c r="U193" s="42" t="n">
        <f aca="false">SUM(I193:T193)</f>
        <v>20</v>
      </c>
    </row>
    <row r="194" customFormat="false" ht="23.85" hidden="false" customHeight="false" outlineLevel="0" collapsed="false">
      <c r="A194" s="40" t="s">
        <v>706</v>
      </c>
      <c r="B194" s="40" t="s">
        <v>248</v>
      </c>
      <c r="C194" s="40" t="s">
        <v>37</v>
      </c>
      <c r="D194" s="40" t="s">
        <v>7</v>
      </c>
      <c r="E194" s="40" t="s">
        <v>372</v>
      </c>
      <c r="F194" s="40" t="s">
        <v>249</v>
      </c>
      <c r="G194" s="40" t="s">
        <v>407</v>
      </c>
      <c r="H194" s="40" t="s">
        <v>42</v>
      </c>
      <c r="I194" s="43" t="n">
        <v>0</v>
      </c>
      <c r="J194" s="43" t="n">
        <v>7</v>
      </c>
      <c r="K194" s="43" t="n">
        <v>0</v>
      </c>
      <c r="L194" s="43" t="n">
        <v>0</v>
      </c>
      <c r="M194" s="43" t="n">
        <v>0</v>
      </c>
      <c r="N194" s="43" t="n">
        <v>0</v>
      </c>
      <c r="O194" s="43" t="n">
        <v>0</v>
      </c>
      <c r="P194" s="43" t="n">
        <v>0</v>
      </c>
      <c r="Q194" s="43" t="n">
        <v>0</v>
      </c>
      <c r="R194" s="43" t="n">
        <v>0</v>
      </c>
      <c r="S194" s="43" t="n">
        <v>0</v>
      </c>
      <c r="T194" s="43" t="n">
        <v>0</v>
      </c>
      <c r="U194" s="42" t="n">
        <f aca="false">SUM(I194:T194)</f>
        <v>7</v>
      </c>
    </row>
    <row r="195" customFormat="false" ht="23.85" hidden="false" customHeight="false" outlineLevel="0" collapsed="false">
      <c r="A195" s="40" t="s">
        <v>707</v>
      </c>
      <c r="B195" s="40" t="s">
        <v>248</v>
      </c>
      <c r="C195" s="40" t="s">
        <v>37</v>
      </c>
      <c r="D195" s="40" t="s">
        <v>7</v>
      </c>
      <c r="E195" s="40" t="s">
        <v>372</v>
      </c>
      <c r="F195" s="40" t="s">
        <v>249</v>
      </c>
      <c r="G195" s="40" t="s">
        <v>409</v>
      </c>
      <c r="H195" s="40" t="s">
        <v>42</v>
      </c>
      <c r="I195" s="43" t="n">
        <v>0</v>
      </c>
      <c r="J195" s="43" t="n">
        <v>0</v>
      </c>
      <c r="K195" s="43" t="n">
        <v>5</v>
      </c>
      <c r="L195" s="43" t="n">
        <v>0</v>
      </c>
      <c r="M195" s="43" t="n">
        <v>0</v>
      </c>
      <c r="N195" s="43" t="n">
        <v>0</v>
      </c>
      <c r="O195" s="43" t="n">
        <v>0</v>
      </c>
      <c r="P195" s="43" t="n">
        <v>0</v>
      </c>
      <c r="Q195" s="43" t="n">
        <v>0</v>
      </c>
      <c r="R195" s="43" t="n">
        <v>0</v>
      </c>
      <c r="S195" s="43" t="n">
        <v>0</v>
      </c>
      <c r="T195" s="43" t="n">
        <v>0</v>
      </c>
      <c r="U195" s="42" t="n">
        <f aca="false">SUM(I195:T195)</f>
        <v>5</v>
      </c>
    </row>
    <row r="196" customFormat="false" ht="23.85" hidden="false" customHeight="false" outlineLevel="0" collapsed="false">
      <c r="A196" s="40" t="s">
        <v>708</v>
      </c>
      <c r="B196" s="40" t="s">
        <v>248</v>
      </c>
      <c r="C196" s="40" t="s">
        <v>37</v>
      </c>
      <c r="D196" s="40" t="s">
        <v>7</v>
      </c>
      <c r="E196" s="40" t="s">
        <v>372</v>
      </c>
      <c r="F196" s="40" t="s">
        <v>249</v>
      </c>
      <c r="G196" s="40" t="s">
        <v>411</v>
      </c>
      <c r="H196" s="40" t="s">
        <v>42</v>
      </c>
      <c r="I196" s="43" t="n">
        <v>0</v>
      </c>
      <c r="J196" s="43" t="n">
        <v>0</v>
      </c>
      <c r="K196" s="43" t="n">
        <v>5</v>
      </c>
      <c r="L196" s="43" t="n">
        <v>0</v>
      </c>
      <c r="M196" s="43" t="n">
        <v>0</v>
      </c>
      <c r="N196" s="43" t="n">
        <v>0</v>
      </c>
      <c r="O196" s="43" t="n">
        <v>0</v>
      </c>
      <c r="P196" s="43" t="n">
        <v>0</v>
      </c>
      <c r="Q196" s="43" t="n">
        <v>0</v>
      </c>
      <c r="R196" s="43" t="n">
        <v>0</v>
      </c>
      <c r="S196" s="43" t="n">
        <v>0</v>
      </c>
      <c r="T196" s="43" t="n">
        <v>0</v>
      </c>
      <c r="U196" s="42" t="n">
        <f aca="false">SUM(I196:T196)</f>
        <v>5</v>
      </c>
    </row>
    <row r="197" customFormat="false" ht="23.85" hidden="false" customHeight="false" outlineLevel="0" collapsed="false">
      <c r="A197" s="40" t="s">
        <v>709</v>
      </c>
      <c r="B197" s="40" t="s">
        <v>248</v>
      </c>
      <c r="C197" s="40" t="s">
        <v>37</v>
      </c>
      <c r="D197" s="40" t="s">
        <v>7</v>
      </c>
      <c r="E197" s="40" t="s">
        <v>372</v>
      </c>
      <c r="F197" s="40" t="s">
        <v>249</v>
      </c>
      <c r="G197" s="40" t="s">
        <v>413</v>
      </c>
      <c r="H197" s="40" t="s">
        <v>42</v>
      </c>
      <c r="I197" s="43" t="n">
        <v>0</v>
      </c>
      <c r="J197" s="43" t="n">
        <v>0</v>
      </c>
      <c r="K197" s="43" t="n">
        <v>10</v>
      </c>
      <c r="L197" s="43" t="n">
        <v>0</v>
      </c>
      <c r="M197" s="43" t="n">
        <v>0</v>
      </c>
      <c r="N197" s="43" t="n">
        <v>0</v>
      </c>
      <c r="O197" s="43" t="n">
        <v>0</v>
      </c>
      <c r="P197" s="43" t="n">
        <v>0</v>
      </c>
      <c r="Q197" s="43" t="n">
        <v>0</v>
      </c>
      <c r="R197" s="43" t="n">
        <v>0</v>
      </c>
      <c r="S197" s="43" t="n">
        <v>0</v>
      </c>
      <c r="T197" s="43" t="n">
        <v>0</v>
      </c>
      <c r="U197" s="42" t="n">
        <f aca="false">SUM(I197:T197)</f>
        <v>10</v>
      </c>
    </row>
    <row r="198" customFormat="false" ht="23.85" hidden="false" customHeight="false" outlineLevel="0" collapsed="false">
      <c r="A198" s="40" t="s">
        <v>710</v>
      </c>
      <c r="B198" s="40" t="s">
        <v>301</v>
      </c>
      <c r="C198" s="40" t="s">
        <v>37</v>
      </c>
      <c r="D198" s="40" t="s">
        <v>8</v>
      </c>
      <c r="E198" s="40" t="s">
        <v>373</v>
      </c>
      <c r="F198" s="40" t="s">
        <v>302</v>
      </c>
      <c r="G198" s="40" t="s">
        <v>711</v>
      </c>
      <c r="H198" s="40" t="s">
        <v>43</v>
      </c>
      <c r="I198" s="43" t="n">
        <v>0</v>
      </c>
      <c r="J198" s="43" t="n">
        <v>0</v>
      </c>
      <c r="K198" s="43" t="n">
        <v>0</v>
      </c>
      <c r="L198" s="43" t="n">
        <v>0</v>
      </c>
      <c r="M198" s="43" t="n">
        <v>12</v>
      </c>
      <c r="N198" s="43" t="n">
        <v>0</v>
      </c>
      <c r="O198" s="43" t="n">
        <v>0</v>
      </c>
      <c r="P198" s="43" t="n">
        <v>0</v>
      </c>
      <c r="Q198" s="43" t="n">
        <v>0</v>
      </c>
      <c r="R198" s="43" t="n">
        <v>12</v>
      </c>
      <c r="S198" s="43" t="n">
        <v>0</v>
      </c>
      <c r="T198" s="43" t="n">
        <v>0</v>
      </c>
      <c r="U198" s="42" t="n">
        <f aca="false">SUM(I198:T198)</f>
        <v>24</v>
      </c>
    </row>
    <row r="199" customFormat="false" ht="23.85" hidden="false" customHeight="false" outlineLevel="0" collapsed="false">
      <c r="A199" s="40" t="s">
        <v>712</v>
      </c>
      <c r="B199" s="40" t="s">
        <v>301</v>
      </c>
      <c r="C199" s="40" t="s">
        <v>37</v>
      </c>
      <c r="D199" s="40" t="s">
        <v>8</v>
      </c>
      <c r="E199" s="40" t="s">
        <v>373</v>
      </c>
      <c r="F199" s="40" t="s">
        <v>302</v>
      </c>
      <c r="G199" s="40" t="s">
        <v>713</v>
      </c>
      <c r="H199" s="40" t="s">
        <v>43</v>
      </c>
      <c r="I199" s="43" t="n">
        <v>0</v>
      </c>
      <c r="J199" s="43" t="n">
        <v>0</v>
      </c>
      <c r="K199" s="43" t="n">
        <v>0</v>
      </c>
      <c r="L199" s="43" t="n">
        <v>0</v>
      </c>
      <c r="M199" s="43" t="n">
        <v>0</v>
      </c>
      <c r="N199" s="43" t="n">
        <v>49</v>
      </c>
      <c r="O199" s="43" t="n">
        <v>0</v>
      </c>
      <c r="P199" s="43" t="n">
        <v>0</v>
      </c>
      <c r="Q199" s="43" t="n">
        <v>0</v>
      </c>
      <c r="R199" s="43" t="n">
        <v>0</v>
      </c>
      <c r="S199" s="43" t="n">
        <v>0</v>
      </c>
      <c r="T199" s="43" t="n">
        <v>0</v>
      </c>
      <c r="U199" s="42" t="n">
        <f aca="false">SUM(I199:T199)</f>
        <v>49</v>
      </c>
    </row>
    <row r="200" customFormat="false" ht="23.85" hidden="false" customHeight="false" outlineLevel="0" collapsed="false">
      <c r="A200" s="40" t="s">
        <v>714</v>
      </c>
      <c r="B200" s="40" t="s">
        <v>301</v>
      </c>
      <c r="C200" s="40" t="s">
        <v>37</v>
      </c>
      <c r="D200" s="40" t="s">
        <v>8</v>
      </c>
      <c r="E200" s="40" t="s">
        <v>373</v>
      </c>
      <c r="F200" s="40" t="s">
        <v>302</v>
      </c>
      <c r="G200" s="40" t="s">
        <v>715</v>
      </c>
      <c r="H200" s="40" t="s">
        <v>43</v>
      </c>
      <c r="I200" s="43" t="n">
        <v>0</v>
      </c>
      <c r="J200" s="43" t="n">
        <v>0</v>
      </c>
      <c r="K200" s="43" t="n">
        <v>0</v>
      </c>
      <c r="L200" s="43" t="n">
        <v>0</v>
      </c>
      <c r="M200" s="43" t="n">
        <v>0</v>
      </c>
      <c r="N200" s="43" t="n">
        <v>37</v>
      </c>
      <c r="O200" s="43" t="n">
        <v>0</v>
      </c>
      <c r="P200" s="43" t="n">
        <v>0</v>
      </c>
      <c r="Q200" s="43" t="n">
        <v>0</v>
      </c>
      <c r="R200" s="43" t="n">
        <v>0</v>
      </c>
      <c r="S200" s="43" t="n">
        <v>0</v>
      </c>
      <c r="T200" s="43" t="n">
        <v>0</v>
      </c>
      <c r="U200" s="42" t="n">
        <f aca="false">SUM(I200:T200)</f>
        <v>37</v>
      </c>
    </row>
    <row r="201" customFormat="false" ht="23.85" hidden="false" customHeight="false" outlineLevel="0" collapsed="false">
      <c r="A201" s="40" t="s">
        <v>716</v>
      </c>
      <c r="B201" s="40" t="s">
        <v>301</v>
      </c>
      <c r="C201" s="40" t="s">
        <v>37</v>
      </c>
      <c r="D201" s="40" t="s">
        <v>8</v>
      </c>
      <c r="E201" s="40" t="s">
        <v>373</v>
      </c>
      <c r="F201" s="40" t="s">
        <v>302</v>
      </c>
      <c r="G201" s="40" t="s">
        <v>717</v>
      </c>
      <c r="H201" s="40" t="s">
        <v>43</v>
      </c>
      <c r="I201" s="43" t="n">
        <v>0</v>
      </c>
      <c r="J201" s="43" t="n">
        <v>0</v>
      </c>
      <c r="K201" s="43" t="n">
        <v>0</v>
      </c>
      <c r="L201" s="43" t="n">
        <v>0</v>
      </c>
      <c r="M201" s="43" t="n">
        <v>0</v>
      </c>
      <c r="N201" s="43" t="n">
        <v>31</v>
      </c>
      <c r="O201" s="43" t="n">
        <v>0</v>
      </c>
      <c r="P201" s="43" t="n">
        <v>0</v>
      </c>
      <c r="Q201" s="43" t="n">
        <v>0</v>
      </c>
      <c r="R201" s="43" t="n">
        <v>0</v>
      </c>
      <c r="S201" s="43" t="n">
        <v>0</v>
      </c>
      <c r="T201" s="43" t="n">
        <v>0</v>
      </c>
      <c r="U201" s="42" t="n">
        <f aca="false">SUM(I201:T201)</f>
        <v>31</v>
      </c>
    </row>
    <row r="202" customFormat="false" ht="23.85" hidden="false" customHeight="false" outlineLevel="0" collapsed="false">
      <c r="A202" s="40" t="s">
        <v>718</v>
      </c>
      <c r="B202" s="40" t="s">
        <v>301</v>
      </c>
      <c r="C202" s="40" t="s">
        <v>37</v>
      </c>
      <c r="D202" s="40" t="s">
        <v>8</v>
      </c>
      <c r="E202" s="40" t="s">
        <v>373</v>
      </c>
      <c r="F202" s="40" t="s">
        <v>302</v>
      </c>
      <c r="G202" s="40" t="s">
        <v>719</v>
      </c>
      <c r="H202" s="40" t="s">
        <v>43</v>
      </c>
      <c r="I202" s="43" t="n">
        <v>0</v>
      </c>
      <c r="J202" s="43" t="n">
        <v>0</v>
      </c>
      <c r="K202" s="43" t="n">
        <v>0</v>
      </c>
      <c r="L202" s="43" t="n">
        <v>0</v>
      </c>
      <c r="M202" s="43" t="n">
        <v>0</v>
      </c>
      <c r="N202" s="43" t="n">
        <v>37</v>
      </c>
      <c r="O202" s="43" t="n">
        <v>0</v>
      </c>
      <c r="P202" s="43" t="n">
        <v>0</v>
      </c>
      <c r="Q202" s="43" t="n">
        <v>0</v>
      </c>
      <c r="R202" s="43" t="n">
        <v>0</v>
      </c>
      <c r="S202" s="43" t="n">
        <v>0</v>
      </c>
      <c r="T202" s="43" t="n">
        <v>0</v>
      </c>
      <c r="U202" s="42" t="n">
        <f aca="false">SUM(I202:T202)</f>
        <v>37</v>
      </c>
    </row>
    <row r="203" customFormat="false" ht="23.85" hidden="false" customHeight="false" outlineLevel="0" collapsed="false">
      <c r="A203" s="40" t="s">
        <v>720</v>
      </c>
      <c r="B203" s="40" t="s">
        <v>301</v>
      </c>
      <c r="C203" s="40" t="s">
        <v>37</v>
      </c>
      <c r="D203" s="40" t="s">
        <v>8</v>
      </c>
      <c r="E203" s="40" t="s">
        <v>373</v>
      </c>
      <c r="F203" s="40" t="s">
        <v>302</v>
      </c>
      <c r="G203" s="40" t="s">
        <v>721</v>
      </c>
      <c r="H203" s="40" t="s">
        <v>43</v>
      </c>
      <c r="I203" s="43" t="n">
        <v>0</v>
      </c>
      <c r="J203" s="43" t="n">
        <v>0</v>
      </c>
      <c r="K203" s="43" t="n">
        <v>0</v>
      </c>
      <c r="L203" s="43" t="n">
        <v>0</v>
      </c>
      <c r="M203" s="43" t="n">
        <v>12</v>
      </c>
      <c r="N203" s="43" t="n">
        <v>18</v>
      </c>
      <c r="O203" s="43" t="n">
        <v>0</v>
      </c>
      <c r="P203" s="43" t="n">
        <v>0</v>
      </c>
      <c r="Q203" s="43" t="n">
        <v>0</v>
      </c>
      <c r="R203" s="43" t="n">
        <v>0</v>
      </c>
      <c r="S203" s="43" t="n">
        <v>0</v>
      </c>
      <c r="T203" s="43" t="n">
        <v>0</v>
      </c>
      <c r="U203" s="42" t="n">
        <f aca="false">SUM(I203:T203)</f>
        <v>30</v>
      </c>
    </row>
    <row r="204" customFormat="false" ht="23.85" hidden="false" customHeight="false" outlineLevel="0" collapsed="false">
      <c r="A204" s="40" t="s">
        <v>722</v>
      </c>
      <c r="B204" s="40" t="s">
        <v>301</v>
      </c>
      <c r="C204" s="40" t="s">
        <v>37</v>
      </c>
      <c r="D204" s="40" t="s">
        <v>8</v>
      </c>
      <c r="E204" s="40" t="s">
        <v>373</v>
      </c>
      <c r="F204" s="40" t="s">
        <v>302</v>
      </c>
      <c r="G204" s="40" t="s">
        <v>723</v>
      </c>
      <c r="H204" s="40" t="s">
        <v>43</v>
      </c>
      <c r="I204" s="43" t="n">
        <v>0</v>
      </c>
      <c r="J204" s="43" t="n">
        <v>0</v>
      </c>
      <c r="K204" s="43" t="n">
        <v>0</v>
      </c>
      <c r="L204" s="43" t="n">
        <v>0</v>
      </c>
      <c r="M204" s="43" t="n">
        <v>0</v>
      </c>
      <c r="N204" s="43" t="n">
        <v>0</v>
      </c>
      <c r="O204" s="43" t="n">
        <v>0</v>
      </c>
      <c r="P204" s="43" t="n">
        <v>0</v>
      </c>
      <c r="Q204" s="43" t="n">
        <v>0</v>
      </c>
      <c r="R204" s="43" t="n">
        <v>12</v>
      </c>
      <c r="S204" s="43" t="n">
        <v>73</v>
      </c>
      <c r="T204" s="43" t="n">
        <v>0</v>
      </c>
      <c r="U204" s="42" t="n">
        <f aca="false">SUM(I204:T204)</f>
        <v>85</v>
      </c>
    </row>
    <row r="205" customFormat="false" ht="23.85" hidden="false" customHeight="false" outlineLevel="0" collapsed="false">
      <c r="A205" s="40" t="s">
        <v>724</v>
      </c>
      <c r="B205" s="40" t="s">
        <v>301</v>
      </c>
      <c r="C205" s="40" t="s">
        <v>37</v>
      </c>
      <c r="D205" s="40" t="s">
        <v>8</v>
      </c>
      <c r="E205" s="40" t="s">
        <v>373</v>
      </c>
      <c r="F205" s="40" t="s">
        <v>302</v>
      </c>
      <c r="G205" s="40" t="s">
        <v>407</v>
      </c>
      <c r="H205" s="40" t="s">
        <v>43</v>
      </c>
      <c r="I205" s="43" t="n">
        <v>0</v>
      </c>
      <c r="J205" s="43" t="n">
        <v>0</v>
      </c>
      <c r="K205" s="43" t="n">
        <v>0</v>
      </c>
      <c r="L205" s="43" t="n">
        <v>0</v>
      </c>
      <c r="M205" s="43" t="n">
        <v>18</v>
      </c>
      <c r="N205" s="43" t="n">
        <v>0</v>
      </c>
      <c r="O205" s="43" t="n">
        <v>0</v>
      </c>
      <c r="P205" s="43" t="n">
        <v>0</v>
      </c>
      <c r="Q205" s="43" t="n">
        <v>0</v>
      </c>
      <c r="R205" s="43" t="n">
        <v>0</v>
      </c>
      <c r="S205" s="43" t="n">
        <v>0</v>
      </c>
      <c r="T205" s="43" t="n">
        <v>0</v>
      </c>
      <c r="U205" s="42" t="n">
        <f aca="false">SUM(I205:T205)</f>
        <v>18</v>
      </c>
    </row>
    <row r="206" customFormat="false" ht="23.85" hidden="false" customHeight="false" outlineLevel="0" collapsed="false">
      <c r="A206" s="40" t="s">
        <v>725</v>
      </c>
      <c r="B206" s="40" t="s">
        <v>301</v>
      </c>
      <c r="C206" s="40" t="s">
        <v>37</v>
      </c>
      <c r="D206" s="40" t="s">
        <v>8</v>
      </c>
      <c r="E206" s="40" t="s">
        <v>373</v>
      </c>
      <c r="F206" s="40" t="s">
        <v>302</v>
      </c>
      <c r="G206" s="40" t="s">
        <v>409</v>
      </c>
      <c r="H206" s="40" t="s">
        <v>43</v>
      </c>
      <c r="I206" s="43" t="n">
        <v>0</v>
      </c>
      <c r="J206" s="43" t="n">
        <v>0</v>
      </c>
      <c r="K206" s="43" t="n">
        <v>12</v>
      </c>
      <c r="L206" s="43" t="n">
        <v>0</v>
      </c>
      <c r="M206" s="43" t="n">
        <v>0</v>
      </c>
      <c r="N206" s="43" t="n">
        <v>0</v>
      </c>
      <c r="O206" s="43" t="n">
        <v>0</v>
      </c>
      <c r="P206" s="43" t="n">
        <v>0</v>
      </c>
      <c r="Q206" s="43" t="n">
        <v>0</v>
      </c>
      <c r="R206" s="43" t="n">
        <v>0</v>
      </c>
      <c r="S206" s="43" t="n">
        <v>0</v>
      </c>
      <c r="T206" s="43" t="n">
        <v>0</v>
      </c>
      <c r="U206" s="42" t="n">
        <f aca="false">SUM(I206:T206)</f>
        <v>12</v>
      </c>
    </row>
    <row r="207" customFormat="false" ht="23.85" hidden="false" customHeight="false" outlineLevel="0" collapsed="false">
      <c r="A207" s="40" t="s">
        <v>726</v>
      </c>
      <c r="B207" s="40" t="s">
        <v>301</v>
      </c>
      <c r="C207" s="40" t="s">
        <v>37</v>
      </c>
      <c r="D207" s="40" t="s">
        <v>8</v>
      </c>
      <c r="E207" s="40" t="s">
        <v>373</v>
      </c>
      <c r="F207" s="40" t="s">
        <v>302</v>
      </c>
      <c r="G207" s="40" t="s">
        <v>411</v>
      </c>
      <c r="H207" s="40" t="s">
        <v>43</v>
      </c>
      <c r="I207" s="43" t="n">
        <v>0</v>
      </c>
      <c r="J207" s="43" t="n">
        <v>0</v>
      </c>
      <c r="K207" s="43" t="n">
        <v>0</v>
      </c>
      <c r="L207" s="43" t="n">
        <v>0</v>
      </c>
      <c r="M207" s="43" t="n">
        <v>0</v>
      </c>
      <c r="N207" s="43" t="n">
        <v>12</v>
      </c>
      <c r="O207" s="43" t="n">
        <v>0</v>
      </c>
      <c r="P207" s="43" t="n">
        <v>0</v>
      </c>
      <c r="Q207" s="43" t="n">
        <v>0</v>
      </c>
      <c r="R207" s="43" t="n">
        <v>0</v>
      </c>
      <c r="S207" s="43" t="n">
        <v>0</v>
      </c>
      <c r="T207" s="43" t="n">
        <v>0</v>
      </c>
      <c r="U207" s="42" t="n">
        <f aca="false">SUM(I207:T207)</f>
        <v>12</v>
      </c>
    </row>
    <row r="208" customFormat="false" ht="23.85" hidden="false" customHeight="false" outlineLevel="0" collapsed="false">
      <c r="A208" s="40" t="s">
        <v>727</v>
      </c>
      <c r="B208" s="40" t="s">
        <v>301</v>
      </c>
      <c r="C208" s="40" t="s">
        <v>37</v>
      </c>
      <c r="D208" s="40" t="s">
        <v>8</v>
      </c>
      <c r="E208" s="40" t="s">
        <v>373</v>
      </c>
      <c r="F208" s="40" t="s">
        <v>302</v>
      </c>
      <c r="G208" s="40" t="s">
        <v>413</v>
      </c>
      <c r="H208" s="40" t="s">
        <v>43</v>
      </c>
      <c r="I208" s="43" t="n">
        <v>0</v>
      </c>
      <c r="J208" s="43" t="n">
        <v>0</v>
      </c>
      <c r="K208" s="43" t="n">
        <v>0</v>
      </c>
      <c r="L208" s="43" t="n">
        <v>0</v>
      </c>
      <c r="M208" s="43" t="n">
        <v>0</v>
      </c>
      <c r="N208" s="43" t="n">
        <v>24</v>
      </c>
      <c r="O208" s="43" t="n">
        <v>0</v>
      </c>
      <c r="P208" s="43" t="n">
        <v>0</v>
      </c>
      <c r="Q208" s="43" t="n">
        <v>0</v>
      </c>
      <c r="R208" s="43" t="n">
        <v>0</v>
      </c>
      <c r="S208" s="43" t="n">
        <v>0</v>
      </c>
      <c r="T208" s="43" t="n">
        <v>0</v>
      </c>
      <c r="U208" s="42" t="n">
        <f aca="false">SUM(I208:T208)</f>
        <v>24</v>
      </c>
    </row>
    <row r="209" customFormat="false" ht="23.85" hidden="false" customHeight="false" outlineLevel="0" collapsed="false">
      <c r="A209" s="40" t="s">
        <v>728</v>
      </c>
      <c r="B209" s="40" t="s">
        <v>304</v>
      </c>
      <c r="C209" s="40" t="s">
        <v>37</v>
      </c>
      <c r="D209" s="40" t="s">
        <v>8</v>
      </c>
      <c r="E209" s="40" t="s">
        <v>373</v>
      </c>
      <c r="F209" s="40" t="s">
        <v>305</v>
      </c>
      <c r="G209" s="40" t="s">
        <v>729</v>
      </c>
      <c r="H209" s="40" t="s">
        <v>43</v>
      </c>
      <c r="I209" s="43" t="n">
        <v>0</v>
      </c>
      <c r="J209" s="43" t="n">
        <v>0</v>
      </c>
      <c r="K209" s="43" t="n">
        <v>8</v>
      </c>
      <c r="L209" s="43" t="n">
        <v>0</v>
      </c>
      <c r="M209" s="43" t="n">
        <v>0</v>
      </c>
      <c r="N209" s="43" t="n">
        <v>0</v>
      </c>
      <c r="O209" s="43" t="n">
        <v>0</v>
      </c>
      <c r="P209" s="43" t="n">
        <v>0</v>
      </c>
      <c r="Q209" s="43" t="n">
        <v>0</v>
      </c>
      <c r="R209" s="43" t="n">
        <v>8</v>
      </c>
      <c r="S209" s="43" t="n">
        <v>0</v>
      </c>
      <c r="T209" s="43" t="n">
        <v>0</v>
      </c>
      <c r="U209" s="42" t="n">
        <f aca="false">SUM(I209:T209)</f>
        <v>16</v>
      </c>
    </row>
    <row r="210" customFormat="false" ht="23.85" hidden="false" customHeight="false" outlineLevel="0" collapsed="false">
      <c r="A210" s="40" t="s">
        <v>730</v>
      </c>
      <c r="B210" s="40" t="s">
        <v>304</v>
      </c>
      <c r="C210" s="40" t="s">
        <v>37</v>
      </c>
      <c r="D210" s="40" t="s">
        <v>8</v>
      </c>
      <c r="E210" s="40" t="s">
        <v>373</v>
      </c>
      <c r="F210" s="40" t="s">
        <v>305</v>
      </c>
      <c r="G210" s="40" t="s">
        <v>731</v>
      </c>
      <c r="H210" s="40" t="s">
        <v>43</v>
      </c>
      <c r="I210" s="43" t="n">
        <v>0</v>
      </c>
      <c r="J210" s="43" t="n">
        <v>0</v>
      </c>
      <c r="K210" s="43" t="n">
        <v>0</v>
      </c>
      <c r="L210" s="43" t="n">
        <v>0</v>
      </c>
      <c r="M210" s="43" t="n">
        <v>0</v>
      </c>
      <c r="N210" s="43" t="n">
        <v>16</v>
      </c>
      <c r="O210" s="43" t="n">
        <v>0</v>
      </c>
      <c r="P210" s="43" t="n">
        <v>0</v>
      </c>
      <c r="Q210" s="43" t="n">
        <v>0</v>
      </c>
      <c r="R210" s="43" t="n">
        <v>0</v>
      </c>
      <c r="S210" s="43" t="n">
        <v>0</v>
      </c>
      <c r="T210" s="43" t="n">
        <v>0</v>
      </c>
      <c r="U210" s="42" t="n">
        <f aca="false">SUM(I210:T210)</f>
        <v>16</v>
      </c>
    </row>
    <row r="211" customFormat="false" ht="23.85" hidden="false" customHeight="false" outlineLevel="0" collapsed="false">
      <c r="A211" s="40" t="s">
        <v>732</v>
      </c>
      <c r="B211" s="40" t="s">
        <v>304</v>
      </c>
      <c r="C211" s="40" t="s">
        <v>37</v>
      </c>
      <c r="D211" s="40" t="s">
        <v>8</v>
      </c>
      <c r="E211" s="40" t="s">
        <v>373</v>
      </c>
      <c r="F211" s="40" t="s">
        <v>305</v>
      </c>
      <c r="G211" s="40" t="s">
        <v>733</v>
      </c>
      <c r="H211" s="40" t="s">
        <v>43</v>
      </c>
      <c r="I211" s="43" t="n">
        <v>0</v>
      </c>
      <c r="J211" s="43" t="n">
        <v>0</v>
      </c>
      <c r="K211" s="43" t="n">
        <v>25</v>
      </c>
      <c r="L211" s="43" t="n">
        <v>0</v>
      </c>
      <c r="M211" s="43" t="n">
        <v>0</v>
      </c>
      <c r="N211" s="43" t="n">
        <v>0</v>
      </c>
      <c r="O211" s="43" t="n">
        <v>0</v>
      </c>
      <c r="P211" s="43" t="n">
        <v>0</v>
      </c>
      <c r="Q211" s="43" t="n">
        <v>0</v>
      </c>
      <c r="R211" s="43" t="n">
        <v>0</v>
      </c>
      <c r="S211" s="43" t="n">
        <v>0</v>
      </c>
      <c r="T211" s="43" t="n">
        <v>0</v>
      </c>
      <c r="U211" s="42" t="n">
        <f aca="false">SUM(I211:T211)</f>
        <v>25</v>
      </c>
    </row>
    <row r="212" customFormat="false" ht="23.85" hidden="false" customHeight="false" outlineLevel="0" collapsed="false">
      <c r="A212" s="40" t="s">
        <v>734</v>
      </c>
      <c r="B212" s="40" t="s">
        <v>304</v>
      </c>
      <c r="C212" s="40" t="s">
        <v>37</v>
      </c>
      <c r="D212" s="40" t="s">
        <v>8</v>
      </c>
      <c r="E212" s="40" t="s">
        <v>373</v>
      </c>
      <c r="F212" s="40" t="s">
        <v>305</v>
      </c>
      <c r="G212" s="40" t="s">
        <v>735</v>
      </c>
      <c r="H212" s="40" t="s">
        <v>43</v>
      </c>
      <c r="I212" s="43" t="n">
        <v>0</v>
      </c>
      <c r="J212" s="43" t="n">
        <v>0</v>
      </c>
      <c r="K212" s="43" t="n">
        <v>16</v>
      </c>
      <c r="L212" s="43" t="n">
        <v>0</v>
      </c>
      <c r="M212" s="43" t="n">
        <v>0</v>
      </c>
      <c r="N212" s="43" t="n">
        <v>0</v>
      </c>
      <c r="O212" s="43" t="n">
        <v>0</v>
      </c>
      <c r="P212" s="43" t="n">
        <v>0</v>
      </c>
      <c r="Q212" s="43" t="n">
        <v>0</v>
      </c>
      <c r="R212" s="43" t="n">
        <v>0</v>
      </c>
      <c r="S212" s="43" t="n">
        <v>0</v>
      </c>
      <c r="T212" s="43" t="n">
        <v>0</v>
      </c>
      <c r="U212" s="42" t="n">
        <f aca="false">SUM(I212:T212)</f>
        <v>16</v>
      </c>
    </row>
    <row r="213" customFormat="false" ht="23.85" hidden="false" customHeight="false" outlineLevel="0" collapsed="false">
      <c r="A213" s="40" t="s">
        <v>736</v>
      </c>
      <c r="B213" s="40" t="s">
        <v>304</v>
      </c>
      <c r="C213" s="40" t="s">
        <v>37</v>
      </c>
      <c r="D213" s="40" t="s">
        <v>8</v>
      </c>
      <c r="E213" s="40" t="s">
        <v>373</v>
      </c>
      <c r="F213" s="40" t="s">
        <v>305</v>
      </c>
      <c r="G213" s="40" t="s">
        <v>737</v>
      </c>
      <c r="H213" s="40" t="s">
        <v>43</v>
      </c>
      <c r="I213" s="43" t="n">
        <v>0</v>
      </c>
      <c r="J213" s="43" t="n">
        <v>0</v>
      </c>
      <c r="K213" s="43" t="n">
        <v>0</v>
      </c>
      <c r="L213" s="43" t="n">
        <v>0</v>
      </c>
      <c r="M213" s="43" t="n">
        <v>0</v>
      </c>
      <c r="N213" s="43" t="n">
        <v>16</v>
      </c>
      <c r="O213" s="43" t="n">
        <v>0</v>
      </c>
      <c r="P213" s="43" t="n">
        <v>0</v>
      </c>
      <c r="Q213" s="43" t="n">
        <v>0</v>
      </c>
      <c r="R213" s="43" t="n">
        <v>8</v>
      </c>
      <c r="S213" s="43" t="n">
        <v>0</v>
      </c>
      <c r="T213" s="43" t="n">
        <v>0</v>
      </c>
      <c r="U213" s="42" t="n">
        <f aca="false">SUM(I213:T213)</f>
        <v>24</v>
      </c>
    </row>
    <row r="214" customFormat="false" ht="23.85" hidden="false" customHeight="false" outlineLevel="0" collapsed="false">
      <c r="A214" s="40" t="s">
        <v>738</v>
      </c>
      <c r="B214" s="40" t="s">
        <v>304</v>
      </c>
      <c r="C214" s="40" t="s">
        <v>37</v>
      </c>
      <c r="D214" s="40" t="s">
        <v>8</v>
      </c>
      <c r="E214" s="40" t="s">
        <v>373</v>
      </c>
      <c r="F214" s="40" t="s">
        <v>305</v>
      </c>
      <c r="G214" s="40" t="s">
        <v>407</v>
      </c>
      <c r="H214" s="40" t="s">
        <v>43</v>
      </c>
      <c r="I214" s="43" t="n">
        <v>0</v>
      </c>
      <c r="J214" s="43" t="n">
        <v>0</v>
      </c>
      <c r="K214" s="43" t="n">
        <v>0</v>
      </c>
      <c r="L214" s="43" t="n">
        <v>0</v>
      </c>
      <c r="M214" s="43" t="n">
        <v>6</v>
      </c>
      <c r="N214" s="43" t="n">
        <v>0</v>
      </c>
      <c r="O214" s="43" t="n">
        <v>0</v>
      </c>
      <c r="P214" s="43" t="n">
        <v>0</v>
      </c>
      <c r="Q214" s="43" t="n">
        <v>0</v>
      </c>
      <c r="R214" s="43" t="n">
        <v>0</v>
      </c>
      <c r="S214" s="43" t="n">
        <v>0</v>
      </c>
      <c r="T214" s="43" t="n">
        <v>0</v>
      </c>
      <c r="U214" s="42" t="n">
        <f aca="false">SUM(I214:T214)</f>
        <v>6</v>
      </c>
    </row>
    <row r="215" customFormat="false" ht="23.85" hidden="false" customHeight="false" outlineLevel="0" collapsed="false">
      <c r="A215" s="40" t="s">
        <v>739</v>
      </c>
      <c r="B215" s="40" t="s">
        <v>304</v>
      </c>
      <c r="C215" s="40" t="s">
        <v>37</v>
      </c>
      <c r="D215" s="40" t="s">
        <v>8</v>
      </c>
      <c r="E215" s="40" t="s">
        <v>373</v>
      </c>
      <c r="F215" s="40" t="s">
        <v>305</v>
      </c>
      <c r="G215" s="40" t="s">
        <v>409</v>
      </c>
      <c r="H215" s="40" t="s">
        <v>43</v>
      </c>
      <c r="I215" s="43" t="n">
        <v>0</v>
      </c>
      <c r="J215" s="43" t="n">
        <v>0</v>
      </c>
      <c r="K215" s="43" t="n">
        <v>4</v>
      </c>
      <c r="L215" s="43" t="n">
        <v>0</v>
      </c>
      <c r="M215" s="43" t="n">
        <v>0</v>
      </c>
      <c r="N215" s="43" t="n">
        <v>0</v>
      </c>
      <c r="O215" s="43" t="n">
        <v>0</v>
      </c>
      <c r="P215" s="43" t="n">
        <v>0</v>
      </c>
      <c r="Q215" s="43" t="n">
        <v>0</v>
      </c>
      <c r="R215" s="43" t="n">
        <v>0</v>
      </c>
      <c r="S215" s="43" t="n">
        <v>0</v>
      </c>
      <c r="T215" s="43" t="n">
        <v>0</v>
      </c>
      <c r="U215" s="42" t="n">
        <f aca="false">SUM(I215:T215)</f>
        <v>4</v>
      </c>
    </row>
    <row r="216" customFormat="false" ht="23.85" hidden="false" customHeight="false" outlineLevel="0" collapsed="false">
      <c r="A216" s="40" t="s">
        <v>740</v>
      </c>
      <c r="B216" s="40" t="s">
        <v>304</v>
      </c>
      <c r="C216" s="40" t="s">
        <v>37</v>
      </c>
      <c r="D216" s="40" t="s">
        <v>8</v>
      </c>
      <c r="E216" s="40" t="s">
        <v>373</v>
      </c>
      <c r="F216" s="40" t="s">
        <v>305</v>
      </c>
      <c r="G216" s="40" t="s">
        <v>411</v>
      </c>
      <c r="H216" s="40" t="s">
        <v>43</v>
      </c>
      <c r="I216" s="43" t="n">
        <v>0</v>
      </c>
      <c r="J216" s="43" t="n">
        <v>0</v>
      </c>
      <c r="K216" s="43" t="n">
        <v>4</v>
      </c>
      <c r="L216" s="43" t="n">
        <v>0</v>
      </c>
      <c r="M216" s="43" t="n">
        <v>0</v>
      </c>
      <c r="N216" s="43" t="n">
        <v>0</v>
      </c>
      <c r="O216" s="43" t="n">
        <v>0</v>
      </c>
      <c r="P216" s="43" t="n">
        <v>0</v>
      </c>
      <c r="Q216" s="43" t="n">
        <v>0</v>
      </c>
      <c r="R216" s="43" t="n">
        <v>0</v>
      </c>
      <c r="S216" s="43" t="n">
        <v>0</v>
      </c>
      <c r="T216" s="43" t="n">
        <v>0</v>
      </c>
      <c r="U216" s="42" t="n">
        <f aca="false">SUM(I216:T216)</f>
        <v>4</v>
      </c>
    </row>
    <row r="217" customFormat="false" ht="23.85" hidden="false" customHeight="false" outlineLevel="0" collapsed="false">
      <c r="A217" s="40" t="s">
        <v>741</v>
      </c>
      <c r="B217" s="40" t="s">
        <v>304</v>
      </c>
      <c r="C217" s="40" t="s">
        <v>37</v>
      </c>
      <c r="D217" s="40" t="s">
        <v>8</v>
      </c>
      <c r="E217" s="40" t="s">
        <v>373</v>
      </c>
      <c r="F217" s="40" t="s">
        <v>305</v>
      </c>
      <c r="G217" s="40" t="s">
        <v>413</v>
      </c>
      <c r="H217" s="40" t="s">
        <v>43</v>
      </c>
      <c r="I217" s="43" t="n">
        <v>0</v>
      </c>
      <c r="J217" s="43" t="n">
        <v>0</v>
      </c>
      <c r="K217" s="43" t="n">
        <v>8</v>
      </c>
      <c r="L217" s="43" t="n">
        <v>0</v>
      </c>
      <c r="M217" s="43" t="n">
        <v>0</v>
      </c>
      <c r="N217" s="43" t="n">
        <v>0</v>
      </c>
      <c r="O217" s="43" t="n">
        <v>0</v>
      </c>
      <c r="P217" s="43" t="n">
        <v>0</v>
      </c>
      <c r="Q217" s="43" t="n">
        <v>0</v>
      </c>
      <c r="R217" s="43" t="n">
        <v>0</v>
      </c>
      <c r="S217" s="43" t="n">
        <v>0</v>
      </c>
      <c r="T217" s="43" t="n">
        <v>0</v>
      </c>
      <c r="U217" s="42" t="n">
        <f aca="false">SUM(I217:T217)</f>
        <v>8</v>
      </c>
    </row>
    <row r="218" customFormat="false" ht="15" hidden="false" customHeight="false" outlineLevel="0" collapsed="false">
      <c r="A218" s="40" t="s">
        <v>742</v>
      </c>
      <c r="B218" s="40" t="s">
        <v>307</v>
      </c>
      <c r="C218" s="40" t="s">
        <v>37</v>
      </c>
      <c r="D218" s="40" t="s">
        <v>8</v>
      </c>
      <c r="E218" s="40" t="s">
        <v>373</v>
      </c>
      <c r="F218" s="40" t="s">
        <v>308</v>
      </c>
      <c r="G218" s="40" t="s">
        <v>743</v>
      </c>
      <c r="H218" s="40" t="s">
        <v>43</v>
      </c>
      <c r="I218" s="43" t="n">
        <v>0</v>
      </c>
      <c r="J218" s="43" t="n">
        <v>0</v>
      </c>
      <c r="K218" s="43" t="n">
        <v>0</v>
      </c>
      <c r="L218" s="43" t="n">
        <v>0</v>
      </c>
      <c r="M218" s="43" t="n">
        <v>0</v>
      </c>
      <c r="N218" s="43" t="n">
        <v>16</v>
      </c>
      <c r="O218" s="43" t="n">
        <v>0</v>
      </c>
      <c r="P218" s="43" t="n">
        <v>0</v>
      </c>
      <c r="Q218" s="43" t="n">
        <v>0</v>
      </c>
      <c r="R218" s="43" t="n">
        <v>0</v>
      </c>
      <c r="S218" s="43" t="n">
        <v>0</v>
      </c>
      <c r="T218" s="43" t="n">
        <v>0</v>
      </c>
      <c r="U218" s="42" t="n">
        <f aca="false">SUM(I218:T218)</f>
        <v>16</v>
      </c>
    </row>
    <row r="219" customFormat="false" ht="15" hidden="false" customHeight="false" outlineLevel="0" collapsed="false">
      <c r="A219" s="40" t="s">
        <v>744</v>
      </c>
      <c r="B219" s="40" t="s">
        <v>307</v>
      </c>
      <c r="C219" s="40" t="s">
        <v>37</v>
      </c>
      <c r="D219" s="40" t="s">
        <v>8</v>
      </c>
      <c r="E219" s="40" t="s">
        <v>373</v>
      </c>
      <c r="F219" s="40" t="s">
        <v>308</v>
      </c>
      <c r="G219" s="40" t="s">
        <v>745</v>
      </c>
      <c r="H219" s="40" t="s">
        <v>43</v>
      </c>
      <c r="I219" s="43" t="n">
        <v>0</v>
      </c>
      <c r="J219" s="43" t="n">
        <v>0</v>
      </c>
      <c r="K219" s="43" t="n">
        <v>0</v>
      </c>
      <c r="L219" s="43" t="n">
        <v>0</v>
      </c>
      <c r="M219" s="43" t="n">
        <v>0</v>
      </c>
      <c r="N219" s="43" t="n">
        <v>25</v>
      </c>
      <c r="O219" s="43" t="n">
        <v>0</v>
      </c>
      <c r="P219" s="43" t="n">
        <v>0</v>
      </c>
      <c r="Q219" s="43" t="n">
        <v>16</v>
      </c>
      <c r="R219" s="43" t="n">
        <v>0</v>
      </c>
      <c r="S219" s="43" t="n">
        <v>0</v>
      </c>
      <c r="T219" s="43" t="n">
        <v>0</v>
      </c>
      <c r="U219" s="42" t="n">
        <f aca="false">SUM(I219:T219)</f>
        <v>41</v>
      </c>
    </row>
    <row r="220" customFormat="false" ht="15" hidden="false" customHeight="false" outlineLevel="0" collapsed="false">
      <c r="A220" s="40" t="s">
        <v>746</v>
      </c>
      <c r="B220" s="40" t="s">
        <v>307</v>
      </c>
      <c r="C220" s="40" t="s">
        <v>37</v>
      </c>
      <c r="D220" s="40" t="s">
        <v>8</v>
      </c>
      <c r="E220" s="40" t="s">
        <v>373</v>
      </c>
      <c r="F220" s="40" t="s">
        <v>308</v>
      </c>
      <c r="G220" s="40" t="s">
        <v>747</v>
      </c>
      <c r="H220" s="40" t="s">
        <v>43</v>
      </c>
      <c r="I220" s="43" t="n">
        <v>0</v>
      </c>
      <c r="J220" s="43" t="n">
        <v>0</v>
      </c>
      <c r="K220" s="43" t="n">
        <v>0</v>
      </c>
      <c r="L220" s="43" t="n">
        <v>0</v>
      </c>
      <c r="M220" s="43" t="n">
        <v>0</v>
      </c>
      <c r="N220" s="43" t="n">
        <v>25</v>
      </c>
      <c r="O220" s="43" t="n">
        <v>0</v>
      </c>
      <c r="P220" s="43" t="n">
        <v>0</v>
      </c>
      <c r="Q220" s="43" t="n">
        <v>0</v>
      </c>
      <c r="R220" s="43" t="n">
        <v>0</v>
      </c>
      <c r="S220" s="43" t="n">
        <v>0</v>
      </c>
      <c r="T220" s="43" t="n">
        <v>0</v>
      </c>
      <c r="U220" s="42" t="n">
        <f aca="false">SUM(I220:T220)</f>
        <v>25</v>
      </c>
    </row>
    <row r="221" customFormat="false" ht="15" hidden="false" customHeight="false" outlineLevel="0" collapsed="false">
      <c r="A221" s="40" t="s">
        <v>748</v>
      </c>
      <c r="B221" s="40" t="s">
        <v>307</v>
      </c>
      <c r="C221" s="40" t="s">
        <v>37</v>
      </c>
      <c r="D221" s="40" t="s">
        <v>8</v>
      </c>
      <c r="E221" s="40" t="s">
        <v>373</v>
      </c>
      <c r="F221" s="40" t="s">
        <v>308</v>
      </c>
      <c r="G221" s="40" t="s">
        <v>749</v>
      </c>
      <c r="H221" s="40" t="s">
        <v>43</v>
      </c>
      <c r="I221" s="43" t="n">
        <v>0</v>
      </c>
      <c r="J221" s="43" t="n">
        <v>0</v>
      </c>
      <c r="K221" s="43" t="n">
        <v>0</v>
      </c>
      <c r="L221" s="43" t="n">
        <v>0</v>
      </c>
      <c r="M221" s="43" t="n">
        <v>0</v>
      </c>
      <c r="N221" s="43" t="n">
        <v>0</v>
      </c>
      <c r="O221" s="43" t="n">
        <v>0</v>
      </c>
      <c r="P221" s="43" t="n">
        <v>0</v>
      </c>
      <c r="Q221" s="43" t="n">
        <v>16</v>
      </c>
      <c r="R221" s="43" t="n">
        <v>0</v>
      </c>
      <c r="S221" s="43" t="n">
        <v>0</v>
      </c>
      <c r="T221" s="43" t="n">
        <v>0</v>
      </c>
      <c r="U221" s="42" t="n">
        <f aca="false">SUM(I221:T221)</f>
        <v>16</v>
      </c>
    </row>
    <row r="222" customFormat="false" ht="15" hidden="false" customHeight="false" outlineLevel="0" collapsed="false">
      <c r="A222" s="40" t="s">
        <v>750</v>
      </c>
      <c r="B222" s="40" t="s">
        <v>307</v>
      </c>
      <c r="C222" s="40" t="s">
        <v>37</v>
      </c>
      <c r="D222" s="40" t="s">
        <v>8</v>
      </c>
      <c r="E222" s="40" t="s">
        <v>373</v>
      </c>
      <c r="F222" s="40" t="s">
        <v>308</v>
      </c>
      <c r="G222" s="40" t="s">
        <v>751</v>
      </c>
      <c r="H222" s="40" t="s">
        <v>43</v>
      </c>
      <c r="I222" s="43" t="n">
        <v>0</v>
      </c>
      <c r="J222" s="43" t="n">
        <v>0</v>
      </c>
      <c r="K222" s="43" t="n">
        <v>0</v>
      </c>
      <c r="L222" s="43" t="n">
        <v>0</v>
      </c>
      <c r="M222" s="43" t="n">
        <v>0</v>
      </c>
      <c r="N222" s="43" t="n">
        <v>16</v>
      </c>
      <c r="O222" s="43" t="n">
        <v>0</v>
      </c>
      <c r="P222" s="43" t="n">
        <v>0</v>
      </c>
      <c r="Q222" s="43" t="n">
        <v>0</v>
      </c>
      <c r="R222" s="43" t="n">
        <v>0</v>
      </c>
      <c r="S222" s="43" t="n">
        <v>16</v>
      </c>
      <c r="T222" s="43" t="n">
        <v>0</v>
      </c>
      <c r="U222" s="42" t="n">
        <f aca="false">SUM(I222:T222)</f>
        <v>32</v>
      </c>
    </row>
    <row r="223" customFormat="false" ht="15" hidden="false" customHeight="false" outlineLevel="0" collapsed="false">
      <c r="A223" s="40" t="s">
        <v>752</v>
      </c>
      <c r="B223" s="40" t="s">
        <v>307</v>
      </c>
      <c r="C223" s="40" t="s">
        <v>37</v>
      </c>
      <c r="D223" s="40" t="s">
        <v>8</v>
      </c>
      <c r="E223" s="40" t="s">
        <v>373</v>
      </c>
      <c r="F223" s="40" t="s">
        <v>308</v>
      </c>
      <c r="G223" s="40" t="s">
        <v>407</v>
      </c>
      <c r="H223" s="40" t="s">
        <v>43</v>
      </c>
      <c r="I223" s="43" t="n">
        <v>0</v>
      </c>
      <c r="J223" s="43" t="n">
        <v>0</v>
      </c>
      <c r="K223" s="43" t="n">
        <v>0</v>
      </c>
      <c r="L223" s="43" t="n">
        <v>0</v>
      </c>
      <c r="M223" s="43" t="n">
        <v>8</v>
      </c>
      <c r="N223" s="43" t="n">
        <v>0</v>
      </c>
      <c r="O223" s="43" t="n">
        <v>0</v>
      </c>
      <c r="P223" s="43" t="n">
        <v>0</v>
      </c>
      <c r="Q223" s="43" t="n">
        <v>0</v>
      </c>
      <c r="R223" s="43" t="n">
        <v>0</v>
      </c>
      <c r="S223" s="43" t="n">
        <v>0</v>
      </c>
      <c r="T223" s="43" t="n">
        <v>0</v>
      </c>
      <c r="U223" s="42" t="n">
        <f aca="false">SUM(I223:T223)</f>
        <v>8</v>
      </c>
    </row>
    <row r="224" customFormat="false" ht="15" hidden="false" customHeight="false" outlineLevel="0" collapsed="false">
      <c r="A224" s="40" t="s">
        <v>753</v>
      </c>
      <c r="B224" s="40" t="s">
        <v>307</v>
      </c>
      <c r="C224" s="40" t="s">
        <v>37</v>
      </c>
      <c r="D224" s="40" t="s">
        <v>8</v>
      </c>
      <c r="E224" s="40" t="s">
        <v>373</v>
      </c>
      <c r="F224" s="40" t="s">
        <v>308</v>
      </c>
      <c r="G224" s="40" t="s">
        <v>409</v>
      </c>
      <c r="H224" s="40" t="s">
        <v>43</v>
      </c>
      <c r="I224" s="43" t="n">
        <v>0</v>
      </c>
      <c r="J224" s="43" t="n">
        <v>0</v>
      </c>
      <c r="K224" s="43" t="n">
        <v>5</v>
      </c>
      <c r="L224" s="43" t="n">
        <v>0</v>
      </c>
      <c r="M224" s="43" t="n">
        <v>0</v>
      </c>
      <c r="N224" s="43" t="n">
        <v>0</v>
      </c>
      <c r="O224" s="43" t="n">
        <v>0</v>
      </c>
      <c r="P224" s="43" t="n">
        <v>0</v>
      </c>
      <c r="Q224" s="43" t="n">
        <v>0</v>
      </c>
      <c r="R224" s="43" t="n">
        <v>0</v>
      </c>
      <c r="S224" s="43" t="n">
        <v>0</v>
      </c>
      <c r="T224" s="43" t="n">
        <v>0</v>
      </c>
      <c r="U224" s="42" t="n">
        <f aca="false">SUM(I224:T224)</f>
        <v>5</v>
      </c>
    </row>
    <row r="225" customFormat="false" ht="15" hidden="false" customHeight="false" outlineLevel="0" collapsed="false">
      <c r="A225" s="40" t="s">
        <v>754</v>
      </c>
      <c r="B225" s="40" t="s">
        <v>307</v>
      </c>
      <c r="C225" s="40" t="s">
        <v>37</v>
      </c>
      <c r="D225" s="40" t="s">
        <v>8</v>
      </c>
      <c r="E225" s="40" t="s">
        <v>373</v>
      </c>
      <c r="F225" s="40" t="s">
        <v>308</v>
      </c>
      <c r="G225" s="40" t="s">
        <v>411</v>
      </c>
      <c r="H225" s="40" t="s">
        <v>43</v>
      </c>
      <c r="I225" s="43" t="n">
        <v>0</v>
      </c>
      <c r="J225" s="43" t="n">
        <v>0</v>
      </c>
      <c r="K225" s="43" t="n">
        <v>0</v>
      </c>
      <c r="L225" s="43" t="n">
        <v>0</v>
      </c>
      <c r="M225" s="43" t="n">
        <v>0</v>
      </c>
      <c r="N225" s="43" t="n">
        <v>5</v>
      </c>
      <c r="O225" s="43" t="n">
        <v>0</v>
      </c>
      <c r="P225" s="43" t="n">
        <v>0</v>
      </c>
      <c r="Q225" s="43" t="n">
        <v>0</v>
      </c>
      <c r="R225" s="43" t="n">
        <v>0</v>
      </c>
      <c r="S225" s="43" t="n">
        <v>0</v>
      </c>
      <c r="T225" s="43" t="n">
        <v>0</v>
      </c>
      <c r="U225" s="42" t="n">
        <f aca="false">SUM(I225:T225)</f>
        <v>5</v>
      </c>
    </row>
    <row r="226" customFormat="false" ht="15" hidden="false" customHeight="false" outlineLevel="0" collapsed="false">
      <c r="A226" s="40" t="s">
        <v>755</v>
      </c>
      <c r="B226" s="40" t="s">
        <v>307</v>
      </c>
      <c r="C226" s="40" t="s">
        <v>37</v>
      </c>
      <c r="D226" s="40" t="s">
        <v>8</v>
      </c>
      <c r="E226" s="40" t="s">
        <v>373</v>
      </c>
      <c r="F226" s="40" t="s">
        <v>308</v>
      </c>
      <c r="G226" s="40" t="s">
        <v>413</v>
      </c>
      <c r="H226" s="40" t="s">
        <v>43</v>
      </c>
      <c r="I226" s="43" t="n">
        <v>0</v>
      </c>
      <c r="J226" s="43" t="n">
        <v>0</v>
      </c>
      <c r="K226" s="43" t="n">
        <v>0</v>
      </c>
      <c r="L226" s="43" t="n">
        <v>0</v>
      </c>
      <c r="M226" s="43" t="n">
        <v>0</v>
      </c>
      <c r="N226" s="43" t="n">
        <v>11</v>
      </c>
      <c r="O226" s="43" t="n">
        <v>0</v>
      </c>
      <c r="P226" s="43" t="n">
        <v>0</v>
      </c>
      <c r="Q226" s="43" t="n">
        <v>0</v>
      </c>
      <c r="R226" s="43" t="n">
        <v>0</v>
      </c>
      <c r="S226" s="43" t="n">
        <v>0</v>
      </c>
      <c r="T226" s="43" t="n">
        <v>0</v>
      </c>
      <c r="U226" s="42" t="n">
        <f aca="false">SUM(I226:T226)</f>
        <v>11</v>
      </c>
    </row>
    <row r="227" customFormat="false" ht="15" hidden="false" customHeight="false" outlineLevel="0" collapsed="false">
      <c r="A227" s="40" t="s">
        <v>756</v>
      </c>
      <c r="B227" s="40" t="s">
        <v>310</v>
      </c>
      <c r="C227" s="40" t="s">
        <v>37</v>
      </c>
      <c r="D227" s="40" t="s">
        <v>8</v>
      </c>
      <c r="E227" s="40" t="s">
        <v>373</v>
      </c>
      <c r="F227" s="40" t="s">
        <v>311</v>
      </c>
      <c r="G227" s="40" t="s">
        <v>757</v>
      </c>
      <c r="H227" s="40" t="s">
        <v>42</v>
      </c>
      <c r="I227" s="43" t="n">
        <v>0</v>
      </c>
      <c r="J227" s="43" t="n">
        <v>18</v>
      </c>
      <c r="K227" s="43" t="n">
        <v>0</v>
      </c>
      <c r="L227" s="43" t="n">
        <v>0</v>
      </c>
      <c r="M227" s="43" t="n">
        <v>0</v>
      </c>
      <c r="N227" s="43" t="n">
        <v>0</v>
      </c>
      <c r="O227" s="43" t="n">
        <v>0</v>
      </c>
      <c r="P227" s="43" t="n">
        <v>0</v>
      </c>
      <c r="Q227" s="43" t="n">
        <v>0</v>
      </c>
      <c r="R227" s="43" t="n">
        <v>0</v>
      </c>
      <c r="S227" s="43" t="n">
        <v>0</v>
      </c>
      <c r="T227" s="43" t="n">
        <v>0</v>
      </c>
      <c r="U227" s="42" t="n">
        <f aca="false">SUM(I227:T227)</f>
        <v>18</v>
      </c>
    </row>
    <row r="228" customFormat="false" ht="15" hidden="false" customHeight="false" outlineLevel="0" collapsed="false">
      <c r="A228" s="40" t="s">
        <v>758</v>
      </c>
      <c r="B228" s="40" t="s">
        <v>310</v>
      </c>
      <c r="C228" s="40" t="s">
        <v>37</v>
      </c>
      <c r="D228" s="40" t="s">
        <v>8</v>
      </c>
      <c r="E228" s="40" t="s">
        <v>373</v>
      </c>
      <c r="F228" s="40" t="s">
        <v>311</v>
      </c>
      <c r="G228" s="40" t="s">
        <v>759</v>
      </c>
      <c r="H228" s="40" t="s">
        <v>42</v>
      </c>
      <c r="I228" s="43" t="n">
        <v>0</v>
      </c>
      <c r="J228" s="43" t="n">
        <v>0</v>
      </c>
      <c r="K228" s="43" t="n">
        <v>25</v>
      </c>
      <c r="L228" s="43" t="n">
        <v>0</v>
      </c>
      <c r="M228" s="43" t="n">
        <v>0</v>
      </c>
      <c r="N228" s="43" t="n">
        <v>0</v>
      </c>
      <c r="O228" s="43" t="n">
        <v>0</v>
      </c>
      <c r="P228" s="43" t="n">
        <v>0</v>
      </c>
      <c r="Q228" s="43" t="n">
        <v>0</v>
      </c>
      <c r="R228" s="43" t="n">
        <v>0</v>
      </c>
      <c r="S228" s="43" t="n">
        <v>0</v>
      </c>
      <c r="T228" s="43" t="n">
        <v>0</v>
      </c>
      <c r="U228" s="42" t="n">
        <f aca="false">SUM(I228:T228)</f>
        <v>25</v>
      </c>
    </row>
    <row r="229" customFormat="false" ht="15" hidden="false" customHeight="false" outlineLevel="0" collapsed="false">
      <c r="A229" s="40" t="s">
        <v>760</v>
      </c>
      <c r="B229" s="40" t="s">
        <v>310</v>
      </c>
      <c r="C229" s="40" t="s">
        <v>37</v>
      </c>
      <c r="D229" s="40" t="s">
        <v>8</v>
      </c>
      <c r="E229" s="40" t="s">
        <v>373</v>
      </c>
      <c r="F229" s="40" t="s">
        <v>311</v>
      </c>
      <c r="G229" s="40" t="s">
        <v>761</v>
      </c>
      <c r="H229" s="40" t="s">
        <v>42</v>
      </c>
      <c r="I229" s="43" t="n">
        <v>0</v>
      </c>
      <c r="J229" s="43" t="n">
        <v>0</v>
      </c>
      <c r="K229" s="43" t="n">
        <v>18</v>
      </c>
      <c r="L229" s="43" t="n">
        <v>0</v>
      </c>
      <c r="M229" s="43" t="n">
        <v>0</v>
      </c>
      <c r="N229" s="43" t="n">
        <v>0</v>
      </c>
      <c r="O229" s="43" t="n">
        <v>0</v>
      </c>
      <c r="P229" s="43" t="n">
        <v>0</v>
      </c>
      <c r="Q229" s="43" t="n">
        <v>0</v>
      </c>
      <c r="R229" s="43" t="n">
        <v>0</v>
      </c>
      <c r="S229" s="43" t="n">
        <v>0</v>
      </c>
      <c r="T229" s="43" t="n">
        <v>0</v>
      </c>
      <c r="U229" s="42" t="n">
        <f aca="false">SUM(I229:T229)</f>
        <v>18</v>
      </c>
    </row>
    <row r="230" customFormat="false" ht="15" hidden="false" customHeight="false" outlineLevel="0" collapsed="false">
      <c r="A230" s="40" t="s">
        <v>762</v>
      </c>
      <c r="B230" s="40" t="s">
        <v>310</v>
      </c>
      <c r="C230" s="40" t="s">
        <v>37</v>
      </c>
      <c r="D230" s="40" t="s">
        <v>8</v>
      </c>
      <c r="E230" s="40" t="s">
        <v>373</v>
      </c>
      <c r="F230" s="40" t="s">
        <v>311</v>
      </c>
      <c r="G230" s="40" t="s">
        <v>763</v>
      </c>
      <c r="H230" s="40" t="s">
        <v>42</v>
      </c>
      <c r="I230" s="43" t="n">
        <v>0</v>
      </c>
      <c r="J230" s="43" t="n">
        <v>0</v>
      </c>
      <c r="K230" s="43" t="n">
        <v>31</v>
      </c>
      <c r="L230" s="43" t="n">
        <v>0</v>
      </c>
      <c r="M230" s="43" t="n">
        <v>0</v>
      </c>
      <c r="N230" s="43" t="n">
        <v>0</v>
      </c>
      <c r="O230" s="43" t="n">
        <v>0</v>
      </c>
      <c r="P230" s="43" t="n">
        <v>0</v>
      </c>
      <c r="Q230" s="43" t="n">
        <v>0</v>
      </c>
      <c r="R230" s="43" t="n">
        <v>0</v>
      </c>
      <c r="S230" s="43" t="n">
        <v>0</v>
      </c>
      <c r="T230" s="43" t="n">
        <v>0</v>
      </c>
      <c r="U230" s="42" t="n">
        <f aca="false">SUM(I230:T230)</f>
        <v>31</v>
      </c>
    </row>
    <row r="231" customFormat="false" ht="15" hidden="false" customHeight="false" outlineLevel="0" collapsed="false">
      <c r="A231" s="40" t="s">
        <v>764</v>
      </c>
      <c r="B231" s="40" t="s">
        <v>310</v>
      </c>
      <c r="C231" s="40" t="s">
        <v>37</v>
      </c>
      <c r="D231" s="40" t="s">
        <v>8</v>
      </c>
      <c r="E231" s="40" t="s">
        <v>373</v>
      </c>
      <c r="F231" s="40" t="s">
        <v>311</v>
      </c>
      <c r="G231" s="40" t="s">
        <v>765</v>
      </c>
      <c r="H231" s="40" t="s">
        <v>42</v>
      </c>
      <c r="I231" s="43" t="n">
        <v>0</v>
      </c>
      <c r="J231" s="43" t="n">
        <v>6</v>
      </c>
      <c r="K231" s="43" t="n">
        <v>31</v>
      </c>
      <c r="L231" s="43" t="n">
        <v>0</v>
      </c>
      <c r="M231" s="43" t="n">
        <v>0</v>
      </c>
      <c r="N231" s="43" t="n">
        <v>0</v>
      </c>
      <c r="O231" s="43" t="n">
        <v>0</v>
      </c>
      <c r="P231" s="43" t="n">
        <v>0</v>
      </c>
      <c r="Q231" s="43" t="n">
        <v>0</v>
      </c>
      <c r="R231" s="43" t="n">
        <v>0</v>
      </c>
      <c r="S231" s="43" t="n">
        <v>0</v>
      </c>
      <c r="T231" s="43" t="n">
        <v>0</v>
      </c>
      <c r="U231" s="42" t="n">
        <f aca="false">SUM(I231:T231)</f>
        <v>37</v>
      </c>
    </row>
    <row r="232" customFormat="false" ht="15" hidden="false" customHeight="false" outlineLevel="0" collapsed="false">
      <c r="A232" s="40" t="s">
        <v>766</v>
      </c>
      <c r="B232" s="40" t="s">
        <v>310</v>
      </c>
      <c r="C232" s="40" t="s">
        <v>37</v>
      </c>
      <c r="D232" s="40" t="s">
        <v>8</v>
      </c>
      <c r="E232" s="40" t="s">
        <v>373</v>
      </c>
      <c r="F232" s="40" t="s">
        <v>311</v>
      </c>
      <c r="G232" s="40" t="s">
        <v>767</v>
      </c>
      <c r="H232" s="40" t="s">
        <v>42</v>
      </c>
      <c r="I232" s="43" t="n">
        <v>0</v>
      </c>
      <c r="J232" s="43" t="n">
        <v>0</v>
      </c>
      <c r="K232" s="43" t="n">
        <v>18</v>
      </c>
      <c r="L232" s="43" t="n">
        <v>0</v>
      </c>
      <c r="M232" s="43" t="n">
        <v>0</v>
      </c>
      <c r="N232" s="43" t="n">
        <v>0</v>
      </c>
      <c r="O232" s="43" t="n">
        <v>0</v>
      </c>
      <c r="P232" s="43" t="n">
        <v>0</v>
      </c>
      <c r="Q232" s="43" t="n">
        <v>0</v>
      </c>
      <c r="R232" s="43" t="n">
        <v>0</v>
      </c>
      <c r="S232" s="43" t="n">
        <v>0</v>
      </c>
      <c r="T232" s="43" t="n">
        <v>0</v>
      </c>
      <c r="U232" s="42" t="n">
        <f aca="false">SUM(I232:T232)</f>
        <v>18</v>
      </c>
    </row>
    <row r="233" customFormat="false" ht="15" hidden="false" customHeight="false" outlineLevel="0" collapsed="false">
      <c r="A233" s="40" t="s">
        <v>768</v>
      </c>
      <c r="B233" s="40" t="s">
        <v>310</v>
      </c>
      <c r="C233" s="40" t="s">
        <v>37</v>
      </c>
      <c r="D233" s="40" t="s">
        <v>8</v>
      </c>
      <c r="E233" s="40" t="s">
        <v>373</v>
      </c>
      <c r="F233" s="40" t="s">
        <v>311</v>
      </c>
      <c r="G233" s="40" t="s">
        <v>769</v>
      </c>
      <c r="H233" s="40" t="s">
        <v>42</v>
      </c>
      <c r="I233" s="43" t="n">
        <v>0</v>
      </c>
      <c r="J233" s="43" t="n">
        <v>0</v>
      </c>
      <c r="K233" s="43" t="n">
        <v>0</v>
      </c>
      <c r="L233" s="43" t="n">
        <v>0</v>
      </c>
      <c r="M233" s="43" t="n">
        <v>0</v>
      </c>
      <c r="N233" s="43" t="n">
        <v>0</v>
      </c>
      <c r="O233" s="43" t="n">
        <v>0</v>
      </c>
      <c r="P233" s="43" t="n">
        <v>0</v>
      </c>
      <c r="Q233" s="43" t="n">
        <v>0</v>
      </c>
      <c r="R233" s="43" t="n">
        <v>0</v>
      </c>
      <c r="S233" s="43" t="n">
        <v>49</v>
      </c>
      <c r="T233" s="43" t="n">
        <v>0</v>
      </c>
      <c r="U233" s="42" t="n">
        <f aca="false">SUM(I233:T233)</f>
        <v>49</v>
      </c>
    </row>
    <row r="234" customFormat="false" ht="15" hidden="false" customHeight="false" outlineLevel="0" collapsed="false">
      <c r="A234" s="40" t="s">
        <v>770</v>
      </c>
      <c r="B234" s="40" t="s">
        <v>310</v>
      </c>
      <c r="C234" s="40" t="s">
        <v>37</v>
      </c>
      <c r="D234" s="40" t="s">
        <v>8</v>
      </c>
      <c r="E234" s="40" t="s">
        <v>373</v>
      </c>
      <c r="F234" s="40" t="s">
        <v>311</v>
      </c>
      <c r="G234" s="40" t="s">
        <v>407</v>
      </c>
      <c r="H234" s="40" t="s">
        <v>42</v>
      </c>
      <c r="I234" s="43" t="n">
        <v>0</v>
      </c>
      <c r="J234" s="43" t="n">
        <v>12</v>
      </c>
      <c r="K234" s="43" t="n">
        <v>0</v>
      </c>
      <c r="L234" s="43" t="n">
        <v>0</v>
      </c>
      <c r="M234" s="43" t="n">
        <v>0</v>
      </c>
      <c r="N234" s="43" t="n">
        <v>0</v>
      </c>
      <c r="O234" s="43" t="n">
        <v>0</v>
      </c>
      <c r="P234" s="43" t="n">
        <v>0</v>
      </c>
      <c r="Q234" s="43" t="n">
        <v>0</v>
      </c>
      <c r="R234" s="43" t="n">
        <v>0</v>
      </c>
      <c r="S234" s="43" t="n">
        <v>0</v>
      </c>
      <c r="T234" s="43" t="n">
        <v>0</v>
      </c>
      <c r="U234" s="42" t="n">
        <f aca="false">SUM(I234:T234)</f>
        <v>12</v>
      </c>
    </row>
    <row r="235" customFormat="false" ht="15" hidden="false" customHeight="false" outlineLevel="0" collapsed="false">
      <c r="A235" s="40" t="s">
        <v>771</v>
      </c>
      <c r="B235" s="40" t="s">
        <v>310</v>
      </c>
      <c r="C235" s="40" t="s">
        <v>37</v>
      </c>
      <c r="D235" s="40" t="s">
        <v>8</v>
      </c>
      <c r="E235" s="40" t="s">
        <v>373</v>
      </c>
      <c r="F235" s="40" t="s">
        <v>311</v>
      </c>
      <c r="G235" s="40" t="s">
        <v>409</v>
      </c>
      <c r="H235" s="40" t="s">
        <v>42</v>
      </c>
      <c r="I235" s="43" t="n">
        <v>0</v>
      </c>
      <c r="J235" s="43" t="n">
        <v>0</v>
      </c>
      <c r="K235" s="43" t="n">
        <v>8</v>
      </c>
      <c r="L235" s="43" t="n">
        <v>0</v>
      </c>
      <c r="M235" s="43" t="n">
        <v>0</v>
      </c>
      <c r="N235" s="43" t="n">
        <v>0</v>
      </c>
      <c r="O235" s="43" t="n">
        <v>0</v>
      </c>
      <c r="P235" s="43" t="n">
        <v>0</v>
      </c>
      <c r="Q235" s="43" t="n">
        <v>0</v>
      </c>
      <c r="R235" s="43" t="n">
        <v>0</v>
      </c>
      <c r="S235" s="43" t="n">
        <v>0</v>
      </c>
      <c r="T235" s="43" t="n">
        <v>0</v>
      </c>
      <c r="U235" s="42" t="n">
        <f aca="false">SUM(I235:T235)</f>
        <v>8</v>
      </c>
    </row>
    <row r="236" customFormat="false" ht="15" hidden="false" customHeight="false" outlineLevel="0" collapsed="false">
      <c r="A236" s="40" t="s">
        <v>772</v>
      </c>
      <c r="B236" s="40" t="s">
        <v>310</v>
      </c>
      <c r="C236" s="40" t="s">
        <v>37</v>
      </c>
      <c r="D236" s="40" t="s">
        <v>8</v>
      </c>
      <c r="E236" s="40" t="s">
        <v>373</v>
      </c>
      <c r="F236" s="40" t="s">
        <v>311</v>
      </c>
      <c r="G236" s="40" t="s">
        <v>411</v>
      </c>
      <c r="H236" s="40" t="s">
        <v>42</v>
      </c>
      <c r="I236" s="43" t="n">
        <v>0</v>
      </c>
      <c r="J236" s="43" t="n">
        <v>0</v>
      </c>
      <c r="K236" s="43" t="n">
        <v>8</v>
      </c>
      <c r="L236" s="43" t="n">
        <v>0</v>
      </c>
      <c r="M236" s="43" t="n">
        <v>0</v>
      </c>
      <c r="N236" s="43" t="n">
        <v>0</v>
      </c>
      <c r="O236" s="43" t="n">
        <v>0</v>
      </c>
      <c r="P236" s="43" t="n">
        <v>0</v>
      </c>
      <c r="Q236" s="43" t="n">
        <v>0</v>
      </c>
      <c r="R236" s="43" t="n">
        <v>0</v>
      </c>
      <c r="S236" s="43" t="n">
        <v>0</v>
      </c>
      <c r="T236" s="43" t="n">
        <v>0</v>
      </c>
      <c r="U236" s="42" t="n">
        <f aca="false">SUM(I236:T236)</f>
        <v>8</v>
      </c>
    </row>
    <row r="237" customFormat="false" ht="15" hidden="false" customHeight="false" outlineLevel="0" collapsed="false">
      <c r="A237" s="40" t="s">
        <v>773</v>
      </c>
      <c r="B237" s="40" t="s">
        <v>310</v>
      </c>
      <c r="C237" s="40" t="s">
        <v>37</v>
      </c>
      <c r="D237" s="40" t="s">
        <v>8</v>
      </c>
      <c r="E237" s="40" t="s">
        <v>373</v>
      </c>
      <c r="F237" s="40" t="s">
        <v>311</v>
      </c>
      <c r="G237" s="40" t="s">
        <v>413</v>
      </c>
      <c r="H237" s="40" t="s">
        <v>42</v>
      </c>
      <c r="I237" s="43" t="n">
        <v>0</v>
      </c>
      <c r="J237" s="43" t="n">
        <v>0</v>
      </c>
      <c r="K237" s="43" t="n">
        <v>16</v>
      </c>
      <c r="L237" s="43" t="n">
        <v>0</v>
      </c>
      <c r="M237" s="43" t="n">
        <v>0</v>
      </c>
      <c r="N237" s="43" t="n">
        <v>0</v>
      </c>
      <c r="O237" s="43" t="n">
        <v>0</v>
      </c>
      <c r="P237" s="43" t="n">
        <v>0</v>
      </c>
      <c r="Q237" s="43" t="n">
        <v>0</v>
      </c>
      <c r="R237" s="43" t="n">
        <v>0</v>
      </c>
      <c r="S237" s="43" t="n">
        <v>0</v>
      </c>
      <c r="T237" s="43" t="n">
        <v>0</v>
      </c>
      <c r="U237" s="42" t="n">
        <f aca="false">SUM(I237:T237)</f>
        <v>16</v>
      </c>
    </row>
    <row r="238" customFormat="false" ht="15" hidden="false" customHeight="false" outlineLevel="0" collapsed="false">
      <c r="A238" s="40" t="s">
        <v>774</v>
      </c>
      <c r="B238" s="40" t="s">
        <v>313</v>
      </c>
      <c r="C238" s="40" t="s">
        <v>37</v>
      </c>
      <c r="D238" s="40" t="s">
        <v>8</v>
      </c>
      <c r="E238" s="40" t="s">
        <v>373</v>
      </c>
      <c r="F238" s="40" t="s">
        <v>314</v>
      </c>
      <c r="G238" s="40" t="s">
        <v>775</v>
      </c>
      <c r="H238" s="40" t="s">
        <v>42</v>
      </c>
      <c r="I238" s="43" t="n">
        <v>0</v>
      </c>
      <c r="J238" s="43" t="n">
        <v>0</v>
      </c>
      <c r="K238" s="43" t="n">
        <v>15</v>
      </c>
      <c r="L238" s="43" t="n">
        <v>0</v>
      </c>
      <c r="M238" s="43" t="n">
        <v>0</v>
      </c>
      <c r="N238" s="43" t="n">
        <v>0</v>
      </c>
      <c r="O238" s="43" t="n">
        <v>0</v>
      </c>
      <c r="P238" s="43" t="n">
        <v>0</v>
      </c>
      <c r="Q238" s="43" t="n">
        <v>0</v>
      </c>
      <c r="R238" s="43" t="n">
        <v>0</v>
      </c>
      <c r="S238" s="43" t="n">
        <v>0</v>
      </c>
      <c r="T238" s="43" t="n">
        <v>0</v>
      </c>
      <c r="U238" s="42" t="n">
        <f aca="false">SUM(I238:T238)</f>
        <v>15</v>
      </c>
    </row>
    <row r="239" customFormat="false" ht="15" hidden="false" customHeight="false" outlineLevel="0" collapsed="false">
      <c r="A239" s="40" t="s">
        <v>776</v>
      </c>
      <c r="B239" s="40" t="s">
        <v>313</v>
      </c>
      <c r="C239" s="40" t="s">
        <v>37</v>
      </c>
      <c r="D239" s="40" t="s">
        <v>8</v>
      </c>
      <c r="E239" s="40" t="s">
        <v>373</v>
      </c>
      <c r="F239" s="40" t="s">
        <v>314</v>
      </c>
      <c r="G239" s="40" t="s">
        <v>777</v>
      </c>
      <c r="H239" s="40" t="s">
        <v>42</v>
      </c>
      <c r="I239" s="43" t="n">
        <v>0</v>
      </c>
      <c r="J239" s="43" t="n">
        <v>0</v>
      </c>
      <c r="K239" s="43" t="n">
        <v>20</v>
      </c>
      <c r="L239" s="43" t="n">
        <v>0</v>
      </c>
      <c r="M239" s="43" t="n">
        <v>0</v>
      </c>
      <c r="N239" s="43" t="n">
        <v>0</v>
      </c>
      <c r="O239" s="43" t="n">
        <v>0</v>
      </c>
      <c r="P239" s="43" t="n">
        <v>0</v>
      </c>
      <c r="Q239" s="43" t="n">
        <v>0</v>
      </c>
      <c r="R239" s="43" t="n">
        <v>0</v>
      </c>
      <c r="S239" s="43" t="n">
        <v>0</v>
      </c>
      <c r="T239" s="43" t="n">
        <v>0</v>
      </c>
      <c r="U239" s="42" t="n">
        <f aca="false">SUM(I239:T239)</f>
        <v>20</v>
      </c>
    </row>
    <row r="240" customFormat="false" ht="15" hidden="false" customHeight="false" outlineLevel="0" collapsed="false">
      <c r="A240" s="40" t="s">
        <v>778</v>
      </c>
      <c r="B240" s="40" t="s">
        <v>313</v>
      </c>
      <c r="C240" s="40" t="s">
        <v>37</v>
      </c>
      <c r="D240" s="40" t="s">
        <v>8</v>
      </c>
      <c r="E240" s="40" t="s">
        <v>373</v>
      </c>
      <c r="F240" s="40" t="s">
        <v>314</v>
      </c>
      <c r="G240" s="40" t="s">
        <v>779</v>
      </c>
      <c r="H240" s="40" t="s">
        <v>42</v>
      </c>
      <c r="I240" s="43" t="n">
        <v>0</v>
      </c>
      <c r="J240" s="43" t="n">
        <v>0</v>
      </c>
      <c r="K240" s="43" t="n">
        <v>10</v>
      </c>
      <c r="L240" s="43" t="n">
        <v>0</v>
      </c>
      <c r="M240" s="43" t="n">
        <v>0</v>
      </c>
      <c r="N240" s="43" t="n">
        <v>0</v>
      </c>
      <c r="O240" s="43" t="n">
        <v>0</v>
      </c>
      <c r="P240" s="43" t="n">
        <v>0</v>
      </c>
      <c r="Q240" s="43" t="n">
        <v>0</v>
      </c>
      <c r="R240" s="43" t="n">
        <v>0</v>
      </c>
      <c r="S240" s="43" t="n">
        <v>0</v>
      </c>
      <c r="T240" s="43" t="n">
        <v>0</v>
      </c>
      <c r="U240" s="42" t="n">
        <f aca="false">SUM(I240:T240)</f>
        <v>10</v>
      </c>
    </row>
    <row r="241" customFormat="false" ht="15" hidden="false" customHeight="false" outlineLevel="0" collapsed="false">
      <c r="A241" s="40" t="s">
        <v>780</v>
      </c>
      <c r="B241" s="40" t="s">
        <v>313</v>
      </c>
      <c r="C241" s="40" t="s">
        <v>37</v>
      </c>
      <c r="D241" s="40" t="s">
        <v>8</v>
      </c>
      <c r="E241" s="40" t="s">
        <v>373</v>
      </c>
      <c r="F241" s="40" t="s">
        <v>314</v>
      </c>
      <c r="G241" s="40" t="s">
        <v>781</v>
      </c>
      <c r="H241" s="40" t="s">
        <v>42</v>
      </c>
      <c r="I241" s="43" t="n">
        <v>0</v>
      </c>
      <c r="J241" s="43" t="n">
        <v>0</v>
      </c>
      <c r="K241" s="43" t="n">
        <v>15</v>
      </c>
      <c r="L241" s="43" t="n">
        <v>0</v>
      </c>
      <c r="M241" s="43" t="n">
        <v>0</v>
      </c>
      <c r="N241" s="43" t="n">
        <v>0</v>
      </c>
      <c r="O241" s="43" t="n">
        <v>0</v>
      </c>
      <c r="P241" s="43" t="n">
        <v>0</v>
      </c>
      <c r="Q241" s="43" t="n">
        <v>0</v>
      </c>
      <c r="R241" s="43" t="n">
        <v>0</v>
      </c>
      <c r="S241" s="43" t="n">
        <v>0</v>
      </c>
      <c r="T241" s="43" t="n">
        <v>0</v>
      </c>
      <c r="U241" s="42" t="n">
        <f aca="false">SUM(I241:T241)</f>
        <v>15</v>
      </c>
    </row>
    <row r="242" customFormat="false" ht="15" hidden="false" customHeight="false" outlineLevel="0" collapsed="false">
      <c r="A242" s="40" t="s">
        <v>782</v>
      </c>
      <c r="B242" s="40" t="s">
        <v>313</v>
      </c>
      <c r="C242" s="40" t="s">
        <v>37</v>
      </c>
      <c r="D242" s="40" t="s">
        <v>8</v>
      </c>
      <c r="E242" s="40" t="s">
        <v>373</v>
      </c>
      <c r="F242" s="40" t="s">
        <v>314</v>
      </c>
      <c r="G242" s="40" t="s">
        <v>783</v>
      </c>
      <c r="H242" s="40" t="s">
        <v>42</v>
      </c>
      <c r="I242" s="43" t="n">
        <v>0</v>
      </c>
      <c r="J242" s="43" t="n">
        <v>0</v>
      </c>
      <c r="K242" s="43" t="n">
        <v>0</v>
      </c>
      <c r="L242" s="43" t="n">
        <v>10</v>
      </c>
      <c r="M242" s="43" t="n">
        <v>0</v>
      </c>
      <c r="N242" s="43" t="n">
        <v>0</v>
      </c>
      <c r="O242" s="43" t="n">
        <v>0</v>
      </c>
      <c r="P242" s="43" t="n">
        <v>0</v>
      </c>
      <c r="Q242" s="43" t="n">
        <v>0</v>
      </c>
      <c r="R242" s="43" t="n">
        <v>0</v>
      </c>
      <c r="S242" s="43" t="n">
        <v>0</v>
      </c>
      <c r="T242" s="43" t="n">
        <v>0</v>
      </c>
      <c r="U242" s="42" t="n">
        <f aca="false">SUM(I242:T242)</f>
        <v>10</v>
      </c>
    </row>
    <row r="243" customFormat="false" ht="15" hidden="false" customHeight="false" outlineLevel="0" collapsed="false">
      <c r="A243" s="40" t="s">
        <v>784</v>
      </c>
      <c r="B243" s="40" t="s">
        <v>313</v>
      </c>
      <c r="C243" s="40" t="s">
        <v>37</v>
      </c>
      <c r="D243" s="40" t="s">
        <v>8</v>
      </c>
      <c r="E243" s="40" t="s">
        <v>373</v>
      </c>
      <c r="F243" s="40" t="s">
        <v>314</v>
      </c>
      <c r="G243" s="40" t="s">
        <v>407</v>
      </c>
      <c r="H243" s="40" t="s">
        <v>42</v>
      </c>
      <c r="I243" s="43" t="n">
        <v>0</v>
      </c>
      <c r="J243" s="43" t="n">
        <v>4</v>
      </c>
      <c r="K243" s="43" t="n">
        <v>0</v>
      </c>
      <c r="L243" s="43" t="n">
        <v>0</v>
      </c>
      <c r="M243" s="43" t="n">
        <v>0</v>
      </c>
      <c r="N243" s="43" t="n">
        <v>0</v>
      </c>
      <c r="O243" s="43" t="n">
        <v>0</v>
      </c>
      <c r="P243" s="43" t="n">
        <v>0</v>
      </c>
      <c r="Q243" s="43" t="n">
        <v>0</v>
      </c>
      <c r="R243" s="43" t="n">
        <v>0</v>
      </c>
      <c r="S243" s="43" t="n">
        <v>0</v>
      </c>
      <c r="T243" s="43" t="n">
        <v>0</v>
      </c>
      <c r="U243" s="42" t="n">
        <f aca="false">SUM(I243:T243)</f>
        <v>4</v>
      </c>
    </row>
    <row r="244" customFormat="false" ht="15" hidden="false" customHeight="false" outlineLevel="0" collapsed="false">
      <c r="A244" s="40" t="s">
        <v>785</v>
      </c>
      <c r="B244" s="40" t="s">
        <v>313</v>
      </c>
      <c r="C244" s="40" t="s">
        <v>37</v>
      </c>
      <c r="D244" s="40" t="s">
        <v>8</v>
      </c>
      <c r="E244" s="40" t="s">
        <v>373</v>
      </c>
      <c r="F244" s="40" t="s">
        <v>314</v>
      </c>
      <c r="G244" s="40" t="s">
        <v>409</v>
      </c>
      <c r="H244" s="40" t="s">
        <v>42</v>
      </c>
      <c r="I244" s="43" t="n">
        <v>0</v>
      </c>
      <c r="J244" s="43" t="n">
        <v>0</v>
      </c>
      <c r="K244" s="43" t="n">
        <v>3</v>
      </c>
      <c r="L244" s="43" t="n">
        <v>0</v>
      </c>
      <c r="M244" s="43" t="n">
        <v>0</v>
      </c>
      <c r="N244" s="43" t="n">
        <v>0</v>
      </c>
      <c r="O244" s="43" t="n">
        <v>0</v>
      </c>
      <c r="P244" s="43" t="n">
        <v>0</v>
      </c>
      <c r="Q244" s="43" t="n">
        <v>0</v>
      </c>
      <c r="R244" s="43" t="n">
        <v>0</v>
      </c>
      <c r="S244" s="43" t="n">
        <v>0</v>
      </c>
      <c r="T244" s="43" t="n">
        <v>0</v>
      </c>
      <c r="U244" s="42" t="n">
        <f aca="false">SUM(I244:T244)</f>
        <v>3</v>
      </c>
    </row>
    <row r="245" customFormat="false" ht="15" hidden="false" customHeight="false" outlineLevel="0" collapsed="false">
      <c r="A245" s="40" t="s">
        <v>786</v>
      </c>
      <c r="B245" s="40" t="s">
        <v>313</v>
      </c>
      <c r="C245" s="40" t="s">
        <v>37</v>
      </c>
      <c r="D245" s="40" t="s">
        <v>8</v>
      </c>
      <c r="E245" s="40" t="s">
        <v>373</v>
      </c>
      <c r="F245" s="40" t="s">
        <v>314</v>
      </c>
      <c r="G245" s="40" t="s">
        <v>411</v>
      </c>
      <c r="H245" s="40" t="s">
        <v>42</v>
      </c>
      <c r="I245" s="43" t="n">
        <v>0</v>
      </c>
      <c r="J245" s="43" t="n">
        <v>0</v>
      </c>
      <c r="K245" s="43" t="n">
        <v>3</v>
      </c>
      <c r="L245" s="43" t="n">
        <v>0</v>
      </c>
      <c r="M245" s="43" t="n">
        <v>0</v>
      </c>
      <c r="N245" s="43" t="n">
        <v>0</v>
      </c>
      <c r="O245" s="43" t="n">
        <v>0</v>
      </c>
      <c r="P245" s="43" t="n">
        <v>0</v>
      </c>
      <c r="Q245" s="43" t="n">
        <v>0</v>
      </c>
      <c r="R245" s="43" t="n">
        <v>0</v>
      </c>
      <c r="S245" s="43" t="n">
        <v>0</v>
      </c>
      <c r="T245" s="43" t="n">
        <v>0</v>
      </c>
      <c r="U245" s="42" t="n">
        <f aca="false">SUM(I245:T245)</f>
        <v>3</v>
      </c>
    </row>
    <row r="246" customFormat="false" ht="15" hidden="false" customHeight="false" outlineLevel="0" collapsed="false">
      <c r="A246" s="40" t="s">
        <v>787</v>
      </c>
      <c r="B246" s="40" t="s">
        <v>313</v>
      </c>
      <c r="C246" s="40" t="s">
        <v>37</v>
      </c>
      <c r="D246" s="40" t="s">
        <v>8</v>
      </c>
      <c r="E246" s="40" t="s">
        <v>373</v>
      </c>
      <c r="F246" s="40" t="s">
        <v>314</v>
      </c>
      <c r="G246" s="40" t="s">
        <v>413</v>
      </c>
      <c r="H246" s="40" t="s">
        <v>42</v>
      </c>
      <c r="I246" s="43" t="n">
        <v>0</v>
      </c>
      <c r="J246" s="43" t="n">
        <v>0</v>
      </c>
      <c r="K246" s="43" t="n">
        <v>6</v>
      </c>
      <c r="L246" s="43" t="n">
        <v>0</v>
      </c>
      <c r="M246" s="43" t="n">
        <v>0</v>
      </c>
      <c r="N246" s="43" t="n">
        <v>0</v>
      </c>
      <c r="O246" s="43" t="n">
        <v>0</v>
      </c>
      <c r="P246" s="43" t="n">
        <v>0</v>
      </c>
      <c r="Q246" s="43" t="n">
        <v>0</v>
      </c>
      <c r="R246" s="43" t="n">
        <v>0</v>
      </c>
      <c r="S246" s="43" t="n">
        <v>0</v>
      </c>
      <c r="T246" s="43" t="n">
        <v>0</v>
      </c>
      <c r="U246" s="42" t="n">
        <f aca="false">SUM(I246:T246)</f>
        <v>6</v>
      </c>
    </row>
    <row r="247" customFormat="false" ht="15" hidden="false" customHeight="false" outlineLevel="0" collapsed="false">
      <c r="A247" s="40" t="s">
        <v>788</v>
      </c>
      <c r="B247" s="40" t="s">
        <v>316</v>
      </c>
      <c r="C247" s="40" t="s">
        <v>37</v>
      </c>
      <c r="D247" s="40" t="s">
        <v>8</v>
      </c>
      <c r="E247" s="40" t="s">
        <v>373</v>
      </c>
      <c r="F247" s="40" t="s">
        <v>317</v>
      </c>
      <c r="G247" s="40" t="s">
        <v>789</v>
      </c>
      <c r="H247" s="40" t="s">
        <v>42</v>
      </c>
      <c r="I247" s="43" t="n">
        <v>0</v>
      </c>
      <c r="J247" s="43" t="n">
        <v>33</v>
      </c>
      <c r="K247" s="43" t="n">
        <v>0</v>
      </c>
      <c r="L247" s="43" t="n">
        <v>33</v>
      </c>
      <c r="M247" s="43" t="n">
        <v>0</v>
      </c>
      <c r="N247" s="43" t="n">
        <v>0</v>
      </c>
      <c r="O247" s="43" t="n">
        <v>0</v>
      </c>
      <c r="P247" s="43" t="n">
        <v>0</v>
      </c>
      <c r="Q247" s="43" t="n">
        <v>0</v>
      </c>
      <c r="R247" s="43" t="n">
        <v>0</v>
      </c>
      <c r="S247" s="43" t="n">
        <v>0</v>
      </c>
      <c r="T247" s="43" t="n">
        <v>0</v>
      </c>
      <c r="U247" s="42" t="n">
        <f aca="false">SUM(I247:T247)</f>
        <v>66</v>
      </c>
    </row>
    <row r="248" customFormat="false" ht="23.85" hidden="false" customHeight="false" outlineLevel="0" collapsed="false">
      <c r="A248" s="40" t="s">
        <v>790</v>
      </c>
      <c r="B248" s="40" t="s">
        <v>316</v>
      </c>
      <c r="C248" s="40" t="s">
        <v>37</v>
      </c>
      <c r="D248" s="40" t="s">
        <v>8</v>
      </c>
      <c r="E248" s="40" t="s">
        <v>373</v>
      </c>
      <c r="F248" s="40" t="s">
        <v>317</v>
      </c>
      <c r="G248" s="40" t="s">
        <v>791</v>
      </c>
      <c r="H248" s="40" t="s">
        <v>42</v>
      </c>
      <c r="I248" s="43" t="n">
        <v>0</v>
      </c>
      <c r="J248" s="43" t="n">
        <v>33</v>
      </c>
      <c r="K248" s="43" t="n">
        <v>0</v>
      </c>
      <c r="L248" s="43" t="n">
        <v>0</v>
      </c>
      <c r="M248" s="43" t="n">
        <v>0</v>
      </c>
      <c r="N248" s="43" t="n">
        <v>0</v>
      </c>
      <c r="O248" s="43" t="n">
        <v>0</v>
      </c>
      <c r="P248" s="43" t="n">
        <v>0</v>
      </c>
      <c r="Q248" s="43" t="n">
        <v>0</v>
      </c>
      <c r="R248" s="43" t="n">
        <v>0</v>
      </c>
      <c r="S248" s="43" t="n">
        <v>0</v>
      </c>
      <c r="T248" s="43" t="n">
        <v>0</v>
      </c>
      <c r="U248" s="42" t="n">
        <f aca="false">SUM(I248:T248)</f>
        <v>33</v>
      </c>
    </row>
    <row r="249" customFormat="false" ht="15" hidden="false" customHeight="false" outlineLevel="0" collapsed="false">
      <c r="A249" s="40" t="s">
        <v>792</v>
      </c>
      <c r="B249" s="40" t="s">
        <v>316</v>
      </c>
      <c r="C249" s="40" t="s">
        <v>37</v>
      </c>
      <c r="D249" s="40" t="s">
        <v>8</v>
      </c>
      <c r="E249" s="40" t="s">
        <v>373</v>
      </c>
      <c r="F249" s="40" t="s">
        <v>317</v>
      </c>
      <c r="G249" s="40" t="s">
        <v>793</v>
      </c>
      <c r="H249" s="40" t="s">
        <v>42</v>
      </c>
      <c r="I249" s="43" t="n">
        <v>0</v>
      </c>
      <c r="J249" s="43" t="n">
        <v>0</v>
      </c>
      <c r="K249" s="43" t="n">
        <v>65</v>
      </c>
      <c r="L249" s="43" t="n">
        <v>0</v>
      </c>
      <c r="M249" s="43" t="n">
        <v>0</v>
      </c>
      <c r="N249" s="43" t="n">
        <v>0</v>
      </c>
      <c r="O249" s="43" t="n">
        <v>0</v>
      </c>
      <c r="P249" s="43" t="n">
        <v>0</v>
      </c>
      <c r="Q249" s="43" t="n">
        <v>0</v>
      </c>
      <c r="R249" s="43" t="n">
        <v>0</v>
      </c>
      <c r="S249" s="43" t="n">
        <v>0</v>
      </c>
      <c r="T249" s="43" t="n">
        <v>0</v>
      </c>
      <c r="U249" s="42" t="n">
        <f aca="false">SUM(I249:T249)</f>
        <v>65</v>
      </c>
    </row>
    <row r="250" customFormat="false" ht="15" hidden="false" customHeight="false" outlineLevel="0" collapsed="false">
      <c r="A250" s="40" t="s">
        <v>794</v>
      </c>
      <c r="B250" s="40" t="s">
        <v>316</v>
      </c>
      <c r="C250" s="40" t="s">
        <v>37</v>
      </c>
      <c r="D250" s="40" t="s">
        <v>8</v>
      </c>
      <c r="E250" s="40" t="s">
        <v>373</v>
      </c>
      <c r="F250" s="40" t="s">
        <v>317</v>
      </c>
      <c r="G250" s="40" t="s">
        <v>795</v>
      </c>
      <c r="H250" s="40" t="s">
        <v>42</v>
      </c>
      <c r="I250" s="43" t="n">
        <v>0</v>
      </c>
      <c r="J250" s="43" t="n">
        <v>0</v>
      </c>
      <c r="K250" s="43" t="n">
        <v>49</v>
      </c>
      <c r="L250" s="43" t="n">
        <v>33</v>
      </c>
      <c r="M250" s="43" t="n">
        <v>0</v>
      </c>
      <c r="N250" s="43" t="n">
        <v>0</v>
      </c>
      <c r="O250" s="43" t="n">
        <v>0</v>
      </c>
      <c r="P250" s="43" t="n">
        <v>0</v>
      </c>
      <c r="Q250" s="43" t="n">
        <v>0</v>
      </c>
      <c r="R250" s="43" t="n">
        <v>0</v>
      </c>
      <c r="S250" s="43" t="n">
        <v>0</v>
      </c>
      <c r="T250" s="43" t="n">
        <v>0</v>
      </c>
      <c r="U250" s="42" t="n">
        <f aca="false">SUM(I250:T250)</f>
        <v>82</v>
      </c>
    </row>
    <row r="251" customFormat="false" ht="15" hidden="false" customHeight="false" outlineLevel="0" collapsed="false">
      <c r="A251" s="40" t="s">
        <v>796</v>
      </c>
      <c r="B251" s="40" t="s">
        <v>316</v>
      </c>
      <c r="C251" s="40" t="s">
        <v>37</v>
      </c>
      <c r="D251" s="40" t="s">
        <v>8</v>
      </c>
      <c r="E251" s="40" t="s">
        <v>373</v>
      </c>
      <c r="F251" s="40" t="s">
        <v>317</v>
      </c>
      <c r="G251" s="40" t="s">
        <v>797</v>
      </c>
      <c r="H251" s="40" t="s">
        <v>42</v>
      </c>
      <c r="I251" s="43" t="n">
        <v>0</v>
      </c>
      <c r="J251" s="43" t="n">
        <v>0</v>
      </c>
      <c r="K251" s="43" t="n">
        <v>0</v>
      </c>
      <c r="L251" s="43" t="n">
        <v>0</v>
      </c>
      <c r="M251" s="43" t="n">
        <v>0</v>
      </c>
      <c r="N251" s="43" t="n">
        <v>0</v>
      </c>
      <c r="O251" s="43" t="n">
        <v>65</v>
      </c>
      <c r="P251" s="43" t="n">
        <v>0</v>
      </c>
      <c r="Q251" s="43" t="n">
        <v>0</v>
      </c>
      <c r="R251" s="43" t="n">
        <v>0</v>
      </c>
      <c r="S251" s="43" t="n">
        <v>0</v>
      </c>
      <c r="T251" s="43" t="n">
        <v>0</v>
      </c>
      <c r="U251" s="42" t="n">
        <f aca="false">SUM(I251:T251)</f>
        <v>65</v>
      </c>
    </row>
    <row r="252" customFormat="false" ht="15" hidden="false" customHeight="false" outlineLevel="0" collapsed="false">
      <c r="A252" s="40" t="s">
        <v>798</v>
      </c>
      <c r="B252" s="40" t="s">
        <v>316</v>
      </c>
      <c r="C252" s="40" t="s">
        <v>37</v>
      </c>
      <c r="D252" s="40" t="s">
        <v>8</v>
      </c>
      <c r="E252" s="40" t="s">
        <v>373</v>
      </c>
      <c r="F252" s="40" t="s">
        <v>317</v>
      </c>
      <c r="G252" s="40" t="s">
        <v>799</v>
      </c>
      <c r="H252" s="40" t="s">
        <v>42</v>
      </c>
      <c r="I252" s="43" t="n">
        <v>0</v>
      </c>
      <c r="J252" s="43" t="n">
        <v>0</v>
      </c>
      <c r="K252" s="43" t="n">
        <v>0</v>
      </c>
      <c r="L252" s="43" t="n">
        <v>33</v>
      </c>
      <c r="M252" s="43" t="n">
        <v>0</v>
      </c>
      <c r="N252" s="43" t="n">
        <v>0</v>
      </c>
      <c r="O252" s="43" t="n">
        <v>0</v>
      </c>
      <c r="P252" s="43" t="n">
        <v>0</v>
      </c>
      <c r="Q252" s="43" t="n">
        <v>0</v>
      </c>
      <c r="R252" s="43" t="n">
        <v>0</v>
      </c>
      <c r="S252" s="43" t="n">
        <v>0</v>
      </c>
      <c r="T252" s="43" t="n">
        <v>0</v>
      </c>
      <c r="U252" s="42" t="n">
        <f aca="false">SUM(I252:T252)</f>
        <v>33</v>
      </c>
    </row>
    <row r="253" customFormat="false" ht="15" hidden="false" customHeight="false" outlineLevel="0" collapsed="false">
      <c r="A253" s="40" t="s">
        <v>800</v>
      </c>
      <c r="B253" s="40" t="s">
        <v>316</v>
      </c>
      <c r="C253" s="40" t="s">
        <v>37</v>
      </c>
      <c r="D253" s="40" t="s">
        <v>8</v>
      </c>
      <c r="E253" s="40" t="s">
        <v>373</v>
      </c>
      <c r="F253" s="40" t="s">
        <v>317</v>
      </c>
      <c r="G253" s="40" t="s">
        <v>801</v>
      </c>
      <c r="H253" s="40" t="s">
        <v>42</v>
      </c>
      <c r="I253" s="43" t="n">
        <v>0</v>
      </c>
      <c r="J253" s="43" t="n">
        <v>0</v>
      </c>
      <c r="K253" s="43" t="n">
        <v>49</v>
      </c>
      <c r="L253" s="43" t="n">
        <v>0</v>
      </c>
      <c r="M253" s="43" t="n">
        <v>0</v>
      </c>
      <c r="N253" s="43" t="n">
        <v>0</v>
      </c>
      <c r="O253" s="43" t="n">
        <v>0</v>
      </c>
      <c r="P253" s="43" t="n">
        <v>0</v>
      </c>
      <c r="Q253" s="43" t="n">
        <v>0</v>
      </c>
      <c r="R253" s="43" t="n">
        <v>0</v>
      </c>
      <c r="S253" s="43" t="n">
        <v>65</v>
      </c>
      <c r="T253" s="43" t="n">
        <v>0</v>
      </c>
      <c r="U253" s="42" t="n">
        <f aca="false">SUM(I253:T253)</f>
        <v>114</v>
      </c>
    </row>
    <row r="254" customFormat="false" ht="15" hidden="false" customHeight="false" outlineLevel="0" collapsed="false">
      <c r="A254" s="40" t="s">
        <v>802</v>
      </c>
      <c r="B254" s="40" t="s">
        <v>316</v>
      </c>
      <c r="C254" s="40" t="s">
        <v>37</v>
      </c>
      <c r="D254" s="40" t="s">
        <v>8</v>
      </c>
      <c r="E254" s="40" t="s">
        <v>373</v>
      </c>
      <c r="F254" s="40" t="s">
        <v>317</v>
      </c>
      <c r="G254" s="40" t="s">
        <v>407</v>
      </c>
      <c r="H254" s="40" t="s">
        <v>42</v>
      </c>
      <c r="I254" s="43" t="n">
        <v>0</v>
      </c>
      <c r="J254" s="43" t="n">
        <v>27</v>
      </c>
      <c r="K254" s="43" t="n">
        <v>0</v>
      </c>
      <c r="L254" s="43" t="n">
        <v>0</v>
      </c>
      <c r="M254" s="43" t="n">
        <v>0</v>
      </c>
      <c r="N254" s="43" t="n">
        <v>0</v>
      </c>
      <c r="O254" s="43" t="n">
        <v>0</v>
      </c>
      <c r="P254" s="43" t="n">
        <v>0</v>
      </c>
      <c r="Q254" s="43" t="n">
        <v>0</v>
      </c>
      <c r="R254" s="43" t="n">
        <v>0</v>
      </c>
      <c r="S254" s="43" t="n">
        <v>0</v>
      </c>
      <c r="T254" s="43" t="n">
        <v>0</v>
      </c>
      <c r="U254" s="42" t="n">
        <f aca="false">SUM(I254:T254)</f>
        <v>27</v>
      </c>
    </row>
    <row r="255" customFormat="false" ht="15" hidden="false" customHeight="false" outlineLevel="0" collapsed="false">
      <c r="A255" s="40" t="s">
        <v>803</v>
      </c>
      <c r="B255" s="40" t="s">
        <v>316</v>
      </c>
      <c r="C255" s="40" t="s">
        <v>37</v>
      </c>
      <c r="D255" s="40" t="s">
        <v>8</v>
      </c>
      <c r="E255" s="40" t="s">
        <v>373</v>
      </c>
      <c r="F255" s="40" t="s">
        <v>317</v>
      </c>
      <c r="G255" s="40" t="s">
        <v>409</v>
      </c>
      <c r="H255" s="40" t="s">
        <v>42</v>
      </c>
      <c r="I255" s="43" t="n">
        <v>0</v>
      </c>
      <c r="J255" s="43" t="n">
        <v>0</v>
      </c>
      <c r="K255" s="43" t="n">
        <v>18</v>
      </c>
      <c r="L255" s="43" t="n">
        <v>0</v>
      </c>
      <c r="M255" s="43" t="n">
        <v>0</v>
      </c>
      <c r="N255" s="43" t="n">
        <v>0</v>
      </c>
      <c r="O255" s="43" t="n">
        <v>0</v>
      </c>
      <c r="P255" s="43" t="n">
        <v>0</v>
      </c>
      <c r="Q255" s="43" t="n">
        <v>0</v>
      </c>
      <c r="R255" s="43" t="n">
        <v>0</v>
      </c>
      <c r="S255" s="43" t="n">
        <v>0</v>
      </c>
      <c r="T255" s="43" t="n">
        <v>0</v>
      </c>
      <c r="U255" s="42" t="n">
        <f aca="false">SUM(I255:T255)</f>
        <v>18</v>
      </c>
    </row>
    <row r="256" customFormat="false" ht="15" hidden="false" customHeight="false" outlineLevel="0" collapsed="false">
      <c r="A256" s="40" t="s">
        <v>804</v>
      </c>
      <c r="B256" s="40" t="s">
        <v>316</v>
      </c>
      <c r="C256" s="40" t="s">
        <v>37</v>
      </c>
      <c r="D256" s="40" t="s">
        <v>8</v>
      </c>
      <c r="E256" s="40" t="s">
        <v>373</v>
      </c>
      <c r="F256" s="40" t="s">
        <v>317</v>
      </c>
      <c r="G256" s="40" t="s">
        <v>411</v>
      </c>
      <c r="H256" s="40" t="s">
        <v>42</v>
      </c>
      <c r="I256" s="43" t="n">
        <v>0</v>
      </c>
      <c r="J256" s="43" t="n">
        <v>0</v>
      </c>
      <c r="K256" s="43" t="n">
        <v>18</v>
      </c>
      <c r="L256" s="43" t="n">
        <v>0</v>
      </c>
      <c r="M256" s="43" t="n">
        <v>0</v>
      </c>
      <c r="N256" s="43" t="n">
        <v>0</v>
      </c>
      <c r="O256" s="43" t="n">
        <v>0</v>
      </c>
      <c r="P256" s="43" t="n">
        <v>0</v>
      </c>
      <c r="Q256" s="43" t="n">
        <v>0</v>
      </c>
      <c r="R256" s="43" t="n">
        <v>0</v>
      </c>
      <c r="S256" s="43" t="n">
        <v>0</v>
      </c>
      <c r="T256" s="43" t="n">
        <v>0</v>
      </c>
      <c r="U256" s="42" t="n">
        <f aca="false">SUM(I256:T256)</f>
        <v>18</v>
      </c>
    </row>
    <row r="257" customFormat="false" ht="15" hidden="false" customHeight="false" outlineLevel="0" collapsed="false">
      <c r="A257" s="40" t="s">
        <v>805</v>
      </c>
      <c r="B257" s="40" t="s">
        <v>316</v>
      </c>
      <c r="C257" s="40" t="s">
        <v>37</v>
      </c>
      <c r="D257" s="40" t="s">
        <v>8</v>
      </c>
      <c r="E257" s="40" t="s">
        <v>373</v>
      </c>
      <c r="F257" s="40" t="s">
        <v>317</v>
      </c>
      <c r="G257" s="40" t="s">
        <v>413</v>
      </c>
      <c r="H257" s="40" t="s">
        <v>42</v>
      </c>
      <c r="I257" s="43" t="n">
        <v>0</v>
      </c>
      <c r="J257" s="43" t="n">
        <v>0</v>
      </c>
      <c r="K257" s="43" t="n">
        <v>37</v>
      </c>
      <c r="L257" s="43" t="n">
        <v>0</v>
      </c>
      <c r="M257" s="43" t="n">
        <v>0</v>
      </c>
      <c r="N257" s="43" t="n">
        <v>0</v>
      </c>
      <c r="O257" s="43" t="n">
        <v>0</v>
      </c>
      <c r="P257" s="43" t="n">
        <v>0</v>
      </c>
      <c r="Q257" s="43" t="n">
        <v>0</v>
      </c>
      <c r="R257" s="43" t="n">
        <v>0</v>
      </c>
      <c r="S257" s="43" t="n">
        <v>0</v>
      </c>
      <c r="T257" s="43" t="n">
        <v>0</v>
      </c>
      <c r="U257" s="42" t="n">
        <f aca="false">SUM(I257:T257)</f>
        <v>37</v>
      </c>
    </row>
    <row r="258" customFormat="false" ht="23.85" hidden="false" customHeight="false" outlineLevel="0" collapsed="false">
      <c r="A258" s="40" t="s">
        <v>806</v>
      </c>
      <c r="B258" s="40" t="s">
        <v>121</v>
      </c>
      <c r="C258" s="40" t="s">
        <v>38</v>
      </c>
      <c r="D258" s="40" t="s">
        <v>5</v>
      </c>
      <c r="E258" s="40" t="s">
        <v>374</v>
      </c>
      <c r="F258" s="40" t="s">
        <v>122</v>
      </c>
      <c r="G258" s="40" t="s">
        <v>807</v>
      </c>
      <c r="H258" s="40" t="s">
        <v>44</v>
      </c>
      <c r="I258" s="43" t="n">
        <v>0</v>
      </c>
      <c r="J258" s="43" t="n">
        <v>0</v>
      </c>
      <c r="K258" s="43" t="n">
        <v>0</v>
      </c>
      <c r="L258" s="43" t="n">
        <v>0</v>
      </c>
      <c r="M258" s="43" t="n">
        <v>0</v>
      </c>
      <c r="N258" s="43" t="n">
        <v>0</v>
      </c>
      <c r="O258" s="43" t="n">
        <v>0</v>
      </c>
      <c r="P258" s="43" t="n">
        <v>25</v>
      </c>
      <c r="Q258" s="43" t="n">
        <v>0</v>
      </c>
      <c r="R258" s="43" t="n">
        <v>49</v>
      </c>
      <c r="S258" s="43" t="n">
        <v>0</v>
      </c>
      <c r="T258" s="43" t="n">
        <v>0</v>
      </c>
      <c r="U258" s="42" t="n">
        <f aca="false">SUM(I258:T258)</f>
        <v>74</v>
      </c>
    </row>
    <row r="259" customFormat="false" ht="23.85" hidden="false" customHeight="false" outlineLevel="0" collapsed="false">
      <c r="A259" s="40" t="s">
        <v>808</v>
      </c>
      <c r="B259" s="40" t="s">
        <v>121</v>
      </c>
      <c r="C259" s="40" t="s">
        <v>38</v>
      </c>
      <c r="D259" s="40" t="s">
        <v>5</v>
      </c>
      <c r="E259" s="40" t="s">
        <v>374</v>
      </c>
      <c r="F259" s="40" t="s">
        <v>122</v>
      </c>
      <c r="G259" s="40" t="s">
        <v>809</v>
      </c>
      <c r="H259" s="40" t="s">
        <v>44</v>
      </c>
      <c r="I259" s="43" t="n">
        <v>0</v>
      </c>
      <c r="J259" s="43" t="n">
        <v>0</v>
      </c>
      <c r="K259" s="43" t="n">
        <v>0</v>
      </c>
      <c r="L259" s="43" t="n">
        <v>0</v>
      </c>
      <c r="M259" s="43" t="n">
        <v>0</v>
      </c>
      <c r="N259" s="43" t="n">
        <v>0</v>
      </c>
      <c r="O259" s="43" t="n">
        <v>37</v>
      </c>
      <c r="P259" s="43" t="n">
        <v>25</v>
      </c>
      <c r="Q259" s="43" t="n">
        <v>0</v>
      </c>
      <c r="R259" s="43" t="n">
        <v>0</v>
      </c>
      <c r="S259" s="43" t="n">
        <v>0</v>
      </c>
      <c r="T259" s="43" t="n">
        <v>0</v>
      </c>
      <c r="U259" s="42" t="n">
        <f aca="false">SUM(I259:T259)</f>
        <v>62</v>
      </c>
    </row>
    <row r="260" customFormat="false" ht="23.85" hidden="false" customHeight="false" outlineLevel="0" collapsed="false">
      <c r="A260" s="40" t="s">
        <v>810</v>
      </c>
      <c r="B260" s="40" t="s">
        <v>121</v>
      </c>
      <c r="C260" s="40" t="s">
        <v>38</v>
      </c>
      <c r="D260" s="40" t="s">
        <v>5</v>
      </c>
      <c r="E260" s="40" t="s">
        <v>374</v>
      </c>
      <c r="F260" s="40" t="s">
        <v>122</v>
      </c>
      <c r="G260" s="40" t="s">
        <v>811</v>
      </c>
      <c r="H260" s="40" t="s">
        <v>44</v>
      </c>
      <c r="I260" s="43" t="n">
        <v>0</v>
      </c>
      <c r="J260" s="43" t="n">
        <v>0</v>
      </c>
      <c r="K260" s="43" t="n">
        <v>0</v>
      </c>
      <c r="L260" s="43" t="n">
        <v>0</v>
      </c>
      <c r="M260" s="43" t="n">
        <v>0</v>
      </c>
      <c r="N260" s="43" t="n">
        <v>0</v>
      </c>
      <c r="O260" s="43" t="n">
        <v>12</v>
      </c>
      <c r="P260" s="43" t="n">
        <v>0</v>
      </c>
      <c r="Q260" s="43" t="n">
        <v>0</v>
      </c>
      <c r="R260" s="43" t="n">
        <v>25</v>
      </c>
      <c r="S260" s="43" t="n">
        <v>0</v>
      </c>
      <c r="T260" s="43" t="n">
        <v>0</v>
      </c>
      <c r="U260" s="42" t="n">
        <f aca="false">SUM(I260:T260)</f>
        <v>37</v>
      </c>
    </row>
    <row r="261" customFormat="false" ht="23.85" hidden="false" customHeight="false" outlineLevel="0" collapsed="false">
      <c r="A261" s="40" t="s">
        <v>812</v>
      </c>
      <c r="B261" s="40" t="s">
        <v>121</v>
      </c>
      <c r="C261" s="40" t="s">
        <v>38</v>
      </c>
      <c r="D261" s="40" t="s">
        <v>5</v>
      </c>
      <c r="E261" s="40" t="s">
        <v>374</v>
      </c>
      <c r="F261" s="40" t="s">
        <v>122</v>
      </c>
      <c r="G261" s="40" t="s">
        <v>813</v>
      </c>
      <c r="H261" s="40" t="s">
        <v>44</v>
      </c>
      <c r="I261" s="43" t="n">
        <v>0</v>
      </c>
      <c r="J261" s="43" t="n">
        <v>0</v>
      </c>
      <c r="K261" s="43" t="n">
        <v>0</v>
      </c>
      <c r="L261" s="43" t="n">
        <v>0</v>
      </c>
      <c r="M261" s="43" t="n">
        <v>0</v>
      </c>
      <c r="N261" s="43" t="n">
        <v>0</v>
      </c>
      <c r="O261" s="43" t="n">
        <v>0</v>
      </c>
      <c r="P261" s="43" t="n">
        <v>25</v>
      </c>
      <c r="Q261" s="43" t="n">
        <v>0</v>
      </c>
      <c r="R261" s="43" t="n">
        <v>0</v>
      </c>
      <c r="S261" s="43" t="n">
        <v>0</v>
      </c>
      <c r="T261" s="43" t="n">
        <v>0</v>
      </c>
      <c r="U261" s="42" t="n">
        <f aca="false">SUM(I261:T261)</f>
        <v>25</v>
      </c>
    </row>
    <row r="262" customFormat="false" ht="23.85" hidden="false" customHeight="false" outlineLevel="0" collapsed="false">
      <c r="A262" s="40" t="s">
        <v>814</v>
      </c>
      <c r="B262" s="40" t="s">
        <v>121</v>
      </c>
      <c r="C262" s="40" t="s">
        <v>38</v>
      </c>
      <c r="D262" s="40" t="s">
        <v>5</v>
      </c>
      <c r="E262" s="40" t="s">
        <v>374</v>
      </c>
      <c r="F262" s="40" t="s">
        <v>122</v>
      </c>
      <c r="G262" s="40" t="s">
        <v>407</v>
      </c>
      <c r="H262" s="40" t="s">
        <v>44</v>
      </c>
      <c r="I262" s="43" t="n">
        <v>0</v>
      </c>
      <c r="J262" s="43" t="n">
        <v>0</v>
      </c>
      <c r="K262" s="43" t="n">
        <v>0</v>
      </c>
      <c r="L262" s="43" t="n">
        <v>0</v>
      </c>
      <c r="M262" s="43" t="n">
        <v>0</v>
      </c>
      <c r="N262" s="43" t="n">
        <v>0</v>
      </c>
      <c r="O262" s="43" t="n">
        <v>0</v>
      </c>
      <c r="P262" s="43" t="n">
        <v>12</v>
      </c>
      <c r="Q262" s="43" t="n">
        <v>0</v>
      </c>
      <c r="R262" s="43" t="n">
        <v>0</v>
      </c>
      <c r="S262" s="43" t="n">
        <v>0</v>
      </c>
      <c r="T262" s="43" t="n">
        <v>0</v>
      </c>
      <c r="U262" s="42" t="n">
        <f aca="false">SUM(I262:T262)</f>
        <v>12</v>
      </c>
    </row>
    <row r="263" customFormat="false" ht="23.85" hidden="false" customHeight="false" outlineLevel="0" collapsed="false">
      <c r="A263" s="40" t="s">
        <v>815</v>
      </c>
      <c r="B263" s="40" t="s">
        <v>121</v>
      </c>
      <c r="C263" s="40" t="s">
        <v>38</v>
      </c>
      <c r="D263" s="40" t="s">
        <v>5</v>
      </c>
      <c r="E263" s="40" t="s">
        <v>374</v>
      </c>
      <c r="F263" s="40" t="s">
        <v>122</v>
      </c>
      <c r="G263" s="40" t="s">
        <v>411</v>
      </c>
      <c r="H263" s="40" t="s">
        <v>44</v>
      </c>
      <c r="I263" s="43" t="n">
        <v>0</v>
      </c>
      <c r="J263" s="43" t="n">
        <v>0</v>
      </c>
      <c r="K263" s="43" t="n">
        <v>0</v>
      </c>
      <c r="L263" s="43" t="n">
        <v>0</v>
      </c>
      <c r="M263" s="43" t="n">
        <v>0</v>
      </c>
      <c r="N263" s="43" t="n">
        <v>0</v>
      </c>
      <c r="O263" s="43" t="n">
        <v>0</v>
      </c>
      <c r="P263" s="43" t="n">
        <v>0</v>
      </c>
      <c r="Q263" s="43" t="n">
        <v>0</v>
      </c>
      <c r="R263" s="43" t="n">
        <v>8</v>
      </c>
      <c r="S263" s="43" t="n">
        <v>0</v>
      </c>
      <c r="T263" s="43" t="n">
        <v>0</v>
      </c>
      <c r="U263" s="42" t="n">
        <f aca="false">SUM(I263:T263)</f>
        <v>8</v>
      </c>
    </row>
    <row r="264" customFormat="false" ht="15" hidden="false" customHeight="false" outlineLevel="0" collapsed="false">
      <c r="A264" s="40" t="s">
        <v>816</v>
      </c>
      <c r="B264" s="40" t="s">
        <v>124</v>
      </c>
      <c r="C264" s="40" t="s">
        <v>38</v>
      </c>
      <c r="D264" s="40" t="s">
        <v>5</v>
      </c>
      <c r="E264" s="40" t="s">
        <v>374</v>
      </c>
      <c r="F264" s="40" t="s">
        <v>125</v>
      </c>
      <c r="G264" s="40" t="s">
        <v>817</v>
      </c>
      <c r="H264" s="40" t="s">
        <v>44</v>
      </c>
      <c r="I264" s="43" t="n">
        <v>0</v>
      </c>
      <c r="J264" s="43" t="n">
        <v>0</v>
      </c>
      <c r="K264" s="43" t="n">
        <v>0</v>
      </c>
      <c r="L264" s="43" t="n">
        <v>10</v>
      </c>
      <c r="M264" s="43" t="n">
        <v>0</v>
      </c>
      <c r="N264" s="43" t="n">
        <v>0</v>
      </c>
      <c r="O264" s="43" t="n">
        <v>0</v>
      </c>
      <c r="P264" s="43" t="n">
        <v>20</v>
      </c>
      <c r="Q264" s="43" t="n">
        <v>0</v>
      </c>
      <c r="R264" s="43" t="n">
        <v>0</v>
      </c>
      <c r="S264" s="43" t="n">
        <v>0</v>
      </c>
      <c r="T264" s="43" t="n">
        <v>0</v>
      </c>
      <c r="U264" s="42" t="n">
        <f aca="false">SUM(I264:T264)</f>
        <v>30</v>
      </c>
    </row>
    <row r="265" customFormat="false" ht="15" hidden="false" customHeight="false" outlineLevel="0" collapsed="false">
      <c r="A265" s="40" t="s">
        <v>818</v>
      </c>
      <c r="B265" s="40" t="s">
        <v>124</v>
      </c>
      <c r="C265" s="40" t="s">
        <v>38</v>
      </c>
      <c r="D265" s="40" t="s">
        <v>5</v>
      </c>
      <c r="E265" s="40" t="s">
        <v>374</v>
      </c>
      <c r="F265" s="40" t="s">
        <v>125</v>
      </c>
      <c r="G265" s="40" t="s">
        <v>819</v>
      </c>
      <c r="H265" s="40" t="s">
        <v>44</v>
      </c>
      <c r="I265" s="43" t="n">
        <v>0</v>
      </c>
      <c r="J265" s="43" t="n">
        <v>0</v>
      </c>
      <c r="K265" s="43" t="n">
        <v>0</v>
      </c>
      <c r="L265" s="43" t="n">
        <v>0</v>
      </c>
      <c r="M265" s="43" t="n">
        <v>0</v>
      </c>
      <c r="N265" s="43" t="n">
        <v>0</v>
      </c>
      <c r="O265" s="43" t="n">
        <v>10</v>
      </c>
      <c r="P265" s="43" t="n">
        <v>20</v>
      </c>
      <c r="Q265" s="43" t="n">
        <v>0</v>
      </c>
      <c r="R265" s="43" t="n">
        <v>0</v>
      </c>
      <c r="S265" s="43" t="n">
        <v>0</v>
      </c>
      <c r="T265" s="43" t="n">
        <v>0</v>
      </c>
      <c r="U265" s="42" t="n">
        <f aca="false">SUM(I265:T265)</f>
        <v>30</v>
      </c>
    </row>
    <row r="266" customFormat="false" ht="15" hidden="false" customHeight="false" outlineLevel="0" collapsed="false">
      <c r="A266" s="40" t="s">
        <v>820</v>
      </c>
      <c r="B266" s="40" t="s">
        <v>124</v>
      </c>
      <c r="C266" s="40" t="s">
        <v>38</v>
      </c>
      <c r="D266" s="40" t="s">
        <v>5</v>
      </c>
      <c r="E266" s="40" t="s">
        <v>374</v>
      </c>
      <c r="F266" s="40" t="s">
        <v>125</v>
      </c>
      <c r="G266" s="40" t="s">
        <v>821</v>
      </c>
      <c r="H266" s="40" t="s">
        <v>44</v>
      </c>
      <c r="I266" s="43" t="n">
        <v>0</v>
      </c>
      <c r="J266" s="43" t="n">
        <v>0</v>
      </c>
      <c r="K266" s="43" t="n">
        <v>0</v>
      </c>
      <c r="L266" s="43" t="n">
        <v>0</v>
      </c>
      <c r="M266" s="43" t="n">
        <v>0</v>
      </c>
      <c r="N266" s="43" t="n">
        <v>0</v>
      </c>
      <c r="O266" s="43" t="n">
        <v>10</v>
      </c>
      <c r="P266" s="43" t="n">
        <v>31</v>
      </c>
      <c r="Q266" s="43" t="n">
        <v>0</v>
      </c>
      <c r="R266" s="43" t="n">
        <v>0</v>
      </c>
      <c r="S266" s="43" t="n">
        <v>0</v>
      </c>
      <c r="T266" s="43" t="n">
        <v>0</v>
      </c>
      <c r="U266" s="42" t="n">
        <f aca="false">SUM(I266:T266)</f>
        <v>41</v>
      </c>
    </row>
    <row r="267" customFormat="false" ht="15" hidden="false" customHeight="false" outlineLevel="0" collapsed="false">
      <c r="A267" s="40" t="s">
        <v>822</v>
      </c>
      <c r="B267" s="40" t="s">
        <v>124</v>
      </c>
      <c r="C267" s="40" t="s">
        <v>38</v>
      </c>
      <c r="D267" s="40" t="s">
        <v>5</v>
      </c>
      <c r="E267" s="40" t="s">
        <v>374</v>
      </c>
      <c r="F267" s="40" t="s">
        <v>125</v>
      </c>
      <c r="G267" s="40" t="s">
        <v>823</v>
      </c>
      <c r="H267" s="40" t="s">
        <v>44</v>
      </c>
      <c r="I267" s="43" t="n">
        <v>0</v>
      </c>
      <c r="J267" s="43" t="n">
        <v>0</v>
      </c>
      <c r="K267" s="43" t="n">
        <v>0</v>
      </c>
      <c r="L267" s="43" t="n">
        <v>20</v>
      </c>
      <c r="M267" s="43" t="n">
        <v>0</v>
      </c>
      <c r="N267" s="43" t="n">
        <v>0</v>
      </c>
      <c r="O267" s="43" t="n">
        <v>0</v>
      </c>
      <c r="P267" s="43" t="n">
        <v>10</v>
      </c>
      <c r="Q267" s="43" t="n">
        <v>0</v>
      </c>
      <c r="R267" s="43" t="n">
        <v>0</v>
      </c>
      <c r="S267" s="43" t="n">
        <v>0</v>
      </c>
      <c r="T267" s="43" t="n">
        <v>0</v>
      </c>
      <c r="U267" s="42" t="n">
        <f aca="false">SUM(I267:T267)</f>
        <v>30</v>
      </c>
    </row>
    <row r="268" customFormat="false" ht="15" hidden="false" customHeight="false" outlineLevel="0" collapsed="false">
      <c r="A268" s="40" t="s">
        <v>824</v>
      </c>
      <c r="B268" s="40" t="s">
        <v>124</v>
      </c>
      <c r="C268" s="40" t="s">
        <v>38</v>
      </c>
      <c r="D268" s="40" t="s">
        <v>5</v>
      </c>
      <c r="E268" s="40" t="s">
        <v>374</v>
      </c>
      <c r="F268" s="40" t="s">
        <v>125</v>
      </c>
      <c r="G268" s="40" t="s">
        <v>825</v>
      </c>
      <c r="H268" s="40" t="s">
        <v>44</v>
      </c>
      <c r="I268" s="43" t="n">
        <v>0</v>
      </c>
      <c r="J268" s="43" t="n">
        <v>0</v>
      </c>
      <c r="K268" s="43" t="n">
        <v>0</v>
      </c>
      <c r="L268" s="43" t="n">
        <v>10</v>
      </c>
      <c r="M268" s="43" t="n">
        <v>0</v>
      </c>
      <c r="N268" s="43" t="n">
        <v>0</v>
      </c>
      <c r="O268" s="43" t="n">
        <v>0</v>
      </c>
      <c r="P268" s="43" t="n">
        <v>0</v>
      </c>
      <c r="Q268" s="43" t="n">
        <v>0</v>
      </c>
      <c r="R268" s="43" t="n">
        <v>0</v>
      </c>
      <c r="S268" s="43" t="n">
        <v>0</v>
      </c>
      <c r="T268" s="43" t="n">
        <v>0</v>
      </c>
      <c r="U268" s="42" t="n">
        <f aca="false">SUM(I268:T268)</f>
        <v>10</v>
      </c>
    </row>
    <row r="269" customFormat="false" ht="15" hidden="false" customHeight="false" outlineLevel="0" collapsed="false">
      <c r="A269" s="40" t="s">
        <v>826</v>
      </c>
      <c r="B269" s="40" t="s">
        <v>124</v>
      </c>
      <c r="C269" s="40" t="s">
        <v>38</v>
      </c>
      <c r="D269" s="40" t="s">
        <v>5</v>
      </c>
      <c r="E269" s="40" t="s">
        <v>374</v>
      </c>
      <c r="F269" s="40" t="s">
        <v>125</v>
      </c>
      <c r="G269" s="40" t="s">
        <v>407</v>
      </c>
      <c r="H269" s="40" t="s">
        <v>44</v>
      </c>
      <c r="I269" s="43" t="n">
        <v>0</v>
      </c>
      <c r="J269" s="43" t="n">
        <v>0</v>
      </c>
      <c r="K269" s="43" t="n">
        <v>0</v>
      </c>
      <c r="L269" s="43" t="n">
        <v>0</v>
      </c>
      <c r="M269" s="43" t="n">
        <v>0</v>
      </c>
      <c r="N269" s="43" t="n">
        <v>0</v>
      </c>
      <c r="O269" s="43" t="n">
        <v>0</v>
      </c>
      <c r="P269" s="43" t="n">
        <v>9</v>
      </c>
      <c r="Q269" s="43" t="n">
        <v>0</v>
      </c>
      <c r="R269" s="43" t="n">
        <v>0</v>
      </c>
      <c r="S269" s="43" t="n">
        <v>0</v>
      </c>
      <c r="T269" s="43" t="n">
        <v>0</v>
      </c>
      <c r="U269" s="42" t="n">
        <f aca="false">SUM(I269:T269)</f>
        <v>9</v>
      </c>
    </row>
    <row r="270" customFormat="false" ht="15" hidden="false" customHeight="false" outlineLevel="0" collapsed="false">
      <c r="A270" s="40" t="s">
        <v>827</v>
      </c>
      <c r="B270" s="40" t="s">
        <v>124</v>
      </c>
      <c r="C270" s="40" t="s">
        <v>38</v>
      </c>
      <c r="D270" s="40" t="s">
        <v>5</v>
      </c>
      <c r="E270" s="40" t="s">
        <v>374</v>
      </c>
      <c r="F270" s="40" t="s">
        <v>125</v>
      </c>
      <c r="G270" s="40" t="s">
        <v>411</v>
      </c>
      <c r="H270" s="40" t="s">
        <v>44</v>
      </c>
      <c r="I270" s="43" t="n">
        <v>0</v>
      </c>
      <c r="J270" s="43" t="n">
        <v>0</v>
      </c>
      <c r="K270" s="43" t="n">
        <v>0</v>
      </c>
      <c r="L270" s="43" t="n">
        <v>0</v>
      </c>
      <c r="M270" s="43" t="n">
        <v>0</v>
      </c>
      <c r="N270" s="43" t="n">
        <v>0</v>
      </c>
      <c r="O270" s="43" t="n">
        <v>0</v>
      </c>
      <c r="P270" s="43" t="n">
        <v>6</v>
      </c>
      <c r="Q270" s="43" t="n">
        <v>0</v>
      </c>
      <c r="R270" s="43" t="n">
        <v>0</v>
      </c>
      <c r="S270" s="43" t="n">
        <v>0</v>
      </c>
      <c r="T270" s="43" t="n">
        <v>0</v>
      </c>
      <c r="U270" s="42" t="n">
        <f aca="false">SUM(I270:T270)</f>
        <v>6</v>
      </c>
    </row>
    <row r="271" customFormat="false" ht="15" hidden="false" customHeight="false" outlineLevel="0" collapsed="false">
      <c r="A271" s="40" t="s">
        <v>828</v>
      </c>
      <c r="B271" s="40" t="s">
        <v>127</v>
      </c>
      <c r="C271" s="40" t="s">
        <v>38</v>
      </c>
      <c r="D271" s="40" t="s">
        <v>5</v>
      </c>
      <c r="E271" s="40" t="s">
        <v>374</v>
      </c>
      <c r="F271" s="40" t="s">
        <v>128</v>
      </c>
      <c r="G271" s="40" t="s">
        <v>829</v>
      </c>
      <c r="H271" s="40" t="s">
        <v>44</v>
      </c>
      <c r="I271" s="43" t="n">
        <v>8</v>
      </c>
      <c r="J271" s="43" t="n">
        <v>0</v>
      </c>
      <c r="K271" s="43" t="n">
        <v>0</v>
      </c>
      <c r="L271" s="43" t="n">
        <v>0</v>
      </c>
      <c r="M271" s="43" t="n">
        <v>0</v>
      </c>
      <c r="N271" s="43" t="n">
        <v>0</v>
      </c>
      <c r="O271" s="43" t="n">
        <v>0</v>
      </c>
      <c r="P271" s="43" t="n">
        <v>0</v>
      </c>
      <c r="Q271" s="43" t="n">
        <v>0</v>
      </c>
      <c r="R271" s="43" t="n">
        <v>12</v>
      </c>
      <c r="S271" s="43" t="n">
        <v>0</v>
      </c>
      <c r="T271" s="43" t="n">
        <v>0</v>
      </c>
      <c r="U271" s="42" t="n">
        <f aca="false">SUM(I271:T271)</f>
        <v>20</v>
      </c>
    </row>
    <row r="272" customFormat="false" ht="15" hidden="false" customHeight="false" outlineLevel="0" collapsed="false">
      <c r="A272" s="40" t="s">
        <v>830</v>
      </c>
      <c r="B272" s="40" t="s">
        <v>127</v>
      </c>
      <c r="C272" s="40" t="s">
        <v>38</v>
      </c>
      <c r="D272" s="40" t="s">
        <v>5</v>
      </c>
      <c r="E272" s="40" t="s">
        <v>374</v>
      </c>
      <c r="F272" s="40" t="s">
        <v>128</v>
      </c>
      <c r="G272" s="40" t="s">
        <v>831</v>
      </c>
      <c r="H272" s="40" t="s">
        <v>44</v>
      </c>
      <c r="I272" s="43" t="n">
        <v>0</v>
      </c>
      <c r="J272" s="43" t="n">
        <v>0</v>
      </c>
      <c r="K272" s="43" t="n">
        <v>0</v>
      </c>
      <c r="L272" s="43" t="n">
        <v>0</v>
      </c>
      <c r="M272" s="43" t="n">
        <v>0</v>
      </c>
      <c r="N272" s="43" t="n">
        <v>0</v>
      </c>
      <c r="O272" s="43" t="n">
        <v>0</v>
      </c>
      <c r="P272" s="43" t="n">
        <v>16</v>
      </c>
      <c r="Q272" s="43" t="n">
        <v>0</v>
      </c>
      <c r="R272" s="43" t="n">
        <v>0</v>
      </c>
      <c r="S272" s="43" t="n">
        <v>0</v>
      </c>
      <c r="T272" s="43" t="n">
        <v>0</v>
      </c>
      <c r="U272" s="42" t="n">
        <f aca="false">SUM(I272:T272)</f>
        <v>16</v>
      </c>
    </row>
    <row r="273" customFormat="false" ht="15" hidden="false" customHeight="false" outlineLevel="0" collapsed="false">
      <c r="A273" s="40" t="s">
        <v>832</v>
      </c>
      <c r="B273" s="40" t="s">
        <v>127</v>
      </c>
      <c r="C273" s="40" t="s">
        <v>38</v>
      </c>
      <c r="D273" s="40" t="s">
        <v>5</v>
      </c>
      <c r="E273" s="40" t="s">
        <v>374</v>
      </c>
      <c r="F273" s="40" t="s">
        <v>128</v>
      </c>
      <c r="G273" s="40" t="s">
        <v>833</v>
      </c>
      <c r="H273" s="40" t="s">
        <v>44</v>
      </c>
      <c r="I273" s="43" t="n">
        <v>0</v>
      </c>
      <c r="J273" s="43" t="n">
        <v>0</v>
      </c>
      <c r="K273" s="43" t="n">
        <v>0</v>
      </c>
      <c r="L273" s="43" t="n">
        <v>0</v>
      </c>
      <c r="M273" s="43" t="n">
        <v>0</v>
      </c>
      <c r="N273" s="43" t="n">
        <v>0</v>
      </c>
      <c r="O273" s="43" t="n">
        <v>0</v>
      </c>
      <c r="P273" s="43" t="n">
        <v>8</v>
      </c>
      <c r="Q273" s="43" t="n">
        <v>0</v>
      </c>
      <c r="R273" s="43" t="n">
        <v>0</v>
      </c>
      <c r="S273" s="43" t="n">
        <v>0</v>
      </c>
      <c r="T273" s="43" t="n">
        <v>16</v>
      </c>
      <c r="U273" s="42" t="n">
        <f aca="false">SUM(I273:T273)</f>
        <v>24</v>
      </c>
    </row>
    <row r="274" customFormat="false" ht="15" hidden="false" customHeight="false" outlineLevel="0" collapsed="false">
      <c r="A274" s="40" t="s">
        <v>834</v>
      </c>
      <c r="B274" s="40" t="s">
        <v>127</v>
      </c>
      <c r="C274" s="40" t="s">
        <v>38</v>
      </c>
      <c r="D274" s="40" t="s">
        <v>5</v>
      </c>
      <c r="E274" s="40" t="s">
        <v>374</v>
      </c>
      <c r="F274" s="40" t="s">
        <v>128</v>
      </c>
      <c r="G274" s="40" t="s">
        <v>835</v>
      </c>
      <c r="H274" s="40" t="s">
        <v>44</v>
      </c>
      <c r="I274" s="43" t="n">
        <v>8</v>
      </c>
      <c r="J274" s="43" t="n">
        <v>0</v>
      </c>
      <c r="K274" s="43" t="n">
        <v>0</v>
      </c>
      <c r="L274" s="43" t="n">
        <v>0</v>
      </c>
      <c r="M274" s="43" t="n">
        <v>0</v>
      </c>
      <c r="N274" s="43" t="n">
        <v>0</v>
      </c>
      <c r="O274" s="43" t="n">
        <v>0</v>
      </c>
      <c r="P274" s="43" t="n">
        <v>0</v>
      </c>
      <c r="Q274" s="43" t="n">
        <v>0</v>
      </c>
      <c r="R274" s="43" t="n">
        <v>12</v>
      </c>
      <c r="S274" s="43" t="n">
        <v>0</v>
      </c>
      <c r="T274" s="43" t="n">
        <v>0</v>
      </c>
      <c r="U274" s="42" t="n">
        <f aca="false">SUM(I274:T274)</f>
        <v>20</v>
      </c>
    </row>
    <row r="275" customFormat="false" ht="15" hidden="false" customHeight="false" outlineLevel="0" collapsed="false">
      <c r="A275" s="40" t="s">
        <v>836</v>
      </c>
      <c r="B275" s="40" t="s">
        <v>127</v>
      </c>
      <c r="C275" s="40" t="s">
        <v>38</v>
      </c>
      <c r="D275" s="40" t="s">
        <v>5</v>
      </c>
      <c r="E275" s="40" t="s">
        <v>374</v>
      </c>
      <c r="F275" s="40" t="s">
        <v>128</v>
      </c>
      <c r="G275" s="40" t="s">
        <v>407</v>
      </c>
      <c r="H275" s="40" t="s">
        <v>44</v>
      </c>
      <c r="I275" s="43" t="n">
        <v>0</v>
      </c>
      <c r="J275" s="43" t="n">
        <v>0</v>
      </c>
      <c r="K275" s="43" t="n">
        <v>0</v>
      </c>
      <c r="L275" s="43" t="n">
        <v>0</v>
      </c>
      <c r="M275" s="43" t="n">
        <v>0</v>
      </c>
      <c r="N275" s="43" t="n">
        <v>0</v>
      </c>
      <c r="O275" s="43" t="n">
        <v>0</v>
      </c>
      <c r="P275" s="43" t="n">
        <v>5</v>
      </c>
      <c r="Q275" s="43" t="n">
        <v>0</v>
      </c>
      <c r="R275" s="43" t="n">
        <v>0</v>
      </c>
      <c r="S275" s="43" t="n">
        <v>0</v>
      </c>
      <c r="T275" s="43" t="n">
        <v>0</v>
      </c>
      <c r="U275" s="42" t="n">
        <f aca="false">SUM(I275:T275)</f>
        <v>5</v>
      </c>
    </row>
    <row r="276" customFormat="false" ht="15" hidden="false" customHeight="false" outlineLevel="0" collapsed="false">
      <c r="A276" s="40" t="s">
        <v>837</v>
      </c>
      <c r="B276" s="40" t="s">
        <v>127</v>
      </c>
      <c r="C276" s="40" t="s">
        <v>38</v>
      </c>
      <c r="D276" s="40" t="s">
        <v>5</v>
      </c>
      <c r="E276" s="40" t="s">
        <v>374</v>
      </c>
      <c r="F276" s="40" t="s">
        <v>128</v>
      </c>
      <c r="G276" s="40" t="s">
        <v>411</v>
      </c>
      <c r="H276" s="40" t="s">
        <v>44</v>
      </c>
      <c r="I276" s="43" t="n">
        <v>0</v>
      </c>
      <c r="J276" s="43" t="n">
        <v>0</v>
      </c>
      <c r="K276" s="43" t="n">
        <v>0</v>
      </c>
      <c r="L276" s="43" t="n">
        <v>0</v>
      </c>
      <c r="M276" s="43" t="n">
        <v>0</v>
      </c>
      <c r="N276" s="43" t="n">
        <v>0</v>
      </c>
      <c r="O276" s="43" t="n">
        <v>0</v>
      </c>
      <c r="P276" s="43" t="n">
        <v>0</v>
      </c>
      <c r="Q276" s="43" t="n">
        <v>0</v>
      </c>
      <c r="R276" s="43" t="n">
        <v>3</v>
      </c>
      <c r="S276" s="43" t="n">
        <v>0</v>
      </c>
      <c r="T276" s="43" t="n">
        <v>0</v>
      </c>
      <c r="U276" s="42" t="n">
        <f aca="false">SUM(I276:T276)</f>
        <v>3</v>
      </c>
    </row>
    <row r="277" customFormat="false" ht="15" hidden="false" customHeight="false" outlineLevel="0" collapsed="false">
      <c r="A277" s="40" t="s">
        <v>838</v>
      </c>
      <c r="B277" s="40" t="s">
        <v>130</v>
      </c>
      <c r="C277" s="40" t="s">
        <v>38</v>
      </c>
      <c r="D277" s="40" t="s">
        <v>5</v>
      </c>
      <c r="E277" s="40" t="s">
        <v>374</v>
      </c>
      <c r="F277" s="40" t="s">
        <v>131</v>
      </c>
      <c r="G277" s="40" t="s">
        <v>839</v>
      </c>
      <c r="H277" s="40" t="s">
        <v>42</v>
      </c>
      <c r="I277" s="43" t="n">
        <v>0</v>
      </c>
      <c r="J277" s="43" t="n">
        <v>12</v>
      </c>
      <c r="K277" s="43" t="n">
        <v>0</v>
      </c>
      <c r="L277" s="43" t="n">
        <v>0</v>
      </c>
      <c r="M277" s="43" t="n">
        <v>0</v>
      </c>
      <c r="N277" s="43" t="n">
        <v>0</v>
      </c>
      <c r="O277" s="43" t="n">
        <v>0</v>
      </c>
      <c r="P277" s="43" t="n">
        <v>0</v>
      </c>
      <c r="Q277" s="43" t="n">
        <v>0</v>
      </c>
      <c r="R277" s="43" t="n">
        <v>0</v>
      </c>
      <c r="S277" s="43" t="n">
        <v>0</v>
      </c>
      <c r="T277" s="43" t="n">
        <v>0</v>
      </c>
      <c r="U277" s="42" t="n">
        <f aca="false">SUM(I277:T277)</f>
        <v>12</v>
      </c>
    </row>
    <row r="278" customFormat="false" ht="23.85" hidden="false" customHeight="false" outlineLevel="0" collapsed="false">
      <c r="A278" s="40" t="s">
        <v>840</v>
      </c>
      <c r="B278" s="40" t="s">
        <v>130</v>
      </c>
      <c r="C278" s="40" t="s">
        <v>38</v>
      </c>
      <c r="D278" s="40" t="s">
        <v>5</v>
      </c>
      <c r="E278" s="40" t="s">
        <v>374</v>
      </c>
      <c r="F278" s="40" t="s">
        <v>131</v>
      </c>
      <c r="G278" s="40" t="s">
        <v>841</v>
      </c>
      <c r="H278" s="40" t="s">
        <v>42</v>
      </c>
      <c r="I278" s="43" t="n">
        <v>0</v>
      </c>
      <c r="J278" s="43" t="n">
        <v>0</v>
      </c>
      <c r="K278" s="43" t="n">
        <v>20</v>
      </c>
      <c r="L278" s="43" t="n">
        <v>0</v>
      </c>
      <c r="M278" s="43" t="n">
        <v>0</v>
      </c>
      <c r="N278" s="43" t="n">
        <v>0</v>
      </c>
      <c r="O278" s="43" t="n">
        <v>0</v>
      </c>
      <c r="P278" s="43" t="n">
        <v>0</v>
      </c>
      <c r="Q278" s="43" t="n">
        <v>0</v>
      </c>
      <c r="R278" s="43" t="n">
        <v>0</v>
      </c>
      <c r="S278" s="43" t="n">
        <v>0</v>
      </c>
      <c r="T278" s="43" t="n">
        <v>0</v>
      </c>
      <c r="U278" s="42" t="n">
        <f aca="false">SUM(I278:T278)</f>
        <v>20</v>
      </c>
    </row>
    <row r="279" customFormat="false" ht="15" hidden="false" customHeight="false" outlineLevel="0" collapsed="false">
      <c r="A279" s="40" t="s">
        <v>842</v>
      </c>
      <c r="B279" s="40" t="s">
        <v>130</v>
      </c>
      <c r="C279" s="40" t="s">
        <v>38</v>
      </c>
      <c r="D279" s="40" t="s">
        <v>5</v>
      </c>
      <c r="E279" s="40" t="s">
        <v>374</v>
      </c>
      <c r="F279" s="40" t="s">
        <v>131</v>
      </c>
      <c r="G279" s="40" t="s">
        <v>843</v>
      </c>
      <c r="H279" s="40" t="s">
        <v>42</v>
      </c>
      <c r="I279" s="43" t="n">
        <v>0</v>
      </c>
      <c r="J279" s="43" t="n">
        <v>0</v>
      </c>
      <c r="K279" s="43" t="n">
        <v>12</v>
      </c>
      <c r="L279" s="43" t="n">
        <v>0</v>
      </c>
      <c r="M279" s="43" t="n">
        <v>0</v>
      </c>
      <c r="N279" s="43" t="n">
        <v>0</v>
      </c>
      <c r="O279" s="43" t="n">
        <v>0</v>
      </c>
      <c r="P279" s="43" t="n">
        <v>0</v>
      </c>
      <c r="Q279" s="43" t="n">
        <v>0</v>
      </c>
      <c r="R279" s="43" t="n">
        <v>0</v>
      </c>
      <c r="S279" s="43" t="n">
        <v>0</v>
      </c>
      <c r="T279" s="43" t="n">
        <v>0</v>
      </c>
      <c r="U279" s="42" t="n">
        <f aca="false">SUM(I279:T279)</f>
        <v>12</v>
      </c>
    </row>
    <row r="280" customFormat="false" ht="15" hidden="false" customHeight="false" outlineLevel="0" collapsed="false">
      <c r="A280" s="40" t="s">
        <v>844</v>
      </c>
      <c r="B280" s="40" t="s">
        <v>130</v>
      </c>
      <c r="C280" s="40" t="s">
        <v>38</v>
      </c>
      <c r="D280" s="40" t="s">
        <v>5</v>
      </c>
      <c r="E280" s="40" t="s">
        <v>374</v>
      </c>
      <c r="F280" s="40" t="s">
        <v>131</v>
      </c>
      <c r="G280" s="40" t="s">
        <v>845</v>
      </c>
      <c r="H280" s="40" t="s">
        <v>42</v>
      </c>
      <c r="I280" s="43" t="n">
        <v>0</v>
      </c>
      <c r="J280" s="43" t="n">
        <v>0</v>
      </c>
      <c r="K280" s="43" t="n">
        <v>8</v>
      </c>
      <c r="L280" s="43" t="n">
        <v>12</v>
      </c>
      <c r="M280" s="43" t="n">
        <v>0</v>
      </c>
      <c r="N280" s="43" t="n">
        <v>0</v>
      </c>
      <c r="O280" s="43" t="n">
        <v>0</v>
      </c>
      <c r="P280" s="43" t="n">
        <v>0</v>
      </c>
      <c r="Q280" s="43" t="n">
        <v>0</v>
      </c>
      <c r="R280" s="43" t="n">
        <v>0</v>
      </c>
      <c r="S280" s="43" t="n">
        <v>0</v>
      </c>
      <c r="T280" s="43" t="n">
        <v>0</v>
      </c>
      <c r="U280" s="42" t="n">
        <f aca="false">SUM(I280:T280)</f>
        <v>20</v>
      </c>
    </row>
    <row r="281" customFormat="false" ht="15" hidden="false" customHeight="false" outlineLevel="0" collapsed="false">
      <c r="A281" s="40" t="s">
        <v>846</v>
      </c>
      <c r="B281" s="40" t="s">
        <v>130</v>
      </c>
      <c r="C281" s="40" t="s">
        <v>38</v>
      </c>
      <c r="D281" s="40" t="s">
        <v>5</v>
      </c>
      <c r="E281" s="40" t="s">
        <v>374</v>
      </c>
      <c r="F281" s="40" t="s">
        <v>131</v>
      </c>
      <c r="G281" s="40" t="s">
        <v>847</v>
      </c>
      <c r="H281" s="40" t="s">
        <v>42</v>
      </c>
      <c r="I281" s="43" t="n">
        <v>0</v>
      </c>
      <c r="J281" s="43" t="n">
        <v>4</v>
      </c>
      <c r="K281" s="43" t="n">
        <v>8</v>
      </c>
      <c r="L281" s="43" t="n">
        <v>4</v>
      </c>
      <c r="M281" s="43" t="n">
        <v>0</v>
      </c>
      <c r="N281" s="43" t="n">
        <v>0</v>
      </c>
      <c r="O281" s="43" t="n">
        <v>0</v>
      </c>
      <c r="P281" s="43" t="n">
        <v>0</v>
      </c>
      <c r="Q281" s="43" t="n">
        <v>0</v>
      </c>
      <c r="R281" s="43" t="n">
        <v>0</v>
      </c>
      <c r="S281" s="43" t="n">
        <v>0</v>
      </c>
      <c r="T281" s="43" t="n">
        <v>0</v>
      </c>
      <c r="U281" s="42" t="n">
        <f aca="false">SUM(I281:T281)</f>
        <v>16</v>
      </c>
    </row>
    <row r="282" customFormat="false" ht="15" hidden="false" customHeight="false" outlineLevel="0" collapsed="false">
      <c r="A282" s="40" t="s">
        <v>848</v>
      </c>
      <c r="B282" s="40" t="s">
        <v>130</v>
      </c>
      <c r="C282" s="40" t="s">
        <v>38</v>
      </c>
      <c r="D282" s="40" t="s">
        <v>5</v>
      </c>
      <c r="E282" s="40" t="s">
        <v>374</v>
      </c>
      <c r="F282" s="40" t="s">
        <v>131</v>
      </c>
      <c r="G282" s="40" t="s">
        <v>407</v>
      </c>
      <c r="H282" s="40" t="s">
        <v>42</v>
      </c>
      <c r="I282" s="43" t="n">
        <v>0</v>
      </c>
      <c r="J282" s="43" t="n">
        <v>5</v>
      </c>
      <c r="K282" s="43" t="n">
        <v>0</v>
      </c>
      <c r="L282" s="43" t="n">
        <v>0</v>
      </c>
      <c r="M282" s="43" t="n">
        <v>0</v>
      </c>
      <c r="N282" s="43" t="n">
        <v>0</v>
      </c>
      <c r="O282" s="43" t="n">
        <v>0</v>
      </c>
      <c r="P282" s="43" t="n">
        <v>0</v>
      </c>
      <c r="Q282" s="43" t="n">
        <v>0</v>
      </c>
      <c r="R282" s="43" t="n">
        <v>0</v>
      </c>
      <c r="S282" s="43" t="n">
        <v>0</v>
      </c>
      <c r="T282" s="43" t="n">
        <v>0</v>
      </c>
      <c r="U282" s="42" t="n">
        <f aca="false">SUM(I282:T282)</f>
        <v>5</v>
      </c>
    </row>
    <row r="283" customFormat="false" ht="15" hidden="false" customHeight="false" outlineLevel="0" collapsed="false">
      <c r="A283" s="40" t="s">
        <v>849</v>
      </c>
      <c r="B283" s="40" t="s">
        <v>130</v>
      </c>
      <c r="C283" s="40" t="s">
        <v>38</v>
      </c>
      <c r="D283" s="40" t="s">
        <v>5</v>
      </c>
      <c r="E283" s="40" t="s">
        <v>374</v>
      </c>
      <c r="F283" s="40" t="s">
        <v>131</v>
      </c>
      <c r="G283" s="40" t="s">
        <v>409</v>
      </c>
      <c r="H283" s="40" t="s">
        <v>42</v>
      </c>
      <c r="I283" s="43" t="n">
        <v>0</v>
      </c>
      <c r="J283" s="43" t="n">
        <v>0</v>
      </c>
      <c r="K283" s="43" t="n">
        <v>3</v>
      </c>
      <c r="L283" s="43" t="n">
        <v>0</v>
      </c>
      <c r="M283" s="43" t="n">
        <v>0</v>
      </c>
      <c r="N283" s="43" t="n">
        <v>0</v>
      </c>
      <c r="O283" s="43" t="n">
        <v>0</v>
      </c>
      <c r="P283" s="43" t="n">
        <v>0</v>
      </c>
      <c r="Q283" s="43" t="n">
        <v>0</v>
      </c>
      <c r="R283" s="43" t="n">
        <v>0</v>
      </c>
      <c r="S283" s="43" t="n">
        <v>0</v>
      </c>
      <c r="T283" s="43" t="n">
        <v>0</v>
      </c>
      <c r="U283" s="42" t="n">
        <f aca="false">SUM(I283:T283)</f>
        <v>3</v>
      </c>
    </row>
    <row r="284" customFormat="false" ht="15" hidden="false" customHeight="false" outlineLevel="0" collapsed="false">
      <c r="A284" s="40" t="s">
        <v>850</v>
      </c>
      <c r="B284" s="40" t="s">
        <v>130</v>
      </c>
      <c r="C284" s="40" t="s">
        <v>38</v>
      </c>
      <c r="D284" s="40" t="s">
        <v>5</v>
      </c>
      <c r="E284" s="40" t="s">
        <v>374</v>
      </c>
      <c r="F284" s="40" t="s">
        <v>131</v>
      </c>
      <c r="G284" s="40" t="s">
        <v>411</v>
      </c>
      <c r="H284" s="40" t="s">
        <v>42</v>
      </c>
      <c r="I284" s="43" t="n">
        <v>0</v>
      </c>
      <c r="J284" s="43" t="n">
        <v>0</v>
      </c>
      <c r="K284" s="43" t="n">
        <v>3</v>
      </c>
      <c r="L284" s="43" t="n">
        <v>0</v>
      </c>
      <c r="M284" s="43" t="n">
        <v>0</v>
      </c>
      <c r="N284" s="43" t="n">
        <v>0</v>
      </c>
      <c r="O284" s="43" t="n">
        <v>0</v>
      </c>
      <c r="P284" s="43" t="n">
        <v>0</v>
      </c>
      <c r="Q284" s="43" t="n">
        <v>0</v>
      </c>
      <c r="R284" s="43" t="n">
        <v>0</v>
      </c>
      <c r="S284" s="43" t="n">
        <v>0</v>
      </c>
      <c r="T284" s="43" t="n">
        <v>0</v>
      </c>
      <c r="U284" s="42" t="n">
        <f aca="false">SUM(I284:T284)</f>
        <v>3</v>
      </c>
    </row>
    <row r="285" customFormat="false" ht="15" hidden="false" customHeight="false" outlineLevel="0" collapsed="false">
      <c r="A285" s="40" t="s">
        <v>851</v>
      </c>
      <c r="B285" s="40" t="s">
        <v>130</v>
      </c>
      <c r="C285" s="40" t="s">
        <v>38</v>
      </c>
      <c r="D285" s="40" t="s">
        <v>5</v>
      </c>
      <c r="E285" s="40" t="s">
        <v>374</v>
      </c>
      <c r="F285" s="40" t="s">
        <v>131</v>
      </c>
      <c r="G285" s="40" t="s">
        <v>413</v>
      </c>
      <c r="H285" s="40" t="s">
        <v>42</v>
      </c>
      <c r="I285" s="43" t="n">
        <v>0</v>
      </c>
      <c r="J285" s="43" t="n">
        <v>0</v>
      </c>
      <c r="K285" s="43" t="n">
        <v>7</v>
      </c>
      <c r="L285" s="43" t="n">
        <v>0</v>
      </c>
      <c r="M285" s="43" t="n">
        <v>0</v>
      </c>
      <c r="N285" s="43" t="n">
        <v>0</v>
      </c>
      <c r="O285" s="43" t="n">
        <v>0</v>
      </c>
      <c r="P285" s="43" t="n">
        <v>0</v>
      </c>
      <c r="Q285" s="43" t="n">
        <v>0</v>
      </c>
      <c r="R285" s="43" t="n">
        <v>0</v>
      </c>
      <c r="S285" s="43" t="n">
        <v>0</v>
      </c>
      <c r="T285" s="43" t="n">
        <v>0</v>
      </c>
      <c r="U285" s="42" t="n">
        <f aca="false">SUM(I285:T285)</f>
        <v>7</v>
      </c>
    </row>
    <row r="286" customFormat="false" ht="15" hidden="false" customHeight="false" outlineLevel="0" collapsed="false">
      <c r="A286" s="40" t="s">
        <v>852</v>
      </c>
      <c r="B286" s="40" t="s">
        <v>133</v>
      </c>
      <c r="C286" s="40" t="s">
        <v>38</v>
      </c>
      <c r="D286" s="40" t="s">
        <v>5</v>
      </c>
      <c r="E286" s="40" t="s">
        <v>374</v>
      </c>
      <c r="F286" s="40" t="s">
        <v>134</v>
      </c>
      <c r="G286" s="40" t="s">
        <v>853</v>
      </c>
      <c r="H286" s="40" t="s">
        <v>42</v>
      </c>
      <c r="I286" s="43" t="n">
        <v>0</v>
      </c>
      <c r="J286" s="43" t="n">
        <v>12</v>
      </c>
      <c r="K286" s="43" t="n">
        <v>0</v>
      </c>
      <c r="L286" s="43" t="n">
        <v>0</v>
      </c>
      <c r="M286" s="43" t="n">
        <v>0</v>
      </c>
      <c r="N286" s="43" t="n">
        <v>0</v>
      </c>
      <c r="O286" s="43" t="n">
        <v>8</v>
      </c>
      <c r="P286" s="43" t="n">
        <v>0</v>
      </c>
      <c r="Q286" s="43" t="n">
        <v>0</v>
      </c>
      <c r="R286" s="43" t="n">
        <v>0</v>
      </c>
      <c r="S286" s="43" t="n">
        <v>0</v>
      </c>
      <c r="T286" s="43" t="n">
        <v>0</v>
      </c>
      <c r="U286" s="42" t="n">
        <f aca="false">SUM(I286:T286)</f>
        <v>20</v>
      </c>
    </row>
    <row r="287" customFormat="false" ht="15" hidden="false" customHeight="false" outlineLevel="0" collapsed="false">
      <c r="A287" s="40" t="s">
        <v>854</v>
      </c>
      <c r="B287" s="40" t="s">
        <v>133</v>
      </c>
      <c r="C287" s="40" t="s">
        <v>38</v>
      </c>
      <c r="D287" s="40" t="s">
        <v>5</v>
      </c>
      <c r="E287" s="40" t="s">
        <v>374</v>
      </c>
      <c r="F287" s="40" t="s">
        <v>134</v>
      </c>
      <c r="G287" s="40" t="s">
        <v>855</v>
      </c>
      <c r="H287" s="40" t="s">
        <v>42</v>
      </c>
      <c r="I287" s="43" t="n">
        <v>0</v>
      </c>
      <c r="J287" s="43" t="n">
        <v>0</v>
      </c>
      <c r="K287" s="43" t="n">
        <v>25</v>
      </c>
      <c r="L287" s="43" t="n">
        <v>0</v>
      </c>
      <c r="M287" s="43" t="n">
        <v>0</v>
      </c>
      <c r="N287" s="43" t="n">
        <v>0</v>
      </c>
      <c r="O287" s="43" t="n">
        <v>0</v>
      </c>
      <c r="P287" s="43" t="n">
        <v>0</v>
      </c>
      <c r="Q287" s="43" t="n">
        <v>0</v>
      </c>
      <c r="R287" s="43" t="n">
        <v>0</v>
      </c>
      <c r="S287" s="43" t="n">
        <v>0</v>
      </c>
      <c r="T287" s="43" t="n">
        <v>0</v>
      </c>
      <c r="U287" s="42" t="n">
        <f aca="false">SUM(I287:T287)</f>
        <v>25</v>
      </c>
    </row>
    <row r="288" customFormat="false" ht="15" hidden="false" customHeight="false" outlineLevel="0" collapsed="false">
      <c r="A288" s="40" t="s">
        <v>856</v>
      </c>
      <c r="B288" s="40" t="s">
        <v>133</v>
      </c>
      <c r="C288" s="40" t="s">
        <v>38</v>
      </c>
      <c r="D288" s="40" t="s">
        <v>5</v>
      </c>
      <c r="E288" s="40" t="s">
        <v>374</v>
      </c>
      <c r="F288" s="40" t="s">
        <v>134</v>
      </c>
      <c r="G288" s="40" t="s">
        <v>857</v>
      </c>
      <c r="H288" s="40" t="s">
        <v>42</v>
      </c>
      <c r="I288" s="43" t="n">
        <v>0</v>
      </c>
      <c r="J288" s="43" t="n">
        <v>0</v>
      </c>
      <c r="K288" s="43" t="n">
        <v>0</v>
      </c>
      <c r="L288" s="43" t="n">
        <v>0</v>
      </c>
      <c r="M288" s="43" t="n">
        <v>0</v>
      </c>
      <c r="N288" s="43" t="n">
        <v>0</v>
      </c>
      <c r="O288" s="43" t="n">
        <v>16</v>
      </c>
      <c r="P288" s="43" t="n">
        <v>0</v>
      </c>
      <c r="Q288" s="43" t="n">
        <v>0</v>
      </c>
      <c r="R288" s="43" t="n">
        <v>0</v>
      </c>
      <c r="S288" s="43" t="n">
        <v>0</v>
      </c>
      <c r="T288" s="43" t="n">
        <v>0</v>
      </c>
      <c r="U288" s="42" t="n">
        <f aca="false">SUM(I288:T288)</f>
        <v>16</v>
      </c>
    </row>
    <row r="289" customFormat="false" ht="15" hidden="false" customHeight="false" outlineLevel="0" collapsed="false">
      <c r="A289" s="40" t="s">
        <v>858</v>
      </c>
      <c r="B289" s="40" t="s">
        <v>133</v>
      </c>
      <c r="C289" s="40" t="s">
        <v>38</v>
      </c>
      <c r="D289" s="40" t="s">
        <v>5</v>
      </c>
      <c r="E289" s="40" t="s">
        <v>374</v>
      </c>
      <c r="F289" s="40" t="s">
        <v>134</v>
      </c>
      <c r="G289" s="40" t="s">
        <v>859</v>
      </c>
      <c r="H289" s="40" t="s">
        <v>42</v>
      </c>
      <c r="I289" s="43" t="n">
        <v>0</v>
      </c>
      <c r="J289" s="43" t="n">
        <v>4</v>
      </c>
      <c r="K289" s="43" t="n">
        <v>16</v>
      </c>
      <c r="L289" s="43" t="n">
        <v>0</v>
      </c>
      <c r="M289" s="43" t="n">
        <v>0</v>
      </c>
      <c r="N289" s="43" t="n">
        <v>0</v>
      </c>
      <c r="O289" s="43" t="n">
        <v>0</v>
      </c>
      <c r="P289" s="43" t="n">
        <v>0</v>
      </c>
      <c r="Q289" s="43" t="n">
        <v>0</v>
      </c>
      <c r="R289" s="43" t="n">
        <v>0</v>
      </c>
      <c r="S289" s="43" t="n">
        <v>0</v>
      </c>
      <c r="T289" s="43" t="n">
        <v>0</v>
      </c>
      <c r="U289" s="42" t="n">
        <f aca="false">SUM(I289:T289)</f>
        <v>20</v>
      </c>
    </row>
    <row r="290" customFormat="false" ht="15" hidden="false" customHeight="false" outlineLevel="0" collapsed="false">
      <c r="A290" s="40" t="s">
        <v>860</v>
      </c>
      <c r="B290" s="40" t="s">
        <v>133</v>
      </c>
      <c r="C290" s="40" t="s">
        <v>38</v>
      </c>
      <c r="D290" s="40" t="s">
        <v>5</v>
      </c>
      <c r="E290" s="40" t="s">
        <v>374</v>
      </c>
      <c r="F290" s="40" t="s">
        <v>134</v>
      </c>
      <c r="G290" s="40" t="s">
        <v>861</v>
      </c>
      <c r="H290" s="40" t="s">
        <v>42</v>
      </c>
      <c r="I290" s="43" t="n">
        <v>0</v>
      </c>
      <c r="J290" s="43" t="n">
        <v>0</v>
      </c>
      <c r="K290" s="43" t="n">
        <v>8</v>
      </c>
      <c r="L290" s="43" t="n">
        <v>0</v>
      </c>
      <c r="M290" s="43" t="n">
        <v>0</v>
      </c>
      <c r="N290" s="43" t="n">
        <v>0</v>
      </c>
      <c r="O290" s="43" t="n">
        <v>8</v>
      </c>
      <c r="P290" s="43" t="n">
        <v>0</v>
      </c>
      <c r="Q290" s="43" t="n">
        <v>0</v>
      </c>
      <c r="R290" s="43" t="n">
        <v>0</v>
      </c>
      <c r="S290" s="43" t="n">
        <v>0</v>
      </c>
      <c r="T290" s="43" t="n">
        <v>0</v>
      </c>
      <c r="U290" s="42" t="n">
        <f aca="false">SUM(I290:T290)</f>
        <v>16</v>
      </c>
    </row>
    <row r="291" customFormat="false" ht="15" hidden="false" customHeight="false" outlineLevel="0" collapsed="false">
      <c r="A291" s="40" t="s">
        <v>862</v>
      </c>
      <c r="B291" s="40" t="s">
        <v>133</v>
      </c>
      <c r="C291" s="40" t="s">
        <v>38</v>
      </c>
      <c r="D291" s="40" t="s">
        <v>5</v>
      </c>
      <c r="E291" s="40" t="s">
        <v>374</v>
      </c>
      <c r="F291" s="40" t="s">
        <v>134</v>
      </c>
      <c r="G291" s="40" t="s">
        <v>407</v>
      </c>
      <c r="H291" s="40" t="s">
        <v>42</v>
      </c>
      <c r="I291" s="43" t="n">
        <v>0</v>
      </c>
      <c r="J291" s="43" t="n">
        <v>6</v>
      </c>
      <c r="K291" s="43" t="n">
        <v>0</v>
      </c>
      <c r="L291" s="43" t="n">
        <v>0</v>
      </c>
      <c r="M291" s="43" t="n">
        <v>0</v>
      </c>
      <c r="N291" s="43" t="n">
        <v>0</v>
      </c>
      <c r="O291" s="43" t="n">
        <v>0</v>
      </c>
      <c r="P291" s="43" t="n">
        <v>0</v>
      </c>
      <c r="Q291" s="43" t="n">
        <v>0</v>
      </c>
      <c r="R291" s="43" t="n">
        <v>0</v>
      </c>
      <c r="S291" s="43" t="n">
        <v>0</v>
      </c>
      <c r="T291" s="43" t="n">
        <v>0</v>
      </c>
      <c r="U291" s="42" t="n">
        <f aca="false">SUM(I291:T291)</f>
        <v>6</v>
      </c>
    </row>
    <row r="292" customFormat="false" ht="15" hidden="false" customHeight="false" outlineLevel="0" collapsed="false">
      <c r="A292" s="40" t="s">
        <v>863</v>
      </c>
      <c r="B292" s="40" t="s">
        <v>133</v>
      </c>
      <c r="C292" s="40" t="s">
        <v>38</v>
      </c>
      <c r="D292" s="40" t="s">
        <v>5</v>
      </c>
      <c r="E292" s="40" t="s">
        <v>374</v>
      </c>
      <c r="F292" s="40" t="s">
        <v>134</v>
      </c>
      <c r="G292" s="40" t="s">
        <v>409</v>
      </c>
      <c r="H292" s="40" t="s">
        <v>42</v>
      </c>
      <c r="I292" s="43" t="n">
        <v>0</v>
      </c>
      <c r="J292" s="43" t="n">
        <v>0</v>
      </c>
      <c r="K292" s="43" t="n">
        <v>4</v>
      </c>
      <c r="L292" s="43" t="n">
        <v>0</v>
      </c>
      <c r="M292" s="43" t="n">
        <v>0</v>
      </c>
      <c r="N292" s="43" t="n">
        <v>0</v>
      </c>
      <c r="O292" s="43" t="n">
        <v>0</v>
      </c>
      <c r="P292" s="43" t="n">
        <v>0</v>
      </c>
      <c r="Q292" s="43" t="n">
        <v>0</v>
      </c>
      <c r="R292" s="43" t="n">
        <v>0</v>
      </c>
      <c r="S292" s="43" t="n">
        <v>0</v>
      </c>
      <c r="T292" s="43" t="n">
        <v>0</v>
      </c>
      <c r="U292" s="42" t="n">
        <f aca="false">SUM(I292:T292)</f>
        <v>4</v>
      </c>
    </row>
    <row r="293" customFormat="false" ht="15" hidden="false" customHeight="false" outlineLevel="0" collapsed="false">
      <c r="A293" s="40" t="s">
        <v>864</v>
      </c>
      <c r="B293" s="40" t="s">
        <v>133</v>
      </c>
      <c r="C293" s="40" t="s">
        <v>38</v>
      </c>
      <c r="D293" s="40" t="s">
        <v>5</v>
      </c>
      <c r="E293" s="40" t="s">
        <v>374</v>
      </c>
      <c r="F293" s="40" t="s">
        <v>134</v>
      </c>
      <c r="G293" s="40" t="s">
        <v>411</v>
      </c>
      <c r="H293" s="40" t="s">
        <v>42</v>
      </c>
      <c r="I293" s="43" t="n">
        <v>0</v>
      </c>
      <c r="J293" s="43" t="n">
        <v>0</v>
      </c>
      <c r="K293" s="43" t="n">
        <v>4</v>
      </c>
      <c r="L293" s="43" t="n">
        <v>0</v>
      </c>
      <c r="M293" s="43" t="n">
        <v>0</v>
      </c>
      <c r="N293" s="43" t="n">
        <v>0</v>
      </c>
      <c r="O293" s="43" t="n">
        <v>0</v>
      </c>
      <c r="P293" s="43" t="n">
        <v>0</v>
      </c>
      <c r="Q293" s="43" t="n">
        <v>0</v>
      </c>
      <c r="R293" s="43" t="n">
        <v>0</v>
      </c>
      <c r="S293" s="43" t="n">
        <v>0</v>
      </c>
      <c r="T293" s="43" t="n">
        <v>0</v>
      </c>
      <c r="U293" s="42" t="n">
        <f aca="false">SUM(I293:T293)</f>
        <v>4</v>
      </c>
    </row>
    <row r="294" customFormat="false" ht="15" hidden="false" customHeight="false" outlineLevel="0" collapsed="false">
      <c r="A294" s="40" t="s">
        <v>865</v>
      </c>
      <c r="B294" s="40" t="s">
        <v>133</v>
      </c>
      <c r="C294" s="40" t="s">
        <v>38</v>
      </c>
      <c r="D294" s="40" t="s">
        <v>5</v>
      </c>
      <c r="E294" s="40" t="s">
        <v>374</v>
      </c>
      <c r="F294" s="40" t="s">
        <v>134</v>
      </c>
      <c r="G294" s="40" t="s">
        <v>413</v>
      </c>
      <c r="H294" s="40" t="s">
        <v>42</v>
      </c>
      <c r="I294" s="43" t="n">
        <v>0</v>
      </c>
      <c r="J294" s="43" t="n">
        <v>0</v>
      </c>
      <c r="K294" s="43" t="n">
        <v>8</v>
      </c>
      <c r="L294" s="43" t="n">
        <v>0</v>
      </c>
      <c r="M294" s="43" t="n">
        <v>0</v>
      </c>
      <c r="N294" s="43" t="n">
        <v>0</v>
      </c>
      <c r="O294" s="43" t="n">
        <v>0</v>
      </c>
      <c r="P294" s="43" t="n">
        <v>0</v>
      </c>
      <c r="Q294" s="43" t="n">
        <v>0</v>
      </c>
      <c r="R294" s="43" t="n">
        <v>0</v>
      </c>
      <c r="S294" s="43" t="n">
        <v>0</v>
      </c>
      <c r="T294" s="43" t="n">
        <v>0</v>
      </c>
      <c r="U294" s="42" t="n">
        <f aca="false">SUM(I294:T294)</f>
        <v>8</v>
      </c>
    </row>
    <row r="295" customFormat="false" ht="15" hidden="false" customHeight="false" outlineLevel="0" collapsed="false">
      <c r="A295" s="40" t="s">
        <v>866</v>
      </c>
      <c r="B295" s="40" t="s">
        <v>136</v>
      </c>
      <c r="C295" s="40" t="s">
        <v>38</v>
      </c>
      <c r="D295" s="40" t="s">
        <v>5</v>
      </c>
      <c r="E295" s="40" t="s">
        <v>374</v>
      </c>
      <c r="F295" s="40" t="s">
        <v>137</v>
      </c>
      <c r="G295" s="40" t="s">
        <v>867</v>
      </c>
      <c r="H295" s="40" t="s">
        <v>44</v>
      </c>
      <c r="I295" s="43" t="n">
        <v>0</v>
      </c>
      <c r="J295" s="43" t="n">
        <v>0</v>
      </c>
      <c r="K295" s="43" t="n">
        <v>0</v>
      </c>
      <c r="L295" s="43" t="n">
        <v>0</v>
      </c>
      <c r="M295" s="43" t="n">
        <v>0</v>
      </c>
      <c r="N295" s="43" t="n">
        <v>0</v>
      </c>
      <c r="O295" s="43" t="n">
        <v>10</v>
      </c>
      <c r="P295" s="43" t="n">
        <v>20</v>
      </c>
      <c r="Q295" s="43" t="n">
        <v>0</v>
      </c>
      <c r="R295" s="43" t="n">
        <v>0</v>
      </c>
      <c r="S295" s="43" t="n">
        <v>0</v>
      </c>
      <c r="T295" s="43" t="n">
        <v>0</v>
      </c>
      <c r="U295" s="42" t="n">
        <f aca="false">SUM(I295:T295)</f>
        <v>30</v>
      </c>
    </row>
    <row r="296" customFormat="false" ht="15" hidden="false" customHeight="false" outlineLevel="0" collapsed="false">
      <c r="A296" s="40" t="s">
        <v>868</v>
      </c>
      <c r="B296" s="40" t="s">
        <v>136</v>
      </c>
      <c r="C296" s="40" t="s">
        <v>38</v>
      </c>
      <c r="D296" s="40" t="s">
        <v>5</v>
      </c>
      <c r="E296" s="40" t="s">
        <v>374</v>
      </c>
      <c r="F296" s="40" t="s">
        <v>137</v>
      </c>
      <c r="G296" s="40" t="s">
        <v>869</v>
      </c>
      <c r="H296" s="40" t="s">
        <v>44</v>
      </c>
      <c r="I296" s="43" t="n">
        <v>0</v>
      </c>
      <c r="J296" s="43" t="n">
        <v>0</v>
      </c>
      <c r="K296" s="43" t="n">
        <v>0</v>
      </c>
      <c r="L296" s="43" t="n">
        <v>0</v>
      </c>
      <c r="M296" s="43" t="n">
        <v>0</v>
      </c>
      <c r="N296" s="43" t="n">
        <v>0</v>
      </c>
      <c r="O296" s="43" t="n">
        <v>31</v>
      </c>
      <c r="P296" s="43" t="n">
        <v>0</v>
      </c>
      <c r="Q296" s="43" t="n">
        <v>0</v>
      </c>
      <c r="R296" s="43" t="n">
        <v>0</v>
      </c>
      <c r="S296" s="43" t="n">
        <v>0</v>
      </c>
      <c r="T296" s="43" t="n">
        <v>0</v>
      </c>
      <c r="U296" s="42" t="n">
        <f aca="false">SUM(I296:T296)</f>
        <v>31</v>
      </c>
    </row>
    <row r="297" customFormat="false" ht="15" hidden="false" customHeight="false" outlineLevel="0" collapsed="false">
      <c r="A297" s="40" t="s">
        <v>870</v>
      </c>
      <c r="B297" s="40" t="s">
        <v>136</v>
      </c>
      <c r="C297" s="40" t="s">
        <v>38</v>
      </c>
      <c r="D297" s="40" t="s">
        <v>5</v>
      </c>
      <c r="E297" s="40" t="s">
        <v>374</v>
      </c>
      <c r="F297" s="40" t="s">
        <v>137</v>
      </c>
      <c r="G297" s="40" t="s">
        <v>871</v>
      </c>
      <c r="H297" s="40" t="s">
        <v>44</v>
      </c>
      <c r="I297" s="43" t="n">
        <v>0</v>
      </c>
      <c r="J297" s="43" t="n">
        <v>0</v>
      </c>
      <c r="K297" s="43" t="n">
        <v>0</v>
      </c>
      <c r="L297" s="43" t="n">
        <v>0</v>
      </c>
      <c r="M297" s="43" t="n">
        <v>0</v>
      </c>
      <c r="N297" s="43" t="n">
        <v>0</v>
      </c>
      <c r="O297" s="43" t="n">
        <v>0</v>
      </c>
      <c r="P297" s="43" t="n">
        <v>41</v>
      </c>
      <c r="Q297" s="43" t="n">
        <v>0</v>
      </c>
      <c r="R297" s="43" t="n">
        <v>0</v>
      </c>
      <c r="S297" s="43" t="n">
        <v>0</v>
      </c>
      <c r="T297" s="43" t="n">
        <v>0</v>
      </c>
      <c r="U297" s="42" t="n">
        <f aca="false">SUM(I297:T297)</f>
        <v>41</v>
      </c>
    </row>
    <row r="298" customFormat="false" ht="15" hidden="false" customHeight="false" outlineLevel="0" collapsed="false">
      <c r="A298" s="40" t="s">
        <v>872</v>
      </c>
      <c r="B298" s="40" t="s">
        <v>136</v>
      </c>
      <c r="C298" s="40" t="s">
        <v>38</v>
      </c>
      <c r="D298" s="40" t="s">
        <v>5</v>
      </c>
      <c r="E298" s="40" t="s">
        <v>374</v>
      </c>
      <c r="F298" s="40" t="s">
        <v>137</v>
      </c>
      <c r="G298" s="40" t="s">
        <v>873</v>
      </c>
      <c r="H298" s="40" t="s">
        <v>44</v>
      </c>
      <c r="I298" s="43" t="n">
        <v>0</v>
      </c>
      <c r="J298" s="43" t="n">
        <v>0</v>
      </c>
      <c r="K298" s="43" t="n">
        <v>0</v>
      </c>
      <c r="L298" s="43" t="n">
        <v>10</v>
      </c>
      <c r="M298" s="43" t="n">
        <v>0</v>
      </c>
      <c r="N298" s="43" t="n">
        <v>0</v>
      </c>
      <c r="O298" s="43" t="n">
        <v>0</v>
      </c>
      <c r="P298" s="43" t="n">
        <v>20</v>
      </c>
      <c r="Q298" s="43" t="n">
        <v>0</v>
      </c>
      <c r="R298" s="43" t="n">
        <v>0</v>
      </c>
      <c r="S298" s="43" t="n">
        <v>0</v>
      </c>
      <c r="T298" s="43" t="n">
        <v>0</v>
      </c>
      <c r="U298" s="42" t="n">
        <f aca="false">SUM(I298:T298)</f>
        <v>30</v>
      </c>
    </row>
    <row r="299" customFormat="false" ht="15" hidden="false" customHeight="false" outlineLevel="0" collapsed="false">
      <c r="A299" s="40" t="s">
        <v>874</v>
      </c>
      <c r="B299" s="40" t="s">
        <v>136</v>
      </c>
      <c r="C299" s="40" t="s">
        <v>38</v>
      </c>
      <c r="D299" s="40" t="s">
        <v>5</v>
      </c>
      <c r="E299" s="40" t="s">
        <v>374</v>
      </c>
      <c r="F299" s="40" t="s">
        <v>137</v>
      </c>
      <c r="G299" s="40" t="s">
        <v>875</v>
      </c>
      <c r="H299" s="40" t="s">
        <v>44</v>
      </c>
      <c r="I299" s="43" t="n">
        <v>0</v>
      </c>
      <c r="J299" s="43" t="n">
        <v>0</v>
      </c>
      <c r="K299" s="43" t="n">
        <v>0</v>
      </c>
      <c r="L299" s="43" t="n">
        <v>10</v>
      </c>
      <c r="M299" s="43" t="n">
        <v>0</v>
      </c>
      <c r="N299" s="43" t="n">
        <v>0</v>
      </c>
      <c r="O299" s="43" t="n">
        <v>0</v>
      </c>
      <c r="P299" s="43" t="n">
        <v>20</v>
      </c>
      <c r="Q299" s="43" t="n">
        <v>0</v>
      </c>
      <c r="R299" s="43" t="n">
        <v>0</v>
      </c>
      <c r="S299" s="43" t="n">
        <v>0</v>
      </c>
      <c r="T299" s="43" t="n">
        <v>0</v>
      </c>
      <c r="U299" s="42" t="n">
        <f aca="false">SUM(I299:T299)</f>
        <v>30</v>
      </c>
    </row>
    <row r="300" customFormat="false" ht="15" hidden="false" customHeight="false" outlineLevel="0" collapsed="false">
      <c r="A300" s="40" t="s">
        <v>876</v>
      </c>
      <c r="B300" s="40" t="s">
        <v>136</v>
      </c>
      <c r="C300" s="40" t="s">
        <v>38</v>
      </c>
      <c r="D300" s="40" t="s">
        <v>5</v>
      </c>
      <c r="E300" s="40" t="s">
        <v>374</v>
      </c>
      <c r="F300" s="40" t="s">
        <v>137</v>
      </c>
      <c r="G300" s="40" t="s">
        <v>407</v>
      </c>
      <c r="H300" s="40" t="s">
        <v>44</v>
      </c>
      <c r="I300" s="43" t="n">
        <v>0</v>
      </c>
      <c r="J300" s="43" t="n">
        <v>0</v>
      </c>
      <c r="K300" s="43" t="n">
        <v>0</v>
      </c>
      <c r="L300" s="43" t="n">
        <v>0</v>
      </c>
      <c r="M300" s="43" t="n">
        <v>0</v>
      </c>
      <c r="N300" s="43" t="n">
        <v>0</v>
      </c>
      <c r="O300" s="43" t="n">
        <v>0</v>
      </c>
      <c r="P300" s="43" t="n">
        <v>10</v>
      </c>
      <c r="Q300" s="43" t="n">
        <v>0</v>
      </c>
      <c r="R300" s="43" t="n">
        <v>0</v>
      </c>
      <c r="S300" s="43" t="n">
        <v>0</v>
      </c>
      <c r="T300" s="43" t="n">
        <v>0</v>
      </c>
      <c r="U300" s="42" t="n">
        <f aca="false">SUM(I300:T300)</f>
        <v>10</v>
      </c>
    </row>
    <row r="301" customFormat="false" ht="15" hidden="false" customHeight="false" outlineLevel="0" collapsed="false">
      <c r="A301" s="40" t="s">
        <v>877</v>
      </c>
      <c r="B301" s="40" t="s">
        <v>136</v>
      </c>
      <c r="C301" s="40" t="s">
        <v>38</v>
      </c>
      <c r="D301" s="40" t="s">
        <v>5</v>
      </c>
      <c r="E301" s="40" t="s">
        <v>374</v>
      </c>
      <c r="F301" s="40" t="s">
        <v>137</v>
      </c>
      <c r="G301" s="40" t="s">
        <v>411</v>
      </c>
      <c r="H301" s="40" t="s">
        <v>44</v>
      </c>
      <c r="I301" s="43" t="n">
        <v>0</v>
      </c>
      <c r="J301" s="43" t="n">
        <v>0</v>
      </c>
      <c r="K301" s="43" t="n">
        <v>0</v>
      </c>
      <c r="L301" s="43" t="n">
        <v>0</v>
      </c>
      <c r="M301" s="43" t="n">
        <v>0</v>
      </c>
      <c r="N301" s="43" t="n">
        <v>0</v>
      </c>
      <c r="O301" s="43" t="n">
        <v>0</v>
      </c>
      <c r="P301" s="43" t="n">
        <v>7</v>
      </c>
      <c r="Q301" s="43" t="n">
        <v>0</v>
      </c>
      <c r="R301" s="43" t="n">
        <v>0</v>
      </c>
      <c r="S301" s="43" t="n">
        <v>0</v>
      </c>
      <c r="T301" s="43" t="n">
        <v>0</v>
      </c>
      <c r="U301" s="42" t="n">
        <f aca="false">SUM(I301:T301)</f>
        <v>7</v>
      </c>
    </row>
    <row r="302" customFormat="false" ht="15" hidden="false" customHeight="false" outlineLevel="0" collapsed="false">
      <c r="A302" s="40" t="s">
        <v>878</v>
      </c>
      <c r="B302" s="40" t="s">
        <v>188</v>
      </c>
      <c r="C302" s="40" t="s">
        <v>38</v>
      </c>
      <c r="D302" s="40" t="s">
        <v>6</v>
      </c>
      <c r="E302" s="40" t="s">
        <v>375</v>
      </c>
      <c r="F302" s="40" t="s">
        <v>189</v>
      </c>
      <c r="G302" s="40" t="s">
        <v>879</v>
      </c>
      <c r="H302" s="40" t="s">
        <v>44</v>
      </c>
      <c r="I302" s="43" t="n">
        <v>0</v>
      </c>
      <c r="J302" s="43" t="n">
        <v>0</v>
      </c>
      <c r="K302" s="43" t="n">
        <v>0</v>
      </c>
      <c r="L302" s="43" t="n">
        <v>0</v>
      </c>
      <c r="M302" s="43" t="n">
        <v>0</v>
      </c>
      <c r="N302" s="43" t="n">
        <v>0</v>
      </c>
      <c r="O302" s="43" t="n">
        <v>29</v>
      </c>
      <c r="P302" s="43" t="n">
        <v>14</v>
      </c>
      <c r="Q302" s="43" t="n">
        <v>0</v>
      </c>
      <c r="R302" s="43" t="n">
        <v>0</v>
      </c>
      <c r="S302" s="43" t="n">
        <v>0</v>
      </c>
      <c r="T302" s="43" t="n">
        <v>0</v>
      </c>
      <c r="U302" s="42" t="n">
        <f aca="false">SUM(I302:T302)</f>
        <v>43</v>
      </c>
    </row>
    <row r="303" customFormat="false" ht="15" hidden="false" customHeight="false" outlineLevel="0" collapsed="false">
      <c r="A303" s="40" t="s">
        <v>880</v>
      </c>
      <c r="B303" s="40" t="s">
        <v>188</v>
      </c>
      <c r="C303" s="40" t="s">
        <v>38</v>
      </c>
      <c r="D303" s="40" t="s">
        <v>6</v>
      </c>
      <c r="E303" s="40" t="s">
        <v>375</v>
      </c>
      <c r="F303" s="40" t="s">
        <v>189</v>
      </c>
      <c r="G303" s="40" t="s">
        <v>881</v>
      </c>
      <c r="H303" s="40" t="s">
        <v>44</v>
      </c>
      <c r="I303" s="43" t="n">
        <v>0</v>
      </c>
      <c r="J303" s="43" t="n">
        <v>0</v>
      </c>
      <c r="K303" s="43" t="n">
        <v>0</v>
      </c>
      <c r="L303" s="43" t="n">
        <v>0</v>
      </c>
      <c r="M303" s="43" t="n">
        <v>0</v>
      </c>
      <c r="N303" s="43" t="n">
        <v>0</v>
      </c>
      <c r="O303" s="43" t="n">
        <v>86</v>
      </c>
      <c r="P303" s="43" t="n">
        <v>0</v>
      </c>
      <c r="Q303" s="43" t="n">
        <v>0</v>
      </c>
      <c r="R303" s="43" t="n">
        <v>0</v>
      </c>
      <c r="S303" s="43" t="n">
        <v>0</v>
      </c>
      <c r="T303" s="43" t="n">
        <v>0</v>
      </c>
      <c r="U303" s="42" t="n">
        <f aca="false">SUM(I303:T303)</f>
        <v>86</v>
      </c>
    </row>
    <row r="304" customFormat="false" ht="23.85" hidden="false" customHeight="false" outlineLevel="0" collapsed="false">
      <c r="A304" s="40" t="s">
        <v>882</v>
      </c>
      <c r="B304" s="40" t="s">
        <v>188</v>
      </c>
      <c r="C304" s="40" t="s">
        <v>38</v>
      </c>
      <c r="D304" s="40" t="s">
        <v>6</v>
      </c>
      <c r="E304" s="40" t="s">
        <v>375</v>
      </c>
      <c r="F304" s="40" t="s">
        <v>189</v>
      </c>
      <c r="G304" s="40" t="s">
        <v>883</v>
      </c>
      <c r="H304" s="40" t="s">
        <v>44</v>
      </c>
      <c r="I304" s="43" t="n">
        <v>0</v>
      </c>
      <c r="J304" s="43" t="n">
        <v>0</v>
      </c>
      <c r="K304" s="43" t="n">
        <v>0</v>
      </c>
      <c r="L304" s="43" t="n">
        <v>0</v>
      </c>
      <c r="M304" s="43" t="n">
        <v>0</v>
      </c>
      <c r="N304" s="43" t="n">
        <v>0</v>
      </c>
      <c r="O304" s="43" t="n">
        <v>114</v>
      </c>
      <c r="P304" s="43" t="n">
        <v>0</v>
      </c>
      <c r="Q304" s="43" t="n">
        <v>0</v>
      </c>
      <c r="R304" s="43" t="n">
        <v>0</v>
      </c>
      <c r="S304" s="43" t="n">
        <v>0</v>
      </c>
      <c r="T304" s="43" t="n">
        <v>0</v>
      </c>
      <c r="U304" s="42" t="n">
        <f aca="false">SUM(I304:T304)</f>
        <v>114</v>
      </c>
    </row>
    <row r="305" customFormat="false" ht="15" hidden="false" customHeight="false" outlineLevel="0" collapsed="false">
      <c r="A305" s="40" t="s">
        <v>884</v>
      </c>
      <c r="B305" s="40" t="s">
        <v>188</v>
      </c>
      <c r="C305" s="40" t="s">
        <v>38</v>
      </c>
      <c r="D305" s="40" t="s">
        <v>6</v>
      </c>
      <c r="E305" s="40" t="s">
        <v>375</v>
      </c>
      <c r="F305" s="40" t="s">
        <v>189</v>
      </c>
      <c r="G305" s="40" t="s">
        <v>885</v>
      </c>
      <c r="H305" s="40" t="s">
        <v>44</v>
      </c>
      <c r="I305" s="43" t="n">
        <v>0</v>
      </c>
      <c r="J305" s="43" t="n">
        <v>0</v>
      </c>
      <c r="K305" s="43" t="n">
        <v>0</v>
      </c>
      <c r="L305" s="43" t="n">
        <v>0</v>
      </c>
      <c r="M305" s="43" t="n">
        <v>0</v>
      </c>
      <c r="N305" s="43" t="n">
        <v>0</v>
      </c>
      <c r="O305" s="43" t="n">
        <v>86</v>
      </c>
      <c r="P305" s="43" t="n">
        <v>0</v>
      </c>
      <c r="Q305" s="43" t="n">
        <v>0</v>
      </c>
      <c r="R305" s="43" t="n">
        <v>0</v>
      </c>
      <c r="S305" s="43" t="n">
        <v>0</v>
      </c>
      <c r="T305" s="43" t="n">
        <v>0</v>
      </c>
      <c r="U305" s="42" t="n">
        <f aca="false">SUM(I305:T305)</f>
        <v>86</v>
      </c>
    </row>
    <row r="306" customFormat="false" ht="15" hidden="false" customHeight="false" outlineLevel="0" collapsed="false">
      <c r="A306" s="40" t="s">
        <v>886</v>
      </c>
      <c r="B306" s="40" t="s">
        <v>188</v>
      </c>
      <c r="C306" s="40" t="s">
        <v>38</v>
      </c>
      <c r="D306" s="40" t="s">
        <v>6</v>
      </c>
      <c r="E306" s="40" t="s">
        <v>375</v>
      </c>
      <c r="F306" s="40" t="s">
        <v>189</v>
      </c>
      <c r="G306" s="40" t="s">
        <v>887</v>
      </c>
      <c r="H306" s="40" t="s">
        <v>44</v>
      </c>
      <c r="I306" s="43" t="n">
        <v>0</v>
      </c>
      <c r="J306" s="43" t="n">
        <v>0</v>
      </c>
      <c r="K306" s="43" t="n">
        <v>0</v>
      </c>
      <c r="L306" s="43" t="n">
        <v>0</v>
      </c>
      <c r="M306" s="43" t="n">
        <v>0</v>
      </c>
      <c r="N306" s="43" t="n">
        <v>0</v>
      </c>
      <c r="O306" s="43" t="n">
        <v>57</v>
      </c>
      <c r="P306" s="43" t="n">
        <v>0</v>
      </c>
      <c r="Q306" s="43" t="n">
        <v>0</v>
      </c>
      <c r="R306" s="43" t="n">
        <v>0</v>
      </c>
      <c r="S306" s="43" t="n">
        <v>0</v>
      </c>
      <c r="T306" s="43" t="n">
        <v>0</v>
      </c>
      <c r="U306" s="42" t="n">
        <f aca="false">SUM(I306:T306)</f>
        <v>57</v>
      </c>
    </row>
    <row r="307" customFormat="false" ht="15" hidden="false" customHeight="false" outlineLevel="0" collapsed="false">
      <c r="A307" s="40" t="s">
        <v>888</v>
      </c>
      <c r="B307" s="40" t="s">
        <v>188</v>
      </c>
      <c r="C307" s="40" t="s">
        <v>38</v>
      </c>
      <c r="D307" s="40" t="s">
        <v>6</v>
      </c>
      <c r="E307" s="40" t="s">
        <v>375</v>
      </c>
      <c r="F307" s="40" t="s">
        <v>189</v>
      </c>
      <c r="G307" s="40" t="s">
        <v>889</v>
      </c>
      <c r="H307" s="40" t="s">
        <v>44</v>
      </c>
      <c r="I307" s="43" t="n">
        <v>0</v>
      </c>
      <c r="J307" s="43" t="n">
        <v>0</v>
      </c>
      <c r="K307" s="43" t="n">
        <v>0</v>
      </c>
      <c r="L307" s="43" t="n">
        <v>0</v>
      </c>
      <c r="M307" s="43" t="n">
        <v>0</v>
      </c>
      <c r="N307" s="43" t="n">
        <v>0</v>
      </c>
      <c r="O307" s="43" t="n">
        <v>0</v>
      </c>
      <c r="P307" s="43" t="n">
        <v>14</v>
      </c>
      <c r="Q307" s="43" t="n">
        <v>0</v>
      </c>
      <c r="R307" s="43" t="n">
        <v>57</v>
      </c>
      <c r="S307" s="43" t="n">
        <v>0</v>
      </c>
      <c r="T307" s="43" t="n">
        <v>0</v>
      </c>
      <c r="U307" s="42" t="n">
        <f aca="false">SUM(I307:T307)</f>
        <v>71</v>
      </c>
    </row>
    <row r="308" customFormat="false" ht="15" hidden="false" customHeight="false" outlineLevel="0" collapsed="false">
      <c r="A308" s="40" t="s">
        <v>890</v>
      </c>
      <c r="B308" s="40" t="s">
        <v>188</v>
      </c>
      <c r="C308" s="40" t="s">
        <v>38</v>
      </c>
      <c r="D308" s="40" t="s">
        <v>6</v>
      </c>
      <c r="E308" s="40" t="s">
        <v>375</v>
      </c>
      <c r="F308" s="40" t="s">
        <v>189</v>
      </c>
      <c r="G308" s="40" t="s">
        <v>891</v>
      </c>
      <c r="H308" s="40" t="s">
        <v>44</v>
      </c>
      <c r="I308" s="43" t="n">
        <v>0</v>
      </c>
      <c r="J308" s="43" t="n">
        <v>0</v>
      </c>
      <c r="K308" s="43" t="n">
        <v>0</v>
      </c>
      <c r="L308" s="43" t="n">
        <v>0</v>
      </c>
      <c r="M308" s="43" t="n">
        <v>0</v>
      </c>
      <c r="N308" s="43" t="n">
        <v>0</v>
      </c>
      <c r="O308" s="43" t="n">
        <v>57</v>
      </c>
      <c r="P308" s="43" t="n">
        <v>0</v>
      </c>
      <c r="Q308" s="43" t="n">
        <v>0</v>
      </c>
      <c r="R308" s="43" t="n">
        <v>0</v>
      </c>
      <c r="S308" s="43" t="n">
        <v>0</v>
      </c>
      <c r="T308" s="43" t="n">
        <v>0</v>
      </c>
      <c r="U308" s="42" t="n">
        <f aca="false">SUM(I308:T308)</f>
        <v>57</v>
      </c>
    </row>
    <row r="309" customFormat="false" ht="15" hidden="false" customHeight="false" outlineLevel="0" collapsed="false">
      <c r="A309" s="40" t="s">
        <v>892</v>
      </c>
      <c r="B309" s="40" t="s">
        <v>188</v>
      </c>
      <c r="C309" s="40" t="s">
        <v>38</v>
      </c>
      <c r="D309" s="40" t="s">
        <v>6</v>
      </c>
      <c r="E309" s="40" t="s">
        <v>375</v>
      </c>
      <c r="F309" s="40" t="s">
        <v>189</v>
      </c>
      <c r="G309" s="40" t="s">
        <v>893</v>
      </c>
      <c r="H309" s="40" t="s">
        <v>44</v>
      </c>
      <c r="I309" s="43" t="n">
        <v>0</v>
      </c>
      <c r="J309" s="43" t="n">
        <v>0</v>
      </c>
      <c r="K309" s="43" t="n">
        <v>0</v>
      </c>
      <c r="L309" s="43" t="n">
        <v>0</v>
      </c>
      <c r="M309" s="43" t="n">
        <v>0</v>
      </c>
      <c r="N309" s="43" t="n">
        <v>0</v>
      </c>
      <c r="O309" s="43" t="n">
        <v>0</v>
      </c>
      <c r="P309" s="43" t="n">
        <v>0</v>
      </c>
      <c r="Q309" s="43" t="n">
        <v>0</v>
      </c>
      <c r="R309" s="43" t="n">
        <v>0</v>
      </c>
      <c r="S309" s="43" t="n">
        <v>86</v>
      </c>
      <c r="T309" s="43" t="n">
        <v>0</v>
      </c>
      <c r="U309" s="42" t="n">
        <f aca="false">SUM(I309:T309)</f>
        <v>86</v>
      </c>
    </row>
    <row r="310" customFormat="false" ht="15" hidden="false" customHeight="false" outlineLevel="0" collapsed="false">
      <c r="A310" s="40" t="s">
        <v>894</v>
      </c>
      <c r="B310" s="40" t="s">
        <v>188</v>
      </c>
      <c r="C310" s="40" t="s">
        <v>38</v>
      </c>
      <c r="D310" s="40" t="s">
        <v>6</v>
      </c>
      <c r="E310" s="40" t="s">
        <v>375</v>
      </c>
      <c r="F310" s="40" t="s">
        <v>189</v>
      </c>
      <c r="G310" s="40" t="s">
        <v>407</v>
      </c>
      <c r="H310" s="40" t="s">
        <v>44</v>
      </c>
      <c r="I310" s="43" t="n">
        <v>0</v>
      </c>
      <c r="J310" s="43" t="n">
        <v>0</v>
      </c>
      <c r="K310" s="43" t="n">
        <v>0</v>
      </c>
      <c r="L310" s="43" t="n">
        <v>0</v>
      </c>
      <c r="M310" s="43" t="n">
        <v>0</v>
      </c>
      <c r="N310" s="43" t="n">
        <v>0</v>
      </c>
      <c r="O310" s="43" t="n">
        <v>0</v>
      </c>
      <c r="P310" s="43" t="n">
        <v>36</v>
      </c>
      <c r="Q310" s="43" t="n">
        <v>0</v>
      </c>
      <c r="R310" s="43" t="n">
        <v>0</v>
      </c>
      <c r="S310" s="43" t="n">
        <v>0</v>
      </c>
      <c r="T310" s="43" t="n">
        <v>0</v>
      </c>
      <c r="U310" s="42" t="n">
        <f aca="false">SUM(I310:T310)</f>
        <v>36</v>
      </c>
    </row>
    <row r="311" customFormat="false" ht="15" hidden="false" customHeight="false" outlineLevel="0" collapsed="false">
      <c r="A311" s="40" t="s">
        <v>895</v>
      </c>
      <c r="B311" s="40" t="s">
        <v>188</v>
      </c>
      <c r="C311" s="40" t="s">
        <v>38</v>
      </c>
      <c r="D311" s="40" t="s">
        <v>6</v>
      </c>
      <c r="E311" s="40" t="s">
        <v>375</v>
      </c>
      <c r="F311" s="40" t="s">
        <v>189</v>
      </c>
      <c r="G311" s="40" t="s">
        <v>409</v>
      </c>
      <c r="H311" s="40" t="s">
        <v>44</v>
      </c>
      <c r="I311" s="43" t="n">
        <v>0</v>
      </c>
      <c r="J311" s="43" t="n">
        <v>0</v>
      </c>
      <c r="K311" s="43" t="n">
        <v>24</v>
      </c>
      <c r="L311" s="43" t="n">
        <v>0</v>
      </c>
      <c r="M311" s="43" t="n">
        <v>0</v>
      </c>
      <c r="N311" s="43" t="n">
        <v>0</v>
      </c>
      <c r="O311" s="43" t="n">
        <v>0</v>
      </c>
      <c r="P311" s="43" t="n">
        <v>0</v>
      </c>
      <c r="Q311" s="43" t="n">
        <v>0</v>
      </c>
      <c r="R311" s="43" t="n">
        <v>0</v>
      </c>
      <c r="S311" s="43" t="n">
        <v>0</v>
      </c>
      <c r="T311" s="43" t="n">
        <v>0</v>
      </c>
      <c r="U311" s="42" t="n">
        <f aca="false">SUM(I311:T311)</f>
        <v>24</v>
      </c>
    </row>
    <row r="312" customFormat="false" ht="15" hidden="false" customHeight="false" outlineLevel="0" collapsed="false">
      <c r="A312" s="40" t="s">
        <v>896</v>
      </c>
      <c r="B312" s="40" t="s">
        <v>188</v>
      </c>
      <c r="C312" s="40" t="s">
        <v>38</v>
      </c>
      <c r="D312" s="40" t="s">
        <v>6</v>
      </c>
      <c r="E312" s="40" t="s">
        <v>375</v>
      </c>
      <c r="F312" s="40" t="s">
        <v>189</v>
      </c>
      <c r="G312" s="40" t="s">
        <v>411</v>
      </c>
      <c r="H312" s="40" t="s">
        <v>44</v>
      </c>
      <c r="I312" s="43" t="n">
        <v>0</v>
      </c>
      <c r="J312" s="43" t="n">
        <v>0</v>
      </c>
      <c r="K312" s="43" t="n">
        <v>0</v>
      </c>
      <c r="L312" s="43" t="n">
        <v>0</v>
      </c>
      <c r="M312" s="43" t="n">
        <v>0</v>
      </c>
      <c r="N312" s="43" t="n">
        <v>0</v>
      </c>
      <c r="O312" s="43" t="n">
        <v>24</v>
      </c>
      <c r="P312" s="43" t="n">
        <v>0</v>
      </c>
      <c r="Q312" s="43" t="n">
        <v>0</v>
      </c>
      <c r="R312" s="43" t="n">
        <v>0</v>
      </c>
      <c r="S312" s="43" t="n">
        <v>0</v>
      </c>
      <c r="T312" s="43" t="n">
        <v>0</v>
      </c>
      <c r="U312" s="42" t="n">
        <f aca="false">SUM(I312:T312)</f>
        <v>24</v>
      </c>
    </row>
    <row r="313" customFormat="false" ht="15" hidden="false" customHeight="false" outlineLevel="0" collapsed="false">
      <c r="A313" s="40" t="s">
        <v>897</v>
      </c>
      <c r="B313" s="40" t="s">
        <v>188</v>
      </c>
      <c r="C313" s="40" t="s">
        <v>38</v>
      </c>
      <c r="D313" s="40" t="s">
        <v>6</v>
      </c>
      <c r="E313" s="40" t="s">
        <v>375</v>
      </c>
      <c r="F313" s="40" t="s">
        <v>189</v>
      </c>
      <c r="G313" s="40" t="s">
        <v>413</v>
      </c>
      <c r="H313" s="40" t="s">
        <v>44</v>
      </c>
      <c r="I313" s="43" t="n">
        <v>0</v>
      </c>
      <c r="J313" s="43" t="n">
        <v>0</v>
      </c>
      <c r="K313" s="43" t="n">
        <v>0</v>
      </c>
      <c r="L313" s="43" t="n">
        <v>0</v>
      </c>
      <c r="M313" s="43" t="n">
        <v>0</v>
      </c>
      <c r="N313" s="43" t="n">
        <v>0</v>
      </c>
      <c r="O313" s="43" t="n">
        <v>48</v>
      </c>
      <c r="P313" s="43" t="n">
        <v>0</v>
      </c>
      <c r="Q313" s="43" t="n">
        <v>0</v>
      </c>
      <c r="R313" s="43" t="n">
        <v>0</v>
      </c>
      <c r="S313" s="43" t="n">
        <v>0</v>
      </c>
      <c r="T313" s="43" t="n">
        <v>0</v>
      </c>
      <c r="U313" s="42" t="n">
        <f aca="false">SUM(I313:T313)</f>
        <v>48</v>
      </c>
    </row>
    <row r="314" customFormat="false" ht="23.85" hidden="false" customHeight="false" outlineLevel="0" collapsed="false">
      <c r="A314" s="40" t="s">
        <v>898</v>
      </c>
      <c r="B314" s="40" t="s">
        <v>191</v>
      </c>
      <c r="C314" s="40" t="s">
        <v>38</v>
      </c>
      <c r="D314" s="40" t="s">
        <v>6</v>
      </c>
      <c r="E314" s="40" t="s">
        <v>375</v>
      </c>
      <c r="F314" s="40" t="s">
        <v>192</v>
      </c>
      <c r="G314" s="40" t="s">
        <v>899</v>
      </c>
      <c r="H314" s="40" t="s">
        <v>43</v>
      </c>
      <c r="I314" s="43" t="n">
        <v>0</v>
      </c>
      <c r="J314" s="43" t="n">
        <v>0</v>
      </c>
      <c r="K314" s="43" t="n">
        <v>0</v>
      </c>
      <c r="L314" s="43" t="n">
        <v>0</v>
      </c>
      <c r="M314" s="43" t="n">
        <v>0</v>
      </c>
      <c r="N314" s="43" t="n">
        <v>12</v>
      </c>
      <c r="O314" s="43" t="n">
        <v>12</v>
      </c>
      <c r="P314" s="43" t="n">
        <v>0</v>
      </c>
      <c r="Q314" s="43" t="n">
        <v>0</v>
      </c>
      <c r="R314" s="43" t="n">
        <v>0</v>
      </c>
      <c r="S314" s="43" t="n">
        <v>0</v>
      </c>
      <c r="T314" s="43" t="n">
        <v>0</v>
      </c>
      <c r="U314" s="42" t="n">
        <f aca="false">SUM(I314:T314)</f>
        <v>24</v>
      </c>
    </row>
    <row r="315" customFormat="false" ht="23.85" hidden="false" customHeight="false" outlineLevel="0" collapsed="false">
      <c r="A315" s="40" t="s">
        <v>900</v>
      </c>
      <c r="B315" s="40" t="s">
        <v>191</v>
      </c>
      <c r="C315" s="40" t="s">
        <v>38</v>
      </c>
      <c r="D315" s="40" t="s">
        <v>6</v>
      </c>
      <c r="E315" s="40" t="s">
        <v>375</v>
      </c>
      <c r="F315" s="40" t="s">
        <v>192</v>
      </c>
      <c r="G315" s="40" t="s">
        <v>901</v>
      </c>
      <c r="H315" s="40" t="s">
        <v>43</v>
      </c>
      <c r="I315" s="43" t="n">
        <v>0</v>
      </c>
      <c r="J315" s="43" t="n">
        <v>0</v>
      </c>
      <c r="K315" s="43" t="n">
        <v>0</v>
      </c>
      <c r="L315" s="43" t="n">
        <v>0</v>
      </c>
      <c r="M315" s="43" t="n">
        <v>0</v>
      </c>
      <c r="N315" s="43" t="n">
        <v>25</v>
      </c>
      <c r="O315" s="43" t="n">
        <v>0</v>
      </c>
      <c r="P315" s="43" t="n">
        <v>0</v>
      </c>
      <c r="Q315" s="43" t="n">
        <v>0</v>
      </c>
      <c r="R315" s="43" t="n">
        <v>0</v>
      </c>
      <c r="S315" s="43" t="n">
        <v>0</v>
      </c>
      <c r="T315" s="43" t="n">
        <v>0</v>
      </c>
      <c r="U315" s="42" t="n">
        <f aca="false">SUM(I315:T315)</f>
        <v>25</v>
      </c>
    </row>
    <row r="316" customFormat="false" ht="23.85" hidden="false" customHeight="false" outlineLevel="0" collapsed="false">
      <c r="A316" s="40" t="s">
        <v>902</v>
      </c>
      <c r="B316" s="40" t="s">
        <v>191</v>
      </c>
      <c r="C316" s="40" t="s">
        <v>38</v>
      </c>
      <c r="D316" s="40" t="s">
        <v>6</v>
      </c>
      <c r="E316" s="40" t="s">
        <v>375</v>
      </c>
      <c r="F316" s="40" t="s">
        <v>192</v>
      </c>
      <c r="G316" s="40" t="s">
        <v>903</v>
      </c>
      <c r="H316" s="40" t="s">
        <v>43</v>
      </c>
      <c r="I316" s="43" t="n">
        <v>0</v>
      </c>
      <c r="J316" s="43" t="n">
        <v>0</v>
      </c>
      <c r="K316" s="43" t="n">
        <v>0</v>
      </c>
      <c r="L316" s="43" t="n">
        <v>0</v>
      </c>
      <c r="M316" s="43" t="n">
        <v>0</v>
      </c>
      <c r="N316" s="43" t="n">
        <v>37</v>
      </c>
      <c r="O316" s="43" t="n">
        <v>25</v>
      </c>
      <c r="P316" s="43" t="n">
        <v>0</v>
      </c>
      <c r="Q316" s="43" t="n">
        <v>0</v>
      </c>
      <c r="R316" s="43" t="n">
        <v>0</v>
      </c>
      <c r="S316" s="43" t="n">
        <v>0</v>
      </c>
      <c r="T316" s="43" t="n">
        <v>0</v>
      </c>
      <c r="U316" s="42" t="n">
        <f aca="false">SUM(I316:T316)</f>
        <v>62</v>
      </c>
    </row>
    <row r="317" customFormat="false" ht="23.85" hidden="false" customHeight="false" outlineLevel="0" collapsed="false">
      <c r="A317" s="40" t="s">
        <v>904</v>
      </c>
      <c r="B317" s="40" t="s">
        <v>191</v>
      </c>
      <c r="C317" s="40" t="s">
        <v>38</v>
      </c>
      <c r="D317" s="40" t="s">
        <v>6</v>
      </c>
      <c r="E317" s="40" t="s">
        <v>375</v>
      </c>
      <c r="F317" s="40" t="s">
        <v>192</v>
      </c>
      <c r="G317" s="40" t="s">
        <v>905</v>
      </c>
      <c r="H317" s="40" t="s">
        <v>43</v>
      </c>
      <c r="I317" s="43" t="n">
        <v>0</v>
      </c>
      <c r="J317" s="43" t="n">
        <v>0</v>
      </c>
      <c r="K317" s="43" t="n">
        <v>0</v>
      </c>
      <c r="L317" s="43" t="n">
        <v>0</v>
      </c>
      <c r="M317" s="43" t="n">
        <v>0</v>
      </c>
      <c r="N317" s="43" t="n">
        <v>37</v>
      </c>
      <c r="O317" s="43" t="n">
        <v>0</v>
      </c>
      <c r="P317" s="43" t="n">
        <v>0</v>
      </c>
      <c r="Q317" s="43" t="n">
        <v>0</v>
      </c>
      <c r="R317" s="43" t="n">
        <v>0</v>
      </c>
      <c r="S317" s="43" t="n">
        <v>0</v>
      </c>
      <c r="T317" s="43" t="n">
        <v>0</v>
      </c>
      <c r="U317" s="42" t="n">
        <f aca="false">SUM(I317:T317)</f>
        <v>37</v>
      </c>
    </row>
    <row r="318" customFormat="false" ht="23.85" hidden="false" customHeight="false" outlineLevel="0" collapsed="false">
      <c r="A318" s="40" t="s">
        <v>906</v>
      </c>
      <c r="B318" s="40" t="s">
        <v>191</v>
      </c>
      <c r="C318" s="40" t="s">
        <v>38</v>
      </c>
      <c r="D318" s="40" t="s">
        <v>6</v>
      </c>
      <c r="E318" s="40" t="s">
        <v>375</v>
      </c>
      <c r="F318" s="40" t="s">
        <v>192</v>
      </c>
      <c r="G318" s="40" t="s">
        <v>907</v>
      </c>
      <c r="H318" s="40" t="s">
        <v>43</v>
      </c>
      <c r="I318" s="43" t="n">
        <v>0</v>
      </c>
      <c r="J318" s="43" t="n">
        <v>0</v>
      </c>
      <c r="K318" s="43" t="n">
        <v>0</v>
      </c>
      <c r="L318" s="43" t="n">
        <v>0</v>
      </c>
      <c r="M318" s="43" t="n">
        <v>0</v>
      </c>
      <c r="N318" s="43" t="n">
        <v>12</v>
      </c>
      <c r="O318" s="43" t="n">
        <v>25</v>
      </c>
      <c r="P318" s="43" t="n">
        <v>0</v>
      </c>
      <c r="Q318" s="43" t="n">
        <v>0</v>
      </c>
      <c r="R318" s="43" t="n">
        <v>0</v>
      </c>
      <c r="S318" s="43" t="n">
        <v>0</v>
      </c>
      <c r="T318" s="43" t="n">
        <v>0</v>
      </c>
      <c r="U318" s="42" t="n">
        <f aca="false">SUM(I318:T318)</f>
        <v>37</v>
      </c>
    </row>
    <row r="319" customFormat="false" ht="23.85" hidden="false" customHeight="false" outlineLevel="0" collapsed="false">
      <c r="A319" s="40" t="s">
        <v>908</v>
      </c>
      <c r="B319" s="40" t="s">
        <v>191</v>
      </c>
      <c r="C319" s="40" t="s">
        <v>38</v>
      </c>
      <c r="D319" s="40" t="s">
        <v>6</v>
      </c>
      <c r="E319" s="40" t="s">
        <v>375</v>
      </c>
      <c r="F319" s="40" t="s">
        <v>192</v>
      </c>
      <c r="G319" s="40" t="s">
        <v>909</v>
      </c>
      <c r="H319" s="40" t="s">
        <v>43</v>
      </c>
      <c r="I319" s="43" t="n">
        <v>0</v>
      </c>
      <c r="J319" s="43" t="n">
        <v>0</v>
      </c>
      <c r="K319" s="43" t="n">
        <v>0</v>
      </c>
      <c r="L319" s="43" t="n">
        <v>0</v>
      </c>
      <c r="M319" s="43" t="n">
        <v>0</v>
      </c>
      <c r="N319" s="43" t="n">
        <v>0</v>
      </c>
      <c r="O319" s="43" t="n">
        <v>61</v>
      </c>
      <c r="P319" s="43" t="n">
        <v>0</v>
      </c>
      <c r="Q319" s="43" t="n">
        <v>0</v>
      </c>
      <c r="R319" s="43" t="n">
        <v>0</v>
      </c>
      <c r="S319" s="43" t="n">
        <v>0</v>
      </c>
      <c r="T319" s="43" t="n">
        <v>0</v>
      </c>
      <c r="U319" s="42" t="n">
        <f aca="false">SUM(I319:T319)</f>
        <v>61</v>
      </c>
    </row>
    <row r="320" customFormat="false" ht="23.85" hidden="false" customHeight="false" outlineLevel="0" collapsed="false">
      <c r="A320" s="40" t="s">
        <v>910</v>
      </c>
      <c r="B320" s="40" t="s">
        <v>191</v>
      </c>
      <c r="C320" s="40" t="s">
        <v>38</v>
      </c>
      <c r="D320" s="40" t="s">
        <v>6</v>
      </c>
      <c r="E320" s="40" t="s">
        <v>375</v>
      </c>
      <c r="F320" s="40" t="s">
        <v>192</v>
      </c>
      <c r="G320" s="40" t="s">
        <v>911</v>
      </c>
      <c r="H320" s="40" t="s">
        <v>43</v>
      </c>
      <c r="I320" s="43" t="n">
        <v>0</v>
      </c>
      <c r="J320" s="43" t="n">
        <v>0</v>
      </c>
      <c r="K320" s="43" t="n">
        <v>0</v>
      </c>
      <c r="L320" s="43" t="n">
        <v>0</v>
      </c>
      <c r="M320" s="43" t="n">
        <v>0</v>
      </c>
      <c r="N320" s="43" t="n">
        <v>0</v>
      </c>
      <c r="O320" s="43" t="n">
        <v>0</v>
      </c>
      <c r="P320" s="43" t="n">
        <v>0</v>
      </c>
      <c r="Q320" s="43" t="n">
        <v>0</v>
      </c>
      <c r="R320" s="43" t="n">
        <v>0</v>
      </c>
      <c r="S320" s="43" t="n">
        <v>49</v>
      </c>
      <c r="T320" s="43" t="n">
        <v>0</v>
      </c>
      <c r="U320" s="42" t="n">
        <f aca="false">SUM(I320:T320)</f>
        <v>49</v>
      </c>
    </row>
    <row r="321" customFormat="false" ht="23.85" hidden="false" customHeight="false" outlineLevel="0" collapsed="false">
      <c r="A321" s="40" t="s">
        <v>912</v>
      </c>
      <c r="B321" s="40" t="s">
        <v>191</v>
      </c>
      <c r="C321" s="40" t="s">
        <v>38</v>
      </c>
      <c r="D321" s="40" t="s">
        <v>6</v>
      </c>
      <c r="E321" s="40" t="s">
        <v>375</v>
      </c>
      <c r="F321" s="40" t="s">
        <v>192</v>
      </c>
      <c r="G321" s="40" t="s">
        <v>407</v>
      </c>
      <c r="H321" s="40" t="s">
        <v>43</v>
      </c>
      <c r="I321" s="43" t="n">
        <v>0</v>
      </c>
      <c r="J321" s="43" t="n">
        <v>0</v>
      </c>
      <c r="K321" s="43" t="n">
        <v>0</v>
      </c>
      <c r="L321" s="43" t="n">
        <v>0</v>
      </c>
      <c r="M321" s="43" t="n">
        <v>18</v>
      </c>
      <c r="N321" s="43" t="n">
        <v>0</v>
      </c>
      <c r="O321" s="43" t="n">
        <v>0</v>
      </c>
      <c r="P321" s="43" t="n">
        <v>0</v>
      </c>
      <c r="Q321" s="43" t="n">
        <v>0</v>
      </c>
      <c r="R321" s="43" t="n">
        <v>0</v>
      </c>
      <c r="S321" s="43" t="n">
        <v>0</v>
      </c>
      <c r="T321" s="43" t="n">
        <v>0</v>
      </c>
      <c r="U321" s="42" t="n">
        <f aca="false">SUM(I321:T321)</f>
        <v>18</v>
      </c>
    </row>
    <row r="322" customFormat="false" ht="23.85" hidden="false" customHeight="false" outlineLevel="0" collapsed="false">
      <c r="A322" s="40" t="s">
        <v>913</v>
      </c>
      <c r="B322" s="40" t="s">
        <v>191</v>
      </c>
      <c r="C322" s="40" t="s">
        <v>38</v>
      </c>
      <c r="D322" s="40" t="s">
        <v>6</v>
      </c>
      <c r="E322" s="40" t="s">
        <v>375</v>
      </c>
      <c r="F322" s="40" t="s">
        <v>192</v>
      </c>
      <c r="G322" s="40" t="s">
        <v>409</v>
      </c>
      <c r="H322" s="40" t="s">
        <v>43</v>
      </c>
      <c r="I322" s="43" t="n">
        <v>0</v>
      </c>
      <c r="J322" s="43" t="n">
        <v>0</v>
      </c>
      <c r="K322" s="43" t="n">
        <v>12</v>
      </c>
      <c r="L322" s="43" t="n">
        <v>0</v>
      </c>
      <c r="M322" s="43" t="n">
        <v>0</v>
      </c>
      <c r="N322" s="43" t="n">
        <v>0</v>
      </c>
      <c r="O322" s="43" t="n">
        <v>0</v>
      </c>
      <c r="P322" s="43" t="n">
        <v>0</v>
      </c>
      <c r="Q322" s="43" t="n">
        <v>0</v>
      </c>
      <c r="R322" s="43" t="n">
        <v>0</v>
      </c>
      <c r="S322" s="43" t="n">
        <v>0</v>
      </c>
      <c r="T322" s="43" t="n">
        <v>0</v>
      </c>
      <c r="U322" s="42" t="n">
        <f aca="false">SUM(I322:T322)</f>
        <v>12</v>
      </c>
    </row>
    <row r="323" customFormat="false" ht="23.85" hidden="false" customHeight="false" outlineLevel="0" collapsed="false">
      <c r="A323" s="40" t="s">
        <v>914</v>
      </c>
      <c r="B323" s="40" t="s">
        <v>191</v>
      </c>
      <c r="C323" s="40" t="s">
        <v>38</v>
      </c>
      <c r="D323" s="40" t="s">
        <v>6</v>
      </c>
      <c r="E323" s="40" t="s">
        <v>375</v>
      </c>
      <c r="F323" s="40" t="s">
        <v>192</v>
      </c>
      <c r="G323" s="40" t="s">
        <v>411</v>
      </c>
      <c r="H323" s="40" t="s">
        <v>43</v>
      </c>
      <c r="I323" s="43" t="n">
        <v>0</v>
      </c>
      <c r="J323" s="43" t="n">
        <v>0</v>
      </c>
      <c r="K323" s="43" t="n">
        <v>0</v>
      </c>
      <c r="L323" s="43" t="n">
        <v>0</v>
      </c>
      <c r="M323" s="43" t="n">
        <v>0</v>
      </c>
      <c r="N323" s="43" t="n">
        <v>12</v>
      </c>
      <c r="O323" s="43" t="n">
        <v>0</v>
      </c>
      <c r="P323" s="43" t="n">
        <v>0</v>
      </c>
      <c r="Q323" s="43" t="n">
        <v>0</v>
      </c>
      <c r="R323" s="43" t="n">
        <v>0</v>
      </c>
      <c r="S323" s="43" t="n">
        <v>0</v>
      </c>
      <c r="T323" s="43" t="n">
        <v>0</v>
      </c>
      <c r="U323" s="42" t="n">
        <f aca="false">SUM(I323:T323)</f>
        <v>12</v>
      </c>
    </row>
    <row r="324" customFormat="false" ht="23.85" hidden="false" customHeight="false" outlineLevel="0" collapsed="false">
      <c r="A324" s="40" t="s">
        <v>915</v>
      </c>
      <c r="B324" s="40" t="s">
        <v>191</v>
      </c>
      <c r="C324" s="40" t="s">
        <v>38</v>
      </c>
      <c r="D324" s="40" t="s">
        <v>6</v>
      </c>
      <c r="E324" s="40" t="s">
        <v>375</v>
      </c>
      <c r="F324" s="40" t="s">
        <v>192</v>
      </c>
      <c r="G324" s="40" t="s">
        <v>413</v>
      </c>
      <c r="H324" s="40" t="s">
        <v>43</v>
      </c>
      <c r="I324" s="43" t="n">
        <v>0</v>
      </c>
      <c r="J324" s="43" t="n">
        <v>0</v>
      </c>
      <c r="K324" s="43" t="n">
        <v>0</v>
      </c>
      <c r="L324" s="43" t="n">
        <v>0</v>
      </c>
      <c r="M324" s="43" t="n">
        <v>0</v>
      </c>
      <c r="N324" s="43" t="n">
        <v>24</v>
      </c>
      <c r="O324" s="43" t="n">
        <v>0</v>
      </c>
      <c r="P324" s="43" t="n">
        <v>0</v>
      </c>
      <c r="Q324" s="43" t="n">
        <v>0</v>
      </c>
      <c r="R324" s="43" t="n">
        <v>0</v>
      </c>
      <c r="S324" s="43" t="n">
        <v>0</v>
      </c>
      <c r="T324" s="43" t="n">
        <v>0</v>
      </c>
      <c r="U324" s="42" t="n">
        <f aca="false">SUM(I324:T324)</f>
        <v>24</v>
      </c>
    </row>
    <row r="325" customFormat="false" ht="23.85" hidden="false" customHeight="false" outlineLevel="0" collapsed="false">
      <c r="A325" s="40" t="s">
        <v>916</v>
      </c>
      <c r="B325" s="40" t="s">
        <v>194</v>
      </c>
      <c r="C325" s="40" t="s">
        <v>38</v>
      </c>
      <c r="D325" s="40" t="s">
        <v>6</v>
      </c>
      <c r="E325" s="40" t="s">
        <v>375</v>
      </c>
      <c r="F325" s="40" t="s">
        <v>195</v>
      </c>
      <c r="G325" s="40" t="s">
        <v>917</v>
      </c>
      <c r="H325" s="40" t="s">
        <v>43</v>
      </c>
      <c r="I325" s="43" t="n">
        <v>0</v>
      </c>
      <c r="J325" s="43" t="n">
        <v>0</v>
      </c>
      <c r="K325" s="43" t="n">
        <v>0</v>
      </c>
      <c r="L325" s="43" t="n">
        <v>0</v>
      </c>
      <c r="M325" s="43" t="n">
        <v>8</v>
      </c>
      <c r="N325" s="43" t="n">
        <v>25</v>
      </c>
      <c r="O325" s="43" t="n">
        <v>0</v>
      </c>
      <c r="P325" s="43" t="n">
        <v>0</v>
      </c>
      <c r="Q325" s="43" t="n">
        <v>0</v>
      </c>
      <c r="R325" s="43" t="n">
        <v>0</v>
      </c>
      <c r="S325" s="43" t="n">
        <v>0</v>
      </c>
      <c r="T325" s="43" t="n">
        <v>0</v>
      </c>
      <c r="U325" s="42" t="n">
        <f aca="false">SUM(I325:T325)</f>
        <v>33</v>
      </c>
    </row>
    <row r="326" customFormat="false" ht="23.85" hidden="false" customHeight="false" outlineLevel="0" collapsed="false">
      <c r="A326" s="40" t="s">
        <v>918</v>
      </c>
      <c r="B326" s="40" t="s">
        <v>194</v>
      </c>
      <c r="C326" s="40" t="s">
        <v>38</v>
      </c>
      <c r="D326" s="40" t="s">
        <v>6</v>
      </c>
      <c r="E326" s="40" t="s">
        <v>375</v>
      </c>
      <c r="F326" s="40" t="s">
        <v>195</v>
      </c>
      <c r="G326" s="40" t="s">
        <v>919</v>
      </c>
      <c r="H326" s="40" t="s">
        <v>43</v>
      </c>
      <c r="I326" s="43" t="n">
        <v>0</v>
      </c>
      <c r="J326" s="43" t="n">
        <v>0</v>
      </c>
      <c r="K326" s="43" t="n">
        <v>0</v>
      </c>
      <c r="L326" s="43" t="n">
        <v>0</v>
      </c>
      <c r="M326" s="43" t="n">
        <v>8</v>
      </c>
      <c r="N326" s="43" t="n">
        <v>0</v>
      </c>
      <c r="O326" s="43" t="n">
        <v>0</v>
      </c>
      <c r="P326" s="43" t="n">
        <v>0</v>
      </c>
      <c r="Q326" s="43" t="n">
        <v>0</v>
      </c>
      <c r="R326" s="43" t="n">
        <v>0</v>
      </c>
      <c r="S326" s="43" t="n">
        <v>0</v>
      </c>
      <c r="T326" s="43" t="n">
        <v>0</v>
      </c>
      <c r="U326" s="42" t="n">
        <f aca="false">SUM(I326:T326)</f>
        <v>8</v>
      </c>
    </row>
    <row r="327" customFormat="false" ht="23.85" hidden="false" customHeight="false" outlineLevel="0" collapsed="false">
      <c r="A327" s="40" t="s">
        <v>920</v>
      </c>
      <c r="B327" s="40" t="s">
        <v>194</v>
      </c>
      <c r="C327" s="40" t="s">
        <v>38</v>
      </c>
      <c r="D327" s="40" t="s">
        <v>6</v>
      </c>
      <c r="E327" s="40" t="s">
        <v>375</v>
      </c>
      <c r="F327" s="40" t="s">
        <v>195</v>
      </c>
      <c r="G327" s="40" t="s">
        <v>921</v>
      </c>
      <c r="H327" s="40" t="s">
        <v>43</v>
      </c>
      <c r="I327" s="43" t="n">
        <v>0</v>
      </c>
      <c r="J327" s="43" t="n">
        <v>0</v>
      </c>
      <c r="K327" s="43" t="n">
        <v>0</v>
      </c>
      <c r="L327" s="43" t="n">
        <v>0</v>
      </c>
      <c r="M327" s="43" t="n">
        <v>0</v>
      </c>
      <c r="N327" s="43" t="n">
        <v>16</v>
      </c>
      <c r="O327" s="43" t="n">
        <v>0</v>
      </c>
      <c r="P327" s="43" t="n">
        <v>0</v>
      </c>
      <c r="Q327" s="43" t="n">
        <v>0</v>
      </c>
      <c r="R327" s="43" t="n">
        <v>0</v>
      </c>
      <c r="S327" s="43" t="n">
        <v>0</v>
      </c>
      <c r="T327" s="43" t="n">
        <v>0</v>
      </c>
      <c r="U327" s="42" t="n">
        <f aca="false">SUM(I327:T327)</f>
        <v>16</v>
      </c>
    </row>
    <row r="328" customFormat="false" ht="23.85" hidden="false" customHeight="false" outlineLevel="0" collapsed="false">
      <c r="A328" s="40" t="s">
        <v>922</v>
      </c>
      <c r="B328" s="40" t="s">
        <v>194</v>
      </c>
      <c r="C328" s="40" t="s">
        <v>38</v>
      </c>
      <c r="D328" s="40" t="s">
        <v>6</v>
      </c>
      <c r="E328" s="40" t="s">
        <v>375</v>
      </c>
      <c r="F328" s="40" t="s">
        <v>195</v>
      </c>
      <c r="G328" s="40" t="s">
        <v>923</v>
      </c>
      <c r="H328" s="40" t="s">
        <v>43</v>
      </c>
      <c r="I328" s="43" t="n">
        <v>0</v>
      </c>
      <c r="J328" s="43" t="n">
        <v>0</v>
      </c>
      <c r="K328" s="43" t="n">
        <v>0</v>
      </c>
      <c r="L328" s="43" t="n">
        <v>0</v>
      </c>
      <c r="M328" s="43" t="n">
        <v>0</v>
      </c>
      <c r="N328" s="43" t="n">
        <v>16</v>
      </c>
      <c r="O328" s="43" t="n">
        <v>0</v>
      </c>
      <c r="P328" s="43" t="n">
        <v>0</v>
      </c>
      <c r="Q328" s="43" t="n">
        <v>0</v>
      </c>
      <c r="R328" s="43" t="n">
        <v>0</v>
      </c>
      <c r="S328" s="43" t="n">
        <v>0</v>
      </c>
      <c r="T328" s="43" t="n">
        <v>0</v>
      </c>
      <c r="U328" s="42" t="n">
        <f aca="false">SUM(I328:T328)</f>
        <v>16</v>
      </c>
    </row>
    <row r="329" customFormat="false" ht="23.85" hidden="false" customHeight="false" outlineLevel="0" collapsed="false">
      <c r="A329" s="40" t="s">
        <v>924</v>
      </c>
      <c r="B329" s="40" t="s">
        <v>194</v>
      </c>
      <c r="C329" s="40" t="s">
        <v>38</v>
      </c>
      <c r="D329" s="40" t="s">
        <v>6</v>
      </c>
      <c r="E329" s="40" t="s">
        <v>375</v>
      </c>
      <c r="F329" s="40" t="s">
        <v>195</v>
      </c>
      <c r="G329" s="40" t="s">
        <v>925</v>
      </c>
      <c r="H329" s="40" t="s">
        <v>43</v>
      </c>
      <c r="I329" s="43" t="n">
        <v>0</v>
      </c>
      <c r="J329" s="43" t="n">
        <v>0</v>
      </c>
      <c r="K329" s="43" t="n">
        <v>0</v>
      </c>
      <c r="L329" s="43" t="n">
        <v>0</v>
      </c>
      <c r="M329" s="43" t="n">
        <v>0</v>
      </c>
      <c r="N329" s="43" t="n">
        <v>8</v>
      </c>
      <c r="O329" s="43" t="n">
        <v>0</v>
      </c>
      <c r="P329" s="43" t="n">
        <v>0</v>
      </c>
      <c r="Q329" s="43" t="n">
        <v>0</v>
      </c>
      <c r="R329" s="43" t="n">
        <v>0</v>
      </c>
      <c r="S329" s="43" t="n">
        <v>16</v>
      </c>
      <c r="T329" s="43" t="n">
        <v>0</v>
      </c>
      <c r="U329" s="42" t="n">
        <f aca="false">SUM(I329:T329)</f>
        <v>24</v>
      </c>
    </row>
    <row r="330" customFormat="false" ht="23.85" hidden="false" customHeight="false" outlineLevel="0" collapsed="false">
      <c r="A330" s="40" t="s">
        <v>926</v>
      </c>
      <c r="B330" s="40" t="s">
        <v>194</v>
      </c>
      <c r="C330" s="40" t="s">
        <v>38</v>
      </c>
      <c r="D330" s="40" t="s">
        <v>6</v>
      </c>
      <c r="E330" s="40" t="s">
        <v>375</v>
      </c>
      <c r="F330" s="40" t="s">
        <v>195</v>
      </c>
      <c r="G330" s="40" t="s">
        <v>407</v>
      </c>
      <c r="H330" s="40" t="s">
        <v>43</v>
      </c>
      <c r="I330" s="43" t="n">
        <v>0</v>
      </c>
      <c r="J330" s="43" t="n">
        <v>0</v>
      </c>
      <c r="K330" s="43" t="n">
        <v>0</v>
      </c>
      <c r="L330" s="43" t="n">
        <v>0</v>
      </c>
      <c r="M330" s="43" t="n">
        <v>6</v>
      </c>
      <c r="N330" s="43" t="n">
        <v>0</v>
      </c>
      <c r="O330" s="43" t="n">
        <v>0</v>
      </c>
      <c r="P330" s="43" t="n">
        <v>0</v>
      </c>
      <c r="Q330" s="43" t="n">
        <v>0</v>
      </c>
      <c r="R330" s="43" t="n">
        <v>0</v>
      </c>
      <c r="S330" s="43" t="n">
        <v>0</v>
      </c>
      <c r="T330" s="43" t="n">
        <v>0</v>
      </c>
      <c r="U330" s="42" t="n">
        <f aca="false">SUM(I330:T330)</f>
        <v>6</v>
      </c>
    </row>
    <row r="331" customFormat="false" ht="23.85" hidden="false" customHeight="false" outlineLevel="0" collapsed="false">
      <c r="A331" s="40" t="s">
        <v>927</v>
      </c>
      <c r="B331" s="40" t="s">
        <v>194</v>
      </c>
      <c r="C331" s="40" t="s">
        <v>38</v>
      </c>
      <c r="D331" s="40" t="s">
        <v>6</v>
      </c>
      <c r="E331" s="40" t="s">
        <v>375</v>
      </c>
      <c r="F331" s="40" t="s">
        <v>195</v>
      </c>
      <c r="G331" s="40" t="s">
        <v>409</v>
      </c>
      <c r="H331" s="40" t="s">
        <v>43</v>
      </c>
      <c r="I331" s="43" t="n">
        <v>0</v>
      </c>
      <c r="J331" s="43" t="n">
        <v>0</v>
      </c>
      <c r="K331" s="43" t="n">
        <v>4</v>
      </c>
      <c r="L331" s="43" t="n">
        <v>0</v>
      </c>
      <c r="M331" s="43" t="n">
        <v>0</v>
      </c>
      <c r="N331" s="43" t="n">
        <v>0</v>
      </c>
      <c r="O331" s="43" t="n">
        <v>0</v>
      </c>
      <c r="P331" s="43" t="n">
        <v>0</v>
      </c>
      <c r="Q331" s="43" t="n">
        <v>0</v>
      </c>
      <c r="R331" s="43" t="n">
        <v>0</v>
      </c>
      <c r="S331" s="43" t="n">
        <v>0</v>
      </c>
      <c r="T331" s="43" t="n">
        <v>0</v>
      </c>
      <c r="U331" s="42" t="n">
        <f aca="false">SUM(I331:T331)</f>
        <v>4</v>
      </c>
    </row>
    <row r="332" customFormat="false" ht="23.85" hidden="false" customHeight="false" outlineLevel="0" collapsed="false">
      <c r="A332" s="40" t="s">
        <v>928</v>
      </c>
      <c r="B332" s="40" t="s">
        <v>194</v>
      </c>
      <c r="C332" s="40" t="s">
        <v>38</v>
      </c>
      <c r="D332" s="40" t="s">
        <v>6</v>
      </c>
      <c r="E332" s="40" t="s">
        <v>375</v>
      </c>
      <c r="F332" s="40" t="s">
        <v>195</v>
      </c>
      <c r="G332" s="40" t="s">
        <v>411</v>
      </c>
      <c r="H332" s="40" t="s">
        <v>43</v>
      </c>
      <c r="I332" s="43" t="n">
        <v>0</v>
      </c>
      <c r="J332" s="43" t="n">
        <v>0</v>
      </c>
      <c r="K332" s="43" t="n">
        <v>0</v>
      </c>
      <c r="L332" s="43" t="n">
        <v>0</v>
      </c>
      <c r="M332" s="43" t="n">
        <v>0</v>
      </c>
      <c r="N332" s="43" t="n">
        <v>4</v>
      </c>
      <c r="O332" s="43" t="n">
        <v>0</v>
      </c>
      <c r="P332" s="43" t="n">
        <v>0</v>
      </c>
      <c r="Q332" s="43" t="n">
        <v>0</v>
      </c>
      <c r="R332" s="43" t="n">
        <v>0</v>
      </c>
      <c r="S332" s="43" t="n">
        <v>0</v>
      </c>
      <c r="T332" s="43" t="n">
        <v>0</v>
      </c>
      <c r="U332" s="42" t="n">
        <f aca="false">SUM(I332:T332)</f>
        <v>4</v>
      </c>
    </row>
    <row r="333" customFormat="false" ht="23.85" hidden="false" customHeight="false" outlineLevel="0" collapsed="false">
      <c r="A333" s="40" t="s">
        <v>929</v>
      </c>
      <c r="B333" s="40" t="s">
        <v>194</v>
      </c>
      <c r="C333" s="40" t="s">
        <v>38</v>
      </c>
      <c r="D333" s="40" t="s">
        <v>6</v>
      </c>
      <c r="E333" s="40" t="s">
        <v>375</v>
      </c>
      <c r="F333" s="40" t="s">
        <v>195</v>
      </c>
      <c r="G333" s="40" t="s">
        <v>413</v>
      </c>
      <c r="H333" s="40" t="s">
        <v>43</v>
      </c>
      <c r="I333" s="43" t="n">
        <v>0</v>
      </c>
      <c r="J333" s="43" t="n">
        <v>0</v>
      </c>
      <c r="K333" s="43" t="n">
        <v>0</v>
      </c>
      <c r="L333" s="43" t="n">
        <v>0</v>
      </c>
      <c r="M333" s="43" t="n">
        <v>0</v>
      </c>
      <c r="N333" s="43" t="n">
        <v>8</v>
      </c>
      <c r="O333" s="43" t="n">
        <v>0</v>
      </c>
      <c r="P333" s="43" t="n">
        <v>0</v>
      </c>
      <c r="Q333" s="43" t="n">
        <v>0</v>
      </c>
      <c r="R333" s="43" t="n">
        <v>0</v>
      </c>
      <c r="S333" s="43" t="n">
        <v>0</v>
      </c>
      <c r="T333" s="43" t="n">
        <v>0</v>
      </c>
      <c r="U333" s="42" t="n">
        <f aca="false">SUM(I333:T333)</f>
        <v>8</v>
      </c>
    </row>
    <row r="334" customFormat="false" ht="23.85" hidden="false" customHeight="false" outlineLevel="0" collapsed="false">
      <c r="A334" s="40" t="s">
        <v>930</v>
      </c>
      <c r="B334" s="40" t="s">
        <v>197</v>
      </c>
      <c r="C334" s="40" t="s">
        <v>38</v>
      </c>
      <c r="D334" s="40" t="s">
        <v>6</v>
      </c>
      <c r="E334" s="40" t="s">
        <v>375</v>
      </c>
      <c r="F334" s="40" t="s">
        <v>198</v>
      </c>
      <c r="G334" s="40" t="s">
        <v>931</v>
      </c>
      <c r="H334" s="40" t="s">
        <v>43</v>
      </c>
      <c r="I334" s="43" t="n">
        <v>0</v>
      </c>
      <c r="J334" s="43" t="n">
        <v>0</v>
      </c>
      <c r="K334" s="43" t="n">
        <v>0</v>
      </c>
      <c r="L334" s="43" t="n">
        <v>0</v>
      </c>
      <c r="M334" s="43" t="n">
        <v>15</v>
      </c>
      <c r="N334" s="43" t="n">
        <v>10</v>
      </c>
      <c r="O334" s="43" t="n">
        <v>0</v>
      </c>
      <c r="P334" s="43" t="n">
        <v>0</v>
      </c>
      <c r="Q334" s="43" t="n">
        <v>0</v>
      </c>
      <c r="R334" s="43" t="n">
        <v>0</v>
      </c>
      <c r="S334" s="43" t="n">
        <v>0</v>
      </c>
      <c r="T334" s="43" t="n">
        <v>0</v>
      </c>
      <c r="U334" s="42" t="n">
        <f aca="false">SUM(I334:T334)</f>
        <v>25</v>
      </c>
    </row>
    <row r="335" customFormat="false" ht="23.85" hidden="false" customHeight="false" outlineLevel="0" collapsed="false">
      <c r="A335" s="40" t="s">
        <v>932</v>
      </c>
      <c r="B335" s="40" t="s">
        <v>197</v>
      </c>
      <c r="C335" s="40" t="s">
        <v>38</v>
      </c>
      <c r="D335" s="40" t="s">
        <v>6</v>
      </c>
      <c r="E335" s="40" t="s">
        <v>375</v>
      </c>
      <c r="F335" s="40" t="s">
        <v>198</v>
      </c>
      <c r="G335" s="40" t="s">
        <v>933</v>
      </c>
      <c r="H335" s="40" t="s">
        <v>43</v>
      </c>
      <c r="I335" s="43" t="n">
        <v>0</v>
      </c>
      <c r="J335" s="43" t="n">
        <v>0</v>
      </c>
      <c r="K335" s="43" t="n">
        <v>0</v>
      </c>
      <c r="L335" s="43" t="n">
        <v>0</v>
      </c>
      <c r="M335" s="43" t="n">
        <v>0</v>
      </c>
      <c r="N335" s="43" t="n">
        <v>10</v>
      </c>
      <c r="O335" s="43" t="n">
        <v>0</v>
      </c>
      <c r="P335" s="43" t="n">
        <v>0</v>
      </c>
      <c r="Q335" s="43" t="n">
        <v>0</v>
      </c>
      <c r="R335" s="43" t="n">
        <v>0</v>
      </c>
      <c r="S335" s="43" t="n">
        <v>0</v>
      </c>
      <c r="T335" s="43" t="n">
        <v>0</v>
      </c>
      <c r="U335" s="42" t="n">
        <f aca="false">SUM(I335:T335)</f>
        <v>10</v>
      </c>
    </row>
    <row r="336" customFormat="false" ht="23.85" hidden="false" customHeight="false" outlineLevel="0" collapsed="false">
      <c r="A336" s="40" t="s">
        <v>934</v>
      </c>
      <c r="B336" s="40" t="s">
        <v>197</v>
      </c>
      <c r="C336" s="40" t="s">
        <v>38</v>
      </c>
      <c r="D336" s="40" t="s">
        <v>6</v>
      </c>
      <c r="E336" s="40" t="s">
        <v>375</v>
      </c>
      <c r="F336" s="40" t="s">
        <v>198</v>
      </c>
      <c r="G336" s="40" t="s">
        <v>935</v>
      </c>
      <c r="H336" s="40" t="s">
        <v>43</v>
      </c>
      <c r="I336" s="43" t="n">
        <v>0</v>
      </c>
      <c r="J336" s="43" t="n">
        <v>0</v>
      </c>
      <c r="K336" s="43" t="n">
        <v>0</v>
      </c>
      <c r="L336" s="43" t="n">
        <v>0</v>
      </c>
      <c r="M336" s="43" t="n">
        <v>0</v>
      </c>
      <c r="N336" s="43" t="n">
        <v>31</v>
      </c>
      <c r="O336" s="43" t="n">
        <v>31</v>
      </c>
      <c r="P336" s="43" t="n">
        <v>0</v>
      </c>
      <c r="Q336" s="43" t="n">
        <v>0</v>
      </c>
      <c r="R336" s="43" t="n">
        <v>0</v>
      </c>
      <c r="S336" s="43" t="n">
        <v>0</v>
      </c>
      <c r="T336" s="43" t="n">
        <v>0</v>
      </c>
      <c r="U336" s="42" t="n">
        <f aca="false">SUM(I336:T336)</f>
        <v>62</v>
      </c>
    </row>
    <row r="337" customFormat="false" ht="23.85" hidden="false" customHeight="false" outlineLevel="0" collapsed="false">
      <c r="A337" s="40" t="s">
        <v>936</v>
      </c>
      <c r="B337" s="40" t="s">
        <v>197</v>
      </c>
      <c r="C337" s="40" t="s">
        <v>38</v>
      </c>
      <c r="D337" s="40" t="s">
        <v>6</v>
      </c>
      <c r="E337" s="40" t="s">
        <v>375</v>
      </c>
      <c r="F337" s="40" t="s">
        <v>198</v>
      </c>
      <c r="G337" s="40" t="s">
        <v>937</v>
      </c>
      <c r="H337" s="40" t="s">
        <v>43</v>
      </c>
      <c r="I337" s="43" t="n">
        <v>0</v>
      </c>
      <c r="J337" s="43" t="n">
        <v>0</v>
      </c>
      <c r="K337" s="43" t="n">
        <v>0</v>
      </c>
      <c r="L337" s="43" t="n">
        <v>0</v>
      </c>
      <c r="M337" s="43" t="n">
        <v>0</v>
      </c>
      <c r="N337" s="43" t="n">
        <v>31</v>
      </c>
      <c r="O337" s="43" t="n">
        <v>0</v>
      </c>
      <c r="P337" s="43" t="n">
        <v>0</v>
      </c>
      <c r="Q337" s="43" t="n">
        <v>0</v>
      </c>
      <c r="R337" s="43" t="n">
        <v>0</v>
      </c>
      <c r="S337" s="43" t="n">
        <v>0</v>
      </c>
      <c r="T337" s="43" t="n">
        <v>0</v>
      </c>
      <c r="U337" s="42" t="n">
        <f aca="false">SUM(I337:T337)</f>
        <v>31</v>
      </c>
    </row>
    <row r="338" customFormat="false" ht="23.85" hidden="false" customHeight="false" outlineLevel="0" collapsed="false">
      <c r="A338" s="40" t="s">
        <v>938</v>
      </c>
      <c r="B338" s="40" t="s">
        <v>197</v>
      </c>
      <c r="C338" s="40" t="s">
        <v>38</v>
      </c>
      <c r="D338" s="40" t="s">
        <v>6</v>
      </c>
      <c r="E338" s="40" t="s">
        <v>375</v>
      </c>
      <c r="F338" s="40" t="s">
        <v>198</v>
      </c>
      <c r="G338" s="40" t="s">
        <v>939</v>
      </c>
      <c r="H338" s="40" t="s">
        <v>43</v>
      </c>
      <c r="I338" s="43" t="n">
        <v>0</v>
      </c>
      <c r="J338" s="43" t="n">
        <v>0</v>
      </c>
      <c r="K338" s="43" t="n">
        <v>0</v>
      </c>
      <c r="L338" s="43" t="n">
        <v>0</v>
      </c>
      <c r="M338" s="43" t="n">
        <v>0</v>
      </c>
      <c r="N338" s="43" t="n">
        <v>20</v>
      </c>
      <c r="O338" s="43" t="n">
        <v>10</v>
      </c>
      <c r="P338" s="43" t="n">
        <v>0</v>
      </c>
      <c r="Q338" s="43" t="n">
        <v>0</v>
      </c>
      <c r="R338" s="43" t="n">
        <v>0</v>
      </c>
      <c r="S338" s="43" t="n">
        <v>0</v>
      </c>
      <c r="T338" s="43" t="n">
        <v>0</v>
      </c>
      <c r="U338" s="42" t="n">
        <f aca="false">SUM(I338:T338)</f>
        <v>30</v>
      </c>
    </row>
    <row r="339" customFormat="false" ht="23.85" hidden="false" customHeight="false" outlineLevel="0" collapsed="false">
      <c r="A339" s="40" t="s">
        <v>940</v>
      </c>
      <c r="B339" s="40" t="s">
        <v>197</v>
      </c>
      <c r="C339" s="40" t="s">
        <v>38</v>
      </c>
      <c r="D339" s="40" t="s">
        <v>6</v>
      </c>
      <c r="E339" s="40" t="s">
        <v>375</v>
      </c>
      <c r="F339" s="40" t="s">
        <v>198</v>
      </c>
      <c r="G339" s="40" t="s">
        <v>941</v>
      </c>
      <c r="H339" s="40" t="s">
        <v>43</v>
      </c>
      <c r="I339" s="43" t="n">
        <v>0</v>
      </c>
      <c r="J339" s="43" t="n">
        <v>0</v>
      </c>
      <c r="K339" s="43" t="n">
        <v>0</v>
      </c>
      <c r="L339" s="43" t="n">
        <v>0</v>
      </c>
      <c r="M339" s="43" t="n">
        <v>15</v>
      </c>
      <c r="N339" s="43" t="n">
        <v>20</v>
      </c>
      <c r="O339" s="43" t="n">
        <v>0</v>
      </c>
      <c r="P339" s="43" t="n">
        <v>0</v>
      </c>
      <c r="Q339" s="43" t="n">
        <v>0</v>
      </c>
      <c r="R339" s="43" t="n">
        <v>0</v>
      </c>
      <c r="S339" s="43" t="n">
        <v>0</v>
      </c>
      <c r="T339" s="43" t="n">
        <v>0</v>
      </c>
      <c r="U339" s="42" t="n">
        <f aca="false">SUM(I339:T339)</f>
        <v>35</v>
      </c>
    </row>
    <row r="340" customFormat="false" ht="23.85" hidden="false" customHeight="false" outlineLevel="0" collapsed="false">
      <c r="A340" s="40" t="s">
        <v>942</v>
      </c>
      <c r="B340" s="40" t="s">
        <v>197</v>
      </c>
      <c r="C340" s="40" t="s">
        <v>38</v>
      </c>
      <c r="D340" s="40" t="s">
        <v>6</v>
      </c>
      <c r="E340" s="40" t="s">
        <v>375</v>
      </c>
      <c r="F340" s="40" t="s">
        <v>198</v>
      </c>
      <c r="G340" s="40" t="s">
        <v>943</v>
      </c>
      <c r="H340" s="40" t="s">
        <v>43</v>
      </c>
      <c r="I340" s="43" t="n">
        <v>0</v>
      </c>
      <c r="J340" s="43" t="n">
        <v>0</v>
      </c>
      <c r="K340" s="43" t="n">
        <v>0</v>
      </c>
      <c r="L340" s="43" t="n">
        <v>0</v>
      </c>
      <c r="M340" s="43" t="n">
        <v>0</v>
      </c>
      <c r="N340" s="43" t="n">
        <v>0</v>
      </c>
      <c r="O340" s="43" t="n">
        <v>0</v>
      </c>
      <c r="P340" s="43" t="n">
        <v>0</v>
      </c>
      <c r="Q340" s="43" t="n">
        <v>0</v>
      </c>
      <c r="R340" s="43" t="n">
        <v>0</v>
      </c>
      <c r="S340" s="43" t="n">
        <v>41</v>
      </c>
      <c r="T340" s="43" t="n">
        <v>0</v>
      </c>
      <c r="U340" s="42" t="n">
        <f aca="false">SUM(I340:T340)</f>
        <v>41</v>
      </c>
    </row>
    <row r="341" customFormat="false" ht="23.85" hidden="false" customHeight="false" outlineLevel="0" collapsed="false">
      <c r="A341" s="40" t="s">
        <v>944</v>
      </c>
      <c r="B341" s="40" t="s">
        <v>197</v>
      </c>
      <c r="C341" s="40" t="s">
        <v>38</v>
      </c>
      <c r="D341" s="40" t="s">
        <v>6</v>
      </c>
      <c r="E341" s="40" t="s">
        <v>375</v>
      </c>
      <c r="F341" s="40" t="s">
        <v>198</v>
      </c>
      <c r="G341" s="40" t="s">
        <v>407</v>
      </c>
      <c r="H341" s="40" t="s">
        <v>43</v>
      </c>
      <c r="I341" s="43" t="n">
        <v>0</v>
      </c>
      <c r="J341" s="43" t="n">
        <v>0</v>
      </c>
      <c r="K341" s="43" t="n">
        <v>0</v>
      </c>
      <c r="L341" s="43" t="n">
        <v>0</v>
      </c>
      <c r="M341" s="43" t="n">
        <v>14</v>
      </c>
      <c r="N341" s="43" t="n">
        <v>0</v>
      </c>
      <c r="O341" s="43" t="n">
        <v>0</v>
      </c>
      <c r="P341" s="43" t="n">
        <v>0</v>
      </c>
      <c r="Q341" s="43" t="n">
        <v>0</v>
      </c>
      <c r="R341" s="43" t="n">
        <v>0</v>
      </c>
      <c r="S341" s="43" t="n">
        <v>0</v>
      </c>
      <c r="T341" s="43" t="n">
        <v>0</v>
      </c>
      <c r="U341" s="42" t="n">
        <f aca="false">SUM(I341:T341)</f>
        <v>14</v>
      </c>
    </row>
    <row r="342" customFormat="false" ht="23.85" hidden="false" customHeight="false" outlineLevel="0" collapsed="false">
      <c r="A342" s="40" t="s">
        <v>945</v>
      </c>
      <c r="B342" s="40" t="s">
        <v>197</v>
      </c>
      <c r="C342" s="40" t="s">
        <v>38</v>
      </c>
      <c r="D342" s="40" t="s">
        <v>6</v>
      </c>
      <c r="E342" s="40" t="s">
        <v>375</v>
      </c>
      <c r="F342" s="40" t="s">
        <v>198</v>
      </c>
      <c r="G342" s="40" t="s">
        <v>409</v>
      </c>
      <c r="H342" s="40" t="s">
        <v>43</v>
      </c>
      <c r="I342" s="43" t="n">
        <v>0</v>
      </c>
      <c r="J342" s="43" t="n">
        <v>0</v>
      </c>
      <c r="K342" s="43" t="n">
        <v>9</v>
      </c>
      <c r="L342" s="43" t="n">
        <v>0</v>
      </c>
      <c r="M342" s="43" t="n">
        <v>0</v>
      </c>
      <c r="N342" s="43" t="n">
        <v>0</v>
      </c>
      <c r="O342" s="43" t="n">
        <v>0</v>
      </c>
      <c r="P342" s="43" t="n">
        <v>0</v>
      </c>
      <c r="Q342" s="43" t="n">
        <v>0</v>
      </c>
      <c r="R342" s="43" t="n">
        <v>0</v>
      </c>
      <c r="S342" s="43" t="n">
        <v>0</v>
      </c>
      <c r="T342" s="43" t="n">
        <v>0</v>
      </c>
      <c r="U342" s="42" t="n">
        <f aca="false">SUM(I342:T342)</f>
        <v>9</v>
      </c>
    </row>
    <row r="343" customFormat="false" ht="23.85" hidden="false" customHeight="false" outlineLevel="0" collapsed="false">
      <c r="A343" s="40" t="s">
        <v>946</v>
      </c>
      <c r="B343" s="40" t="s">
        <v>197</v>
      </c>
      <c r="C343" s="40" t="s">
        <v>38</v>
      </c>
      <c r="D343" s="40" t="s">
        <v>6</v>
      </c>
      <c r="E343" s="40" t="s">
        <v>375</v>
      </c>
      <c r="F343" s="40" t="s">
        <v>198</v>
      </c>
      <c r="G343" s="40" t="s">
        <v>411</v>
      </c>
      <c r="H343" s="40" t="s">
        <v>43</v>
      </c>
      <c r="I343" s="43" t="n">
        <v>0</v>
      </c>
      <c r="J343" s="43" t="n">
        <v>0</v>
      </c>
      <c r="K343" s="43" t="n">
        <v>0</v>
      </c>
      <c r="L343" s="43" t="n">
        <v>0</v>
      </c>
      <c r="M343" s="43" t="n">
        <v>0</v>
      </c>
      <c r="N343" s="43" t="n">
        <v>9</v>
      </c>
      <c r="O343" s="43" t="n">
        <v>0</v>
      </c>
      <c r="P343" s="43" t="n">
        <v>0</v>
      </c>
      <c r="Q343" s="43" t="n">
        <v>0</v>
      </c>
      <c r="R343" s="43" t="n">
        <v>0</v>
      </c>
      <c r="S343" s="43" t="n">
        <v>0</v>
      </c>
      <c r="T343" s="43" t="n">
        <v>0</v>
      </c>
      <c r="U343" s="42" t="n">
        <f aca="false">SUM(I343:T343)</f>
        <v>9</v>
      </c>
    </row>
    <row r="344" customFormat="false" ht="23.85" hidden="false" customHeight="false" outlineLevel="0" collapsed="false">
      <c r="A344" s="40" t="s">
        <v>947</v>
      </c>
      <c r="B344" s="40" t="s">
        <v>197</v>
      </c>
      <c r="C344" s="40" t="s">
        <v>38</v>
      </c>
      <c r="D344" s="40" t="s">
        <v>6</v>
      </c>
      <c r="E344" s="40" t="s">
        <v>375</v>
      </c>
      <c r="F344" s="40" t="s">
        <v>198</v>
      </c>
      <c r="G344" s="40" t="s">
        <v>413</v>
      </c>
      <c r="H344" s="40" t="s">
        <v>43</v>
      </c>
      <c r="I344" s="43" t="n">
        <v>0</v>
      </c>
      <c r="J344" s="43" t="n">
        <v>0</v>
      </c>
      <c r="K344" s="43" t="n">
        <v>0</v>
      </c>
      <c r="L344" s="43" t="n">
        <v>0</v>
      </c>
      <c r="M344" s="43" t="n">
        <v>0</v>
      </c>
      <c r="N344" s="43" t="n">
        <v>19</v>
      </c>
      <c r="O344" s="43" t="n">
        <v>0</v>
      </c>
      <c r="P344" s="43" t="n">
        <v>0</v>
      </c>
      <c r="Q344" s="43" t="n">
        <v>0</v>
      </c>
      <c r="R344" s="43" t="n">
        <v>0</v>
      </c>
      <c r="S344" s="43" t="n">
        <v>0</v>
      </c>
      <c r="T344" s="43" t="n">
        <v>0</v>
      </c>
      <c r="U344" s="42" t="n">
        <f aca="false">SUM(I344:T344)</f>
        <v>19</v>
      </c>
    </row>
    <row r="345" customFormat="false" ht="15" hidden="false" customHeight="false" outlineLevel="0" collapsed="false">
      <c r="A345" s="40" t="s">
        <v>948</v>
      </c>
      <c r="B345" s="40" t="s">
        <v>200</v>
      </c>
      <c r="C345" s="40" t="s">
        <v>38</v>
      </c>
      <c r="D345" s="40" t="s">
        <v>6</v>
      </c>
      <c r="E345" s="40" t="s">
        <v>375</v>
      </c>
      <c r="F345" s="40" t="s">
        <v>201</v>
      </c>
      <c r="G345" s="40" t="s">
        <v>949</v>
      </c>
      <c r="H345" s="40" t="s">
        <v>44</v>
      </c>
      <c r="I345" s="43" t="n">
        <v>0</v>
      </c>
      <c r="J345" s="43" t="n">
        <v>0</v>
      </c>
      <c r="K345" s="43" t="n">
        <v>0</v>
      </c>
      <c r="L345" s="43" t="n">
        <v>0</v>
      </c>
      <c r="M345" s="43" t="n">
        <v>0</v>
      </c>
      <c r="N345" s="43" t="n">
        <v>0</v>
      </c>
      <c r="O345" s="43" t="n">
        <v>0</v>
      </c>
      <c r="P345" s="43" t="n">
        <v>25</v>
      </c>
      <c r="Q345" s="43" t="n">
        <v>0</v>
      </c>
      <c r="R345" s="43" t="n">
        <v>25</v>
      </c>
      <c r="S345" s="43" t="n">
        <v>0</v>
      </c>
      <c r="T345" s="43" t="n">
        <v>0</v>
      </c>
      <c r="U345" s="42" t="n">
        <f aca="false">SUM(I345:T345)</f>
        <v>50</v>
      </c>
    </row>
    <row r="346" customFormat="false" ht="15" hidden="false" customHeight="false" outlineLevel="0" collapsed="false">
      <c r="A346" s="40" t="s">
        <v>950</v>
      </c>
      <c r="B346" s="40" t="s">
        <v>200</v>
      </c>
      <c r="C346" s="40" t="s">
        <v>38</v>
      </c>
      <c r="D346" s="40" t="s">
        <v>6</v>
      </c>
      <c r="E346" s="40" t="s">
        <v>375</v>
      </c>
      <c r="F346" s="40" t="s">
        <v>201</v>
      </c>
      <c r="G346" s="40" t="s">
        <v>951</v>
      </c>
      <c r="H346" s="40" t="s">
        <v>44</v>
      </c>
      <c r="I346" s="43" t="n">
        <v>0</v>
      </c>
      <c r="J346" s="43" t="n">
        <v>0</v>
      </c>
      <c r="K346" s="43" t="n">
        <v>0</v>
      </c>
      <c r="L346" s="43" t="n">
        <v>0</v>
      </c>
      <c r="M346" s="43" t="n">
        <v>0</v>
      </c>
      <c r="N346" s="43" t="n">
        <v>0</v>
      </c>
      <c r="O346" s="43" t="n">
        <v>73</v>
      </c>
      <c r="P346" s="43" t="n">
        <v>0</v>
      </c>
      <c r="Q346" s="43" t="n">
        <v>0</v>
      </c>
      <c r="R346" s="43" t="n">
        <v>0</v>
      </c>
      <c r="S346" s="43" t="n">
        <v>0</v>
      </c>
      <c r="T346" s="43" t="n">
        <v>0</v>
      </c>
      <c r="U346" s="42" t="n">
        <f aca="false">SUM(I346:T346)</f>
        <v>73</v>
      </c>
    </row>
    <row r="347" customFormat="false" ht="15" hidden="false" customHeight="false" outlineLevel="0" collapsed="false">
      <c r="A347" s="40" t="s">
        <v>952</v>
      </c>
      <c r="B347" s="40" t="s">
        <v>200</v>
      </c>
      <c r="C347" s="40" t="s">
        <v>38</v>
      </c>
      <c r="D347" s="40" t="s">
        <v>6</v>
      </c>
      <c r="E347" s="40" t="s">
        <v>375</v>
      </c>
      <c r="F347" s="40" t="s">
        <v>201</v>
      </c>
      <c r="G347" s="40" t="s">
        <v>953</v>
      </c>
      <c r="H347" s="40" t="s">
        <v>44</v>
      </c>
      <c r="I347" s="43" t="n">
        <v>0</v>
      </c>
      <c r="J347" s="43" t="n">
        <v>0</v>
      </c>
      <c r="K347" s="43" t="n">
        <v>0</v>
      </c>
      <c r="L347" s="43" t="n">
        <v>0</v>
      </c>
      <c r="M347" s="43" t="n">
        <v>0</v>
      </c>
      <c r="N347" s="43" t="n">
        <v>0</v>
      </c>
      <c r="O347" s="43" t="n">
        <v>37</v>
      </c>
      <c r="P347" s="43" t="n">
        <v>0</v>
      </c>
      <c r="Q347" s="43" t="n">
        <v>0</v>
      </c>
      <c r="R347" s="43" t="n">
        <v>0</v>
      </c>
      <c r="S347" s="43" t="n">
        <v>0</v>
      </c>
      <c r="T347" s="43" t="n">
        <v>0</v>
      </c>
      <c r="U347" s="42" t="n">
        <f aca="false">SUM(I347:T347)</f>
        <v>37</v>
      </c>
    </row>
    <row r="348" customFormat="false" ht="15" hidden="false" customHeight="false" outlineLevel="0" collapsed="false">
      <c r="A348" s="40" t="s">
        <v>954</v>
      </c>
      <c r="B348" s="40" t="s">
        <v>200</v>
      </c>
      <c r="C348" s="40" t="s">
        <v>38</v>
      </c>
      <c r="D348" s="40" t="s">
        <v>6</v>
      </c>
      <c r="E348" s="40" t="s">
        <v>375</v>
      </c>
      <c r="F348" s="40" t="s">
        <v>201</v>
      </c>
      <c r="G348" s="40" t="s">
        <v>955</v>
      </c>
      <c r="H348" s="40" t="s">
        <v>44</v>
      </c>
      <c r="I348" s="43" t="n">
        <v>0</v>
      </c>
      <c r="J348" s="43" t="n">
        <v>0</v>
      </c>
      <c r="K348" s="43" t="n">
        <v>0</v>
      </c>
      <c r="L348" s="43" t="n">
        <v>0</v>
      </c>
      <c r="M348" s="43" t="n">
        <v>0</v>
      </c>
      <c r="N348" s="43" t="n">
        <v>0</v>
      </c>
      <c r="O348" s="43" t="n">
        <v>0</v>
      </c>
      <c r="P348" s="43" t="n">
        <v>25</v>
      </c>
      <c r="Q348" s="43" t="n">
        <v>0</v>
      </c>
      <c r="R348" s="43" t="n">
        <v>0</v>
      </c>
      <c r="S348" s="43" t="n">
        <v>0</v>
      </c>
      <c r="T348" s="43" t="n">
        <v>0</v>
      </c>
      <c r="U348" s="42" t="n">
        <f aca="false">SUM(I348:T348)</f>
        <v>25</v>
      </c>
    </row>
    <row r="349" customFormat="false" ht="15" hidden="false" customHeight="false" outlineLevel="0" collapsed="false">
      <c r="A349" s="40" t="s">
        <v>956</v>
      </c>
      <c r="B349" s="40" t="s">
        <v>200</v>
      </c>
      <c r="C349" s="40" t="s">
        <v>38</v>
      </c>
      <c r="D349" s="40" t="s">
        <v>6</v>
      </c>
      <c r="E349" s="40" t="s">
        <v>375</v>
      </c>
      <c r="F349" s="40" t="s">
        <v>201</v>
      </c>
      <c r="G349" s="40" t="s">
        <v>957</v>
      </c>
      <c r="H349" s="40" t="s">
        <v>44</v>
      </c>
      <c r="I349" s="43" t="n">
        <v>0</v>
      </c>
      <c r="J349" s="43" t="n">
        <v>0</v>
      </c>
      <c r="K349" s="43" t="n">
        <v>0</v>
      </c>
      <c r="L349" s="43" t="n">
        <v>0</v>
      </c>
      <c r="M349" s="43" t="n">
        <v>0</v>
      </c>
      <c r="N349" s="43" t="n">
        <v>0</v>
      </c>
      <c r="O349" s="43" t="n">
        <v>12</v>
      </c>
      <c r="P349" s="43" t="n">
        <v>0</v>
      </c>
      <c r="Q349" s="43" t="n">
        <v>0</v>
      </c>
      <c r="R349" s="43" t="n">
        <v>0</v>
      </c>
      <c r="S349" s="43" t="n">
        <v>49</v>
      </c>
      <c r="T349" s="43" t="n">
        <v>0</v>
      </c>
      <c r="U349" s="42" t="n">
        <f aca="false">SUM(I349:T349)</f>
        <v>61</v>
      </c>
    </row>
    <row r="350" customFormat="false" ht="15" hidden="false" customHeight="false" outlineLevel="0" collapsed="false">
      <c r="A350" s="40" t="s">
        <v>958</v>
      </c>
      <c r="B350" s="40" t="s">
        <v>200</v>
      </c>
      <c r="C350" s="40" t="s">
        <v>38</v>
      </c>
      <c r="D350" s="40" t="s">
        <v>6</v>
      </c>
      <c r="E350" s="40" t="s">
        <v>375</v>
      </c>
      <c r="F350" s="40" t="s">
        <v>201</v>
      </c>
      <c r="G350" s="40" t="s">
        <v>407</v>
      </c>
      <c r="H350" s="40" t="s">
        <v>44</v>
      </c>
      <c r="I350" s="43" t="n">
        <v>0</v>
      </c>
      <c r="J350" s="43" t="n">
        <v>0</v>
      </c>
      <c r="K350" s="43" t="n">
        <v>0</v>
      </c>
      <c r="L350" s="43" t="n">
        <v>0</v>
      </c>
      <c r="M350" s="43" t="n">
        <v>0</v>
      </c>
      <c r="N350" s="43" t="n">
        <v>0</v>
      </c>
      <c r="O350" s="43" t="n">
        <v>0</v>
      </c>
      <c r="P350" s="43" t="n">
        <v>15</v>
      </c>
      <c r="Q350" s="43" t="n">
        <v>0</v>
      </c>
      <c r="R350" s="43" t="n">
        <v>0</v>
      </c>
      <c r="S350" s="43" t="n">
        <v>0</v>
      </c>
      <c r="T350" s="43" t="n">
        <v>0</v>
      </c>
      <c r="U350" s="42" t="n">
        <f aca="false">SUM(I350:T350)</f>
        <v>15</v>
      </c>
    </row>
    <row r="351" customFormat="false" ht="15" hidden="false" customHeight="false" outlineLevel="0" collapsed="false">
      <c r="A351" s="40" t="s">
        <v>959</v>
      </c>
      <c r="B351" s="40" t="s">
        <v>200</v>
      </c>
      <c r="C351" s="40" t="s">
        <v>38</v>
      </c>
      <c r="D351" s="40" t="s">
        <v>6</v>
      </c>
      <c r="E351" s="40" t="s">
        <v>375</v>
      </c>
      <c r="F351" s="40" t="s">
        <v>201</v>
      </c>
      <c r="G351" s="40" t="s">
        <v>409</v>
      </c>
      <c r="H351" s="40" t="s">
        <v>44</v>
      </c>
      <c r="I351" s="43" t="n">
        <v>0</v>
      </c>
      <c r="J351" s="43" t="n">
        <v>0</v>
      </c>
      <c r="K351" s="43" t="n">
        <v>10</v>
      </c>
      <c r="L351" s="43" t="n">
        <v>0</v>
      </c>
      <c r="M351" s="43" t="n">
        <v>0</v>
      </c>
      <c r="N351" s="43" t="n">
        <v>0</v>
      </c>
      <c r="O351" s="43" t="n">
        <v>0</v>
      </c>
      <c r="P351" s="43" t="n">
        <v>0</v>
      </c>
      <c r="Q351" s="43" t="n">
        <v>0</v>
      </c>
      <c r="R351" s="43" t="n">
        <v>0</v>
      </c>
      <c r="S351" s="43" t="n">
        <v>0</v>
      </c>
      <c r="T351" s="43" t="n">
        <v>0</v>
      </c>
      <c r="U351" s="42" t="n">
        <f aca="false">SUM(I351:T351)</f>
        <v>10</v>
      </c>
    </row>
    <row r="352" customFormat="false" ht="15" hidden="false" customHeight="false" outlineLevel="0" collapsed="false">
      <c r="A352" s="40" t="s">
        <v>960</v>
      </c>
      <c r="B352" s="40" t="s">
        <v>200</v>
      </c>
      <c r="C352" s="40" t="s">
        <v>38</v>
      </c>
      <c r="D352" s="40" t="s">
        <v>6</v>
      </c>
      <c r="E352" s="40" t="s">
        <v>375</v>
      </c>
      <c r="F352" s="40" t="s">
        <v>201</v>
      </c>
      <c r="G352" s="40" t="s">
        <v>411</v>
      </c>
      <c r="H352" s="40" t="s">
        <v>44</v>
      </c>
      <c r="I352" s="43" t="n">
        <v>0</v>
      </c>
      <c r="J352" s="43" t="n">
        <v>0</v>
      </c>
      <c r="K352" s="43" t="n">
        <v>0</v>
      </c>
      <c r="L352" s="43" t="n">
        <v>0</v>
      </c>
      <c r="M352" s="43" t="n">
        <v>0</v>
      </c>
      <c r="N352" s="43" t="n">
        <v>0</v>
      </c>
      <c r="O352" s="43" t="n">
        <v>10</v>
      </c>
      <c r="P352" s="43" t="n">
        <v>0</v>
      </c>
      <c r="Q352" s="43" t="n">
        <v>0</v>
      </c>
      <c r="R352" s="43" t="n">
        <v>0</v>
      </c>
      <c r="S352" s="43" t="n">
        <v>0</v>
      </c>
      <c r="T352" s="43" t="n">
        <v>0</v>
      </c>
      <c r="U352" s="42" t="n">
        <f aca="false">SUM(I352:T352)</f>
        <v>10</v>
      </c>
    </row>
    <row r="353" customFormat="false" ht="15" hidden="false" customHeight="false" outlineLevel="0" collapsed="false">
      <c r="A353" s="40" t="s">
        <v>961</v>
      </c>
      <c r="B353" s="40" t="s">
        <v>200</v>
      </c>
      <c r="C353" s="40" t="s">
        <v>38</v>
      </c>
      <c r="D353" s="40" t="s">
        <v>6</v>
      </c>
      <c r="E353" s="40" t="s">
        <v>375</v>
      </c>
      <c r="F353" s="40" t="s">
        <v>201</v>
      </c>
      <c r="G353" s="40" t="s">
        <v>413</v>
      </c>
      <c r="H353" s="40" t="s">
        <v>44</v>
      </c>
      <c r="I353" s="43" t="n">
        <v>0</v>
      </c>
      <c r="J353" s="43" t="n">
        <v>0</v>
      </c>
      <c r="K353" s="43" t="n">
        <v>0</v>
      </c>
      <c r="L353" s="43" t="n">
        <v>0</v>
      </c>
      <c r="M353" s="43" t="n">
        <v>0</v>
      </c>
      <c r="N353" s="43" t="n">
        <v>0</v>
      </c>
      <c r="O353" s="43" t="n">
        <v>20</v>
      </c>
      <c r="P353" s="43" t="n">
        <v>0</v>
      </c>
      <c r="Q353" s="43" t="n">
        <v>0</v>
      </c>
      <c r="R353" s="43" t="n">
        <v>0</v>
      </c>
      <c r="S353" s="43" t="n">
        <v>0</v>
      </c>
      <c r="T353" s="43" t="n">
        <v>0</v>
      </c>
      <c r="U353" s="42" t="n">
        <f aca="false">SUM(I353:T353)</f>
        <v>20</v>
      </c>
    </row>
    <row r="354" customFormat="false" ht="15" hidden="false" customHeight="false" outlineLevel="0" collapsed="false">
      <c r="A354" s="40" t="s">
        <v>962</v>
      </c>
      <c r="B354" s="40" t="s">
        <v>203</v>
      </c>
      <c r="C354" s="40" t="s">
        <v>38</v>
      </c>
      <c r="D354" s="40" t="s">
        <v>6</v>
      </c>
      <c r="E354" s="40" t="s">
        <v>375</v>
      </c>
      <c r="F354" s="40" t="s">
        <v>204</v>
      </c>
      <c r="G354" s="40" t="s">
        <v>963</v>
      </c>
      <c r="H354" s="40" t="s">
        <v>44</v>
      </c>
      <c r="I354" s="43" t="n">
        <v>0</v>
      </c>
      <c r="J354" s="43" t="n">
        <v>18</v>
      </c>
      <c r="K354" s="43" t="n">
        <v>0</v>
      </c>
      <c r="L354" s="43" t="n">
        <v>0</v>
      </c>
      <c r="M354" s="43" t="n">
        <v>0</v>
      </c>
      <c r="N354" s="43" t="n">
        <v>0</v>
      </c>
      <c r="O354" s="43" t="n">
        <v>0</v>
      </c>
      <c r="P354" s="43" t="n">
        <v>0</v>
      </c>
      <c r="Q354" s="43" t="n">
        <v>0</v>
      </c>
      <c r="R354" s="43" t="n">
        <v>0</v>
      </c>
      <c r="S354" s="43" t="n">
        <v>0</v>
      </c>
      <c r="T354" s="43" t="n">
        <v>0</v>
      </c>
      <c r="U354" s="42" t="n">
        <f aca="false">SUM(I354:T354)</f>
        <v>18</v>
      </c>
    </row>
    <row r="355" customFormat="false" ht="15" hidden="false" customHeight="false" outlineLevel="0" collapsed="false">
      <c r="A355" s="40" t="s">
        <v>964</v>
      </c>
      <c r="B355" s="40" t="s">
        <v>203</v>
      </c>
      <c r="C355" s="40" t="s">
        <v>38</v>
      </c>
      <c r="D355" s="40" t="s">
        <v>6</v>
      </c>
      <c r="E355" s="40" t="s">
        <v>375</v>
      </c>
      <c r="F355" s="40" t="s">
        <v>204</v>
      </c>
      <c r="G355" s="40" t="s">
        <v>965</v>
      </c>
      <c r="H355" s="40" t="s">
        <v>44</v>
      </c>
      <c r="I355" s="43" t="n">
        <v>0</v>
      </c>
      <c r="J355" s="43" t="n">
        <v>0</v>
      </c>
      <c r="K355" s="43" t="n">
        <v>31</v>
      </c>
      <c r="L355" s="43" t="n">
        <v>0</v>
      </c>
      <c r="M355" s="43" t="n">
        <v>0</v>
      </c>
      <c r="N355" s="43" t="n">
        <v>0</v>
      </c>
      <c r="O355" s="43" t="n">
        <v>0</v>
      </c>
      <c r="P355" s="43" t="n">
        <v>0</v>
      </c>
      <c r="Q355" s="43" t="n">
        <v>0</v>
      </c>
      <c r="R355" s="43" t="n">
        <v>0</v>
      </c>
      <c r="S355" s="43" t="n">
        <v>0</v>
      </c>
      <c r="T355" s="43" t="n">
        <v>0</v>
      </c>
      <c r="U355" s="42" t="n">
        <f aca="false">SUM(I355:T355)</f>
        <v>31</v>
      </c>
    </row>
    <row r="356" customFormat="false" ht="15" hidden="false" customHeight="false" outlineLevel="0" collapsed="false">
      <c r="A356" s="40" t="s">
        <v>966</v>
      </c>
      <c r="B356" s="40" t="s">
        <v>203</v>
      </c>
      <c r="C356" s="40" t="s">
        <v>38</v>
      </c>
      <c r="D356" s="40" t="s">
        <v>6</v>
      </c>
      <c r="E356" s="40" t="s">
        <v>375</v>
      </c>
      <c r="F356" s="40" t="s">
        <v>204</v>
      </c>
      <c r="G356" s="40" t="s">
        <v>967</v>
      </c>
      <c r="H356" s="40" t="s">
        <v>44</v>
      </c>
      <c r="I356" s="43" t="n">
        <v>0</v>
      </c>
      <c r="J356" s="43" t="n">
        <v>0</v>
      </c>
      <c r="K356" s="43" t="n">
        <v>0</v>
      </c>
      <c r="L356" s="43" t="n">
        <v>0</v>
      </c>
      <c r="M356" s="43" t="n">
        <v>0</v>
      </c>
      <c r="N356" s="43" t="n">
        <v>0</v>
      </c>
      <c r="O356" s="43" t="n">
        <v>25</v>
      </c>
      <c r="P356" s="43" t="n">
        <v>0</v>
      </c>
      <c r="Q356" s="43" t="n">
        <v>0</v>
      </c>
      <c r="R356" s="43" t="n">
        <v>0</v>
      </c>
      <c r="S356" s="43" t="n">
        <v>0</v>
      </c>
      <c r="T356" s="43" t="n">
        <v>0</v>
      </c>
      <c r="U356" s="42" t="n">
        <f aca="false">SUM(I356:T356)</f>
        <v>25</v>
      </c>
    </row>
    <row r="357" customFormat="false" ht="15" hidden="false" customHeight="false" outlineLevel="0" collapsed="false">
      <c r="A357" s="40" t="s">
        <v>968</v>
      </c>
      <c r="B357" s="40" t="s">
        <v>203</v>
      </c>
      <c r="C357" s="40" t="s">
        <v>38</v>
      </c>
      <c r="D357" s="40" t="s">
        <v>6</v>
      </c>
      <c r="E357" s="40" t="s">
        <v>375</v>
      </c>
      <c r="F357" s="40" t="s">
        <v>204</v>
      </c>
      <c r="G357" s="40" t="s">
        <v>969</v>
      </c>
      <c r="H357" s="40" t="s">
        <v>44</v>
      </c>
      <c r="I357" s="43" t="n">
        <v>0</v>
      </c>
      <c r="J357" s="43" t="n">
        <v>0</v>
      </c>
      <c r="K357" s="43" t="n">
        <v>0</v>
      </c>
      <c r="L357" s="43" t="n">
        <v>0</v>
      </c>
      <c r="M357" s="43" t="n">
        <v>0</v>
      </c>
      <c r="N357" s="43" t="n">
        <v>0</v>
      </c>
      <c r="O357" s="43" t="n">
        <v>98</v>
      </c>
      <c r="P357" s="43" t="n">
        <v>0</v>
      </c>
      <c r="Q357" s="43" t="n">
        <v>0</v>
      </c>
      <c r="R357" s="43" t="n">
        <v>0</v>
      </c>
      <c r="S357" s="43" t="n">
        <v>0</v>
      </c>
      <c r="T357" s="43" t="n">
        <v>0</v>
      </c>
      <c r="U357" s="42" t="n">
        <f aca="false">SUM(I357:T357)</f>
        <v>98</v>
      </c>
    </row>
    <row r="358" customFormat="false" ht="15" hidden="false" customHeight="false" outlineLevel="0" collapsed="false">
      <c r="A358" s="40" t="s">
        <v>970</v>
      </c>
      <c r="B358" s="40" t="s">
        <v>203</v>
      </c>
      <c r="C358" s="40" t="s">
        <v>38</v>
      </c>
      <c r="D358" s="40" t="s">
        <v>6</v>
      </c>
      <c r="E358" s="40" t="s">
        <v>375</v>
      </c>
      <c r="F358" s="40" t="s">
        <v>204</v>
      </c>
      <c r="G358" s="40" t="s">
        <v>971</v>
      </c>
      <c r="H358" s="40" t="s">
        <v>44</v>
      </c>
      <c r="I358" s="43" t="n">
        <v>0</v>
      </c>
      <c r="J358" s="43" t="n">
        <v>0</v>
      </c>
      <c r="K358" s="43" t="n">
        <v>0</v>
      </c>
      <c r="L358" s="43" t="n">
        <v>0</v>
      </c>
      <c r="M358" s="43" t="n">
        <v>0</v>
      </c>
      <c r="N358" s="43" t="n">
        <v>0</v>
      </c>
      <c r="O358" s="43" t="n">
        <v>49</v>
      </c>
      <c r="P358" s="43" t="n">
        <v>0</v>
      </c>
      <c r="Q358" s="43" t="n">
        <v>0</v>
      </c>
      <c r="R358" s="43" t="n">
        <v>0</v>
      </c>
      <c r="S358" s="43" t="n">
        <v>0</v>
      </c>
      <c r="T358" s="43" t="n">
        <v>0</v>
      </c>
      <c r="U358" s="42" t="n">
        <f aca="false">SUM(I358:T358)</f>
        <v>49</v>
      </c>
    </row>
    <row r="359" customFormat="false" ht="15" hidden="false" customHeight="false" outlineLevel="0" collapsed="false">
      <c r="A359" s="40" t="s">
        <v>972</v>
      </c>
      <c r="B359" s="40" t="s">
        <v>203</v>
      </c>
      <c r="C359" s="40" t="s">
        <v>38</v>
      </c>
      <c r="D359" s="40" t="s">
        <v>6</v>
      </c>
      <c r="E359" s="40" t="s">
        <v>375</v>
      </c>
      <c r="F359" s="40" t="s">
        <v>204</v>
      </c>
      <c r="G359" s="40" t="s">
        <v>973</v>
      </c>
      <c r="H359" s="40" t="s">
        <v>44</v>
      </c>
      <c r="I359" s="43" t="n">
        <v>0</v>
      </c>
      <c r="J359" s="43" t="n">
        <v>6</v>
      </c>
      <c r="K359" s="43" t="n">
        <v>18</v>
      </c>
      <c r="L359" s="43" t="n">
        <v>0</v>
      </c>
      <c r="M359" s="43" t="n">
        <v>0</v>
      </c>
      <c r="N359" s="43" t="n">
        <v>0</v>
      </c>
      <c r="O359" s="43" t="n">
        <v>0</v>
      </c>
      <c r="P359" s="43" t="n">
        <v>25</v>
      </c>
      <c r="Q359" s="43" t="n">
        <v>0</v>
      </c>
      <c r="R359" s="43" t="n">
        <v>0</v>
      </c>
      <c r="S359" s="43" t="n">
        <v>0</v>
      </c>
      <c r="T359" s="43" t="n">
        <v>0</v>
      </c>
      <c r="U359" s="42" t="n">
        <f aca="false">SUM(I359:T359)</f>
        <v>49</v>
      </c>
    </row>
    <row r="360" customFormat="false" ht="15" hidden="false" customHeight="false" outlineLevel="0" collapsed="false">
      <c r="A360" s="40" t="s">
        <v>974</v>
      </c>
      <c r="B360" s="40" t="s">
        <v>203</v>
      </c>
      <c r="C360" s="40" t="s">
        <v>38</v>
      </c>
      <c r="D360" s="40" t="s">
        <v>6</v>
      </c>
      <c r="E360" s="40" t="s">
        <v>375</v>
      </c>
      <c r="F360" s="40" t="s">
        <v>204</v>
      </c>
      <c r="G360" s="40" t="s">
        <v>407</v>
      </c>
      <c r="H360" s="40" t="s">
        <v>44</v>
      </c>
      <c r="I360" s="43" t="n">
        <v>0</v>
      </c>
      <c r="J360" s="43" t="n">
        <v>0</v>
      </c>
      <c r="K360" s="43" t="n">
        <v>0</v>
      </c>
      <c r="L360" s="43" t="n">
        <v>0</v>
      </c>
      <c r="M360" s="43" t="n">
        <v>0</v>
      </c>
      <c r="N360" s="43" t="n">
        <v>0</v>
      </c>
      <c r="O360" s="43" t="n">
        <v>0</v>
      </c>
      <c r="P360" s="43" t="n">
        <v>16</v>
      </c>
      <c r="Q360" s="43" t="n">
        <v>0</v>
      </c>
      <c r="R360" s="43" t="n">
        <v>0</v>
      </c>
      <c r="S360" s="43" t="n">
        <v>0</v>
      </c>
      <c r="T360" s="43" t="n">
        <v>0</v>
      </c>
      <c r="U360" s="42" t="n">
        <f aca="false">SUM(I360:T360)</f>
        <v>16</v>
      </c>
    </row>
    <row r="361" customFormat="false" ht="15" hidden="false" customHeight="false" outlineLevel="0" collapsed="false">
      <c r="A361" s="40" t="s">
        <v>975</v>
      </c>
      <c r="B361" s="40" t="s">
        <v>203</v>
      </c>
      <c r="C361" s="40" t="s">
        <v>38</v>
      </c>
      <c r="D361" s="40" t="s">
        <v>6</v>
      </c>
      <c r="E361" s="40" t="s">
        <v>375</v>
      </c>
      <c r="F361" s="40" t="s">
        <v>204</v>
      </c>
      <c r="G361" s="40" t="s">
        <v>409</v>
      </c>
      <c r="H361" s="40" t="s">
        <v>44</v>
      </c>
      <c r="I361" s="43" t="n">
        <v>0</v>
      </c>
      <c r="J361" s="43" t="n">
        <v>0</v>
      </c>
      <c r="K361" s="43" t="n">
        <v>11</v>
      </c>
      <c r="L361" s="43" t="n">
        <v>0</v>
      </c>
      <c r="M361" s="43" t="n">
        <v>0</v>
      </c>
      <c r="N361" s="43" t="n">
        <v>0</v>
      </c>
      <c r="O361" s="43" t="n">
        <v>0</v>
      </c>
      <c r="P361" s="43" t="n">
        <v>0</v>
      </c>
      <c r="Q361" s="43" t="n">
        <v>0</v>
      </c>
      <c r="R361" s="43" t="n">
        <v>0</v>
      </c>
      <c r="S361" s="43" t="n">
        <v>0</v>
      </c>
      <c r="T361" s="43" t="n">
        <v>0</v>
      </c>
      <c r="U361" s="42" t="n">
        <f aca="false">SUM(I361:T361)</f>
        <v>11</v>
      </c>
    </row>
    <row r="362" customFormat="false" ht="15" hidden="false" customHeight="false" outlineLevel="0" collapsed="false">
      <c r="A362" s="40" t="s">
        <v>976</v>
      </c>
      <c r="B362" s="40" t="s">
        <v>203</v>
      </c>
      <c r="C362" s="40" t="s">
        <v>38</v>
      </c>
      <c r="D362" s="40" t="s">
        <v>6</v>
      </c>
      <c r="E362" s="40" t="s">
        <v>375</v>
      </c>
      <c r="F362" s="40" t="s">
        <v>204</v>
      </c>
      <c r="G362" s="40" t="s">
        <v>411</v>
      </c>
      <c r="H362" s="40" t="s">
        <v>44</v>
      </c>
      <c r="I362" s="43" t="n">
        <v>0</v>
      </c>
      <c r="J362" s="43" t="n">
        <v>0</v>
      </c>
      <c r="K362" s="43" t="n">
        <v>0</v>
      </c>
      <c r="L362" s="43" t="n">
        <v>0</v>
      </c>
      <c r="M362" s="43" t="n">
        <v>0</v>
      </c>
      <c r="N362" s="43" t="n">
        <v>0</v>
      </c>
      <c r="O362" s="43" t="n">
        <v>11</v>
      </c>
      <c r="P362" s="43" t="n">
        <v>0</v>
      </c>
      <c r="Q362" s="43" t="n">
        <v>0</v>
      </c>
      <c r="R362" s="43" t="n">
        <v>0</v>
      </c>
      <c r="S362" s="43" t="n">
        <v>0</v>
      </c>
      <c r="T362" s="43" t="n">
        <v>0</v>
      </c>
      <c r="U362" s="42" t="n">
        <f aca="false">SUM(I362:T362)</f>
        <v>11</v>
      </c>
    </row>
    <row r="363" customFormat="false" ht="15" hidden="false" customHeight="false" outlineLevel="0" collapsed="false">
      <c r="A363" s="40" t="s">
        <v>977</v>
      </c>
      <c r="B363" s="40" t="s">
        <v>203</v>
      </c>
      <c r="C363" s="40" t="s">
        <v>38</v>
      </c>
      <c r="D363" s="40" t="s">
        <v>6</v>
      </c>
      <c r="E363" s="40" t="s">
        <v>375</v>
      </c>
      <c r="F363" s="40" t="s">
        <v>204</v>
      </c>
      <c r="G363" s="40" t="s">
        <v>413</v>
      </c>
      <c r="H363" s="40" t="s">
        <v>44</v>
      </c>
      <c r="I363" s="43" t="n">
        <v>0</v>
      </c>
      <c r="J363" s="43" t="n">
        <v>0</v>
      </c>
      <c r="K363" s="43" t="n">
        <v>0</v>
      </c>
      <c r="L363" s="43" t="n">
        <v>0</v>
      </c>
      <c r="M363" s="43" t="n">
        <v>0</v>
      </c>
      <c r="N363" s="43" t="n">
        <v>0</v>
      </c>
      <c r="O363" s="43" t="n">
        <v>22</v>
      </c>
      <c r="P363" s="43" t="n">
        <v>0</v>
      </c>
      <c r="Q363" s="43" t="n">
        <v>0</v>
      </c>
      <c r="R363" s="43" t="n">
        <v>0</v>
      </c>
      <c r="S363" s="43" t="n">
        <v>0</v>
      </c>
      <c r="T363" s="43" t="n">
        <v>0</v>
      </c>
      <c r="U363" s="42" t="n">
        <f aca="false">SUM(I363:T363)</f>
        <v>22</v>
      </c>
    </row>
    <row r="364" customFormat="false" ht="23.85" hidden="false" customHeight="false" outlineLevel="0" collapsed="false">
      <c r="A364" s="40" t="s">
        <v>978</v>
      </c>
      <c r="B364" s="40" t="s">
        <v>258</v>
      </c>
      <c r="C364" s="40" t="s">
        <v>38</v>
      </c>
      <c r="D364" s="40" t="s">
        <v>7</v>
      </c>
      <c r="E364" s="40" t="s">
        <v>376</v>
      </c>
      <c r="F364" s="40" t="s">
        <v>259</v>
      </c>
      <c r="G364" s="40" t="s">
        <v>979</v>
      </c>
      <c r="H364" s="40" t="s">
        <v>43</v>
      </c>
      <c r="I364" s="43" t="n">
        <v>0</v>
      </c>
      <c r="J364" s="43" t="n">
        <v>0</v>
      </c>
      <c r="K364" s="43" t="n">
        <v>0</v>
      </c>
      <c r="L364" s="43" t="n">
        <v>0</v>
      </c>
      <c r="M364" s="43" t="n">
        <v>49</v>
      </c>
      <c r="N364" s="43" t="n">
        <v>0</v>
      </c>
      <c r="O364" s="43" t="n">
        <v>0</v>
      </c>
      <c r="P364" s="43" t="n">
        <v>0</v>
      </c>
      <c r="Q364" s="43" t="n">
        <v>0</v>
      </c>
      <c r="R364" s="43" t="n">
        <v>0</v>
      </c>
      <c r="S364" s="43" t="n">
        <v>0</v>
      </c>
      <c r="T364" s="43" t="n">
        <v>0</v>
      </c>
      <c r="U364" s="42" t="n">
        <f aca="false">SUM(I364:T364)</f>
        <v>49</v>
      </c>
    </row>
    <row r="365" customFormat="false" ht="23.85" hidden="false" customHeight="false" outlineLevel="0" collapsed="false">
      <c r="A365" s="40" t="s">
        <v>980</v>
      </c>
      <c r="B365" s="40" t="s">
        <v>258</v>
      </c>
      <c r="C365" s="40" t="s">
        <v>38</v>
      </c>
      <c r="D365" s="40" t="s">
        <v>7</v>
      </c>
      <c r="E365" s="40" t="s">
        <v>376</v>
      </c>
      <c r="F365" s="40" t="s">
        <v>259</v>
      </c>
      <c r="G365" s="40" t="s">
        <v>981</v>
      </c>
      <c r="H365" s="40" t="s">
        <v>43</v>
      </c>
      <c r="I365" s="43" t="n">
        <v>0</v>
      </c>
      <c r="J365" s="43" t="n">
        <v>0</v>
      </c>
      <c r="K365" s="43" t="n">
        <v>0</v>
      </c>
      <c r="L365" s="43" t="n">
        <v>0</v>
      </c>
      <c r="M365" s="43" t="n">
        <v>0</v>
      </c>
      <c r="N365" s="43" t="n">
        <v>12</v>
      </c>
      <c r="O365" s="43" t="n">
        <v>0</v>
      </c>
      <c r="P365" s="43" t="n">
        <v>0</v>
      </c>
      <c r="Q365" s="43" t="n">
        <v>0</v>
      </c>
      <c r="R365" s="43" t="n">
        <v>0</v>
      </c>
      <c r="S365" s="43" t="n">
        <v>0</v>
      </c>
      <c r="T365" s="43" t="n">
        <v>0</v>
      </c>
      <c r="U365" s="42" t="n">
        <f aca="false">SUM(I365:T365)</f>
        <v>12</v>
      </c>
    </row>
    <row r="366" customFormat="false" ht="23.85" hidden="false" customHeight="false" outlineLevel="0" collapsed="false">
      <c r="A366" s="40" t="s">
        <v>982</v>
      </c>
      <c r="B366" s="40" t="s">
        <v>258</v>
      </c>
      <c r="C366" s="40" t="s">
        <v>38</v>
      </c>
      <c r="D366" s="40" t="s">
        <v>7</v>
      </c>
      <c r="E366" s="40" t="s">
        <v>376</v>
      </c>
      <c r="F366" s="40" t="s">
        <v>259</v>
      </c>
      <c r="G366" s="40" t="s">
        <v>983</v>
      </c>
      <c r="H366" s="40" t="s">
        <v>43</v>
      </c>
      <c r="I366" s="43" t="n">
        <v>0</v>
      </c>
      <c r="J366" s="43" t="n">
        <v>0</v>
      </c>
      <c r="K366" s="43" t="n">
        <v>0</v>
      </c>
      <c r="L366" s="43" t="n">
        <v>0</v>
      </c>
      <c r="M366" s="43" t="n">
        <v>0</v>
      </c>
      <c r="N366" s="43" t="n">
        <v>0</v>
      </c>
      <c r="O366" s="43" t="n">
        <v>73</v>
      </c>
      <c r="P366" s="43" t="n">
        <v>0</v>
      </c>
      <c r="Q366" s="43" t="n">
        <v>0</v>
      </c>
      <c r="R366" s="43" t="n">
        <v>0</v>
      </c>
      <c r="S366" s="43" t="n">
        <v>0</v>
      </c>
      <c r="T366" s="43" t="n">
        <v>0</v>
      </c>
      <c r="U366" s="42" t="n">
        <f aca="false">SUM(I366:T366)</f>
        <v>73</v>
      </c>
    </row>
    <row r="367" customFormat="false" ht="23.85" hidden="false" customHeight="false" outlineLevel="0" collapsed="false">
      <c r="A367" s="40" t="s">
        <v>984</v>
      </c>
      <c r="B367" s="40" t="s">
        <v>258</v>
      </c>
      <c r="C367" s="40" t="s">
        <v>38</v>
      </c>
      <c r="D367" s="40" t="s">
        <v>7</v>
      </c>
      <c r="E367" s="40" t="s">
        <v>376</v>
      </c>
      <c r="F367" s="40" t="s">
        <v>259</v>
      </c>
      <c r="G367" s="40" t="s">
        <v>985</v>
      </c>
      <c r="H367" s="40" t="s">
        <v>43</v>
      </c>
      <c r="I367" s="43" t="n">
        <v>0</v>
      </c>
      <c r="J367" s="43" t="n">
        <v>0</v>
      </c>
      <c r="K367" s="43" t="n">
        <v>0</v>
      </c>
      <c r="L367" s="43" t="n">
        <v>0</v>
      </c>
      <c r="M367" s="43" t="n">
        <v>0</v>
      </c>
      <c r="N367" s="43" t="n">
        <v>98</v>
      </c>
      <c r="O367" s="43" t="n">
        <v>0</v>
      </c>
      <c r="P367" s="43" t="n">
        <v>0</v>
      </c>
      <c r="Q367" s="43" t="n">
        <v>0</v>
      </c>
      <c r="R367" s="43" t="n">
        <v>0</v>
      </c>
      <c r="S367" s="43" t="n">
        <v>0</v>
      </c>
      <c r="T367" s="43" t="n">
        <v>0</v>
      </c>
      <c r="U367" s="42" t="n">
        <f aca="false">SUM(I367:T367)</f>
        <v>98</v>
      </c>
    </row>
    <row r="368" customFormat="false" ht="23.85" hidden="false" customHeight="false" outlineLevel="0" collapsed="false">
      <c r="A368" s="40" t="s">
        <v>986</v>
      </c>
      <c r="B368" s="40" t="s">
        <v>258</v>
      </c>
      <c r="C368" s="40" t="s">
        <v>38</v>
      </c>
      <c r="D368" s="40" t="s">
        <v>7</v>
      </c>
      <c r="E368" s="40" t="s">
        <v>376</v>
      </c>
      <c r="F368" s="40" t="s">
        <v>259</v>
      </c>
      <c r="G368" s="40" t="s">
        <v>987</v>
      </c>
      <c r="H368" s="40" t="s">
        <v>43</v>
      </c>
      <c r="I368" s="43" t="n">
        <v>0</v>
      </c>
      <c r="J368" s="43" t="n">
        <v>0</v>
      </c>
      <c r="K368" s="43" t="n">
        <v>0</v>
      </c>
      <c r="L368" s="43" t="n">
        <v>0</v>
      </c>
      <c r="M368" s="43" t="n">
        <v>0</v>
      </c>
      <c r="N368" s="43" t="n">
        <v>61</v>
      </c>
      <c r="O368" s="43" t="n">
        <v>0</v>
      </c>
      <c r="P368" s="43" t="n">
        <v>0</v>
      </c>
      <c r="Q368" s="43" t="n">
        <v>0</v>
      </c>
      <c r="R368" s="43" t="n">
        <v>0</v>
      </c>
      <c r="S368" s="43" t="n">
        <v>0</v>
      </c>
      <c r="T368" s="43" t="n">
        <v>0</v>
      </c>
      <c r="U368" s="42" t="n">
        <f aca="false">SUM(I368:T368)</f>
        <v>61</v>
      </c>
    </row>
    <row r="369" customFormat="false" ht="23.85" hidden="false" customHeight="false" outlineLevel="0" collapsed="false">
      <c r="A369" s="40" t="s">
        <v>988</v>
      </c>
      <c r="B369" s="40" t="s">
        <v>258</v>
      </c>
      <c r="C369" s="40" t="s">
        <v>38</v>
      </c>
      <c r="D369" s="40" t="s">
        <v>7</v>
      </c>
      <c r="E369" s="40" t="s">
        <v>376</v>
      </c>
      <c r="F369" s="40" t="s">
        <v>259</v>
      </c>
      <c r="G369" s="40" t="s">
        <v>989</v>
      </c>
      <c r="H369" s="40" t="s">
        <v>43</v>
      </c>
      <c r="I369" s="43" t="n">
        <v>0</v>
      </c>
      <c r="J369" s="43" t="n">
        <v>0</v>
      </c>
      <c r="K369" s="43" t="n">
        <v>0</v>
      </c>
      <c r="L369" s="43" t="n">
        <v>0</v>
      </c>
      <c r="M369" s="43" t="n">
        <v>25</v>
      </c>
      <c r="N369" s="43" t="n">
        <v>0</v>
      </c>
      <c r="O369" s="43" t="n">
        <v>25</v>
      </c>
      <c r="P369" s="43" t="n">
        <v>0</v>
      </c>
      <c r="Q369" s="43" t="n">
        <v>0</v>
      </c>
      <c r="R369" s="43" t="n">
        <v>0</v>
      </c>
      <c r="S369" s="43" t="n">
        <v>0</v>
      </c>
      <c r="T369" s="43" t="n">
        <v>0</v>
      </c>
      <c r="U369" s="42" t="n">
        <f aca="false">SUM(I369:T369)</f>
        <v>50</v>
      </c>
    </row>
    <row r="370" customFormat="false" ht="23.85" hidden="false" customHeight="false" outlineLevel="0" collapsed="false">
      <c r="A370" s="40" t="s">
        <v>990</v>
      </c>
      <c r="B370" s="40" t="s">
        <v>258</v>
      </c>
      <c r="C370" s="40" t="s">
        <v>38</v>
      </c>
      <c r="D370" s="40" t="s">
        <v>7</v>
      </c>
      <c r="E370" s="40" t="s">
        <v>376</v>
      </c>
      <c r="F370" s="40" t="s">
        <v>259</v>
      </c>
      <c r="G370" s="40" t="s">
        <v>991</v>
      </c>
      <c r="H370" s="40" t="s">
        <v>43</v>
      </c>
      <c r="I370" s="43" t="n">
        <v>0</v>
      </c>
      <c r="J370" s="43" t="n">
        <v>0</v>
      </c>
      <c r="K370" s="43" t="n">
        <v>0</v>
      </c>
      <c r="L370" s="43" t="n">
        <v>0</v>
      </c>
      <c r="M370" s="43" t="n">
        <v>0</v>
      </c>
      <c r="N370" s="43" t="n">
        <v>25</v>
      </c>
      <c r="O370" s="43" t="n">
        <v>0</v>
      </c>
      <c r="P370" s="43" t="n">
        <v>0</v>
      </c>
      <c r="Q370" s="43" t="n">
        <v>0</v>
      </c>
      <c r="R370" s="43" t="n">
        <v>0</v>
      </c>
      <c r="S370" s="43" t="n">
        <v>49</v>
      </c>
      <c r="T370" s="43" t="n">
        <v>0</v>
      </c>
      <c r="U370" s="42" t="n">
        <f aca="false">SUM(I370:T370)</f>
        <v>74</v>
      </c>
    </row>
    <row r="371" customFormat="false" ht="23.85" hidden="false" customHeight="false" outlineLevel="0" collapsed="false">
      <c r="A371" s="40" t="s">
        <v>992</v>
      </c>
      <c r="B371" s="40" t="s">
        <v>258</v>
      </c>
      <c r="C371" s="40" t="s">
        <v>38</v>
      </c>
      <c r="D371" s="40" t="s">
        <v>7</v>
      </c>
      <c r="E371" s="40" t="s">
        <v>376</v>
      </c>
      <c r="F371" s="40" t="s">
        <v>259</v>
      </c>
      <c r="G371" s="40" t="s">
        <v>407</v>
      </c>
      <c r="H371" s="40" t="s">
        <v>43</v>
      </c>
      <c r="I371" s="43" t="n">
        <v>0</v>
      </c>
      <c r="J371" s="43" t="n">
        <v>0</v>
      </c>
      <c r="K371" s="43" t="n">
        <v>0</v>
      </c>
      <c r="L371" s="43" t="n">
        <v>0</v>
      </c>
      <c r="M371" s="43" t="n">
        <v>25</v>
      </c>
      <c r="N371" s="43" t="n">
        <v>0</v>
      </c>
      <c r="O371" s="43" t="n">
        <v>0</v>
      </c>
      <c r="P371" s="43" t="n">
        <v>0</v>
      </c>
      <c r="Q371" s="43" t="n">
        <v>0</v>
      </c>
      <c r="R371" s="43" t="n">
        <v>0</v>
      </c>
      <c r="S371" s="43" t="n">
        <v>0</v>
      </c>
      <c r="T371" s="43" t="n">
        <v>0</v>
      </c>
      <c r="U371" s="42" t="n">
        <f aca="false">SUM(I371:T371)</f>
        <v>25</v>
      </c>
    </row>
    <row r="372" customFormat="false" ht="23.85" hidden="false" customHeight="false" outlineLevel="0" collapsed="false">
      <c r="A372" s="40" t="s">
        <v>993</v>
      </c>
      <c r="B372" s="40" t="s">
        <v>258</v>
      </c>
      <c r="C372" s="40" t="s">
        <v>38</v>
      </c>
      <c r="D372" s="40" t="s">
        <v>7</v>
      </c>
      <c r="E372" s="40" t="s">
        <v>376</v>
      </c>
      <c r="F372" s="40" t="s">
        <v>259</v>
      </c>
      <c r="G372" s="40" t="s">
        <v>409</v>
      </c>
      <c r="H372" s="40" t="s">
        <v>43</v>
      </c>
      <c r="I372" s="43" t="n">
        <v>0</v>
      </c>
      <c r="J372" s="43" t="n">
        <v>0</v>
      </c>
      <c r="K372" s="43" t="n">
        <v>17</v>
      </c>
      <c r="L372" s="43" t="n">
        <v>0</v>
      </c>
      <c r="M372" s="43" t="n">
        <v>0</v>
      </c>
      <c r="N372" s="43" t="n">
        <v>0</v>
      </c>
      <c r="O372" s="43" t="n">
        <v>0</v>
      </c>
      <c r="P372" s="43" t="n">
        <v>0</v>
      </c>
      <c r="Q372" s="43" t="n">
        <v>0</v>
      </c>
      <c r="R372" s="43" t="n">
        <v>0</v>
      </c>
      <c r="S372" s="43" t="n">
        <v>0</v>
      </c>
      <c r="T372" s="43" t="n">
        <v>0</v>
      </c>
      <c r="U372" s="42" t="n">
        <f aca="false">SUM(I372:T372)</f>
        <v>17</v>
      </c>
    </row>
    <row r="373" customFormat="false" ht="23.85" hidden="false" customHeight="false" outlineLevel="0" collapsed="false">
      <c r="A373" s="40" t="s">
        <v>994</v>
      </c>
      <c r="B373" s="40" t="s">
        <v>258</v>
      </c>
      <c r="C373" s="40" t="s">
        <v>38</v>
      </c>
      <c r="D373" s="40" t="s">
        <v>7</v>
      </c>
      <c r="E373" s="40" t="s">
        <v>376</v>
      </c>
      <c r="F373" s="40" t="s">
        <v>259</v>
      </c>
      <c r="G373" s="40" t="s">
        <v>411</v>
      </c>
      <c r="H373" s="40" t="s">
        <v>43</v>
      </c>
      <c r="I373" s="43" t="n">
        <v>0</v>
      </c>
      <c r="J373" s="43" t="n">
        <v>0</v>
      </c>
      <c r="K373" s="43" t="n">
        <v>0</v>
      </c>
      <c r="L373" s="43" t="n">
        <v>0</v>
      </c>
      <c r="M373" s="43" t="n">
        <v>0</v>
      </c>
      <c r="N373" s="43" t="n">
        <v>17</v>
      </c>
      <c r="O373" s="43" t="n">
        <v>0</v>
      </c>
      <c r="P373" s="43" t="n">
        <v>0</v>
      </c>
      <c r="Q373" s="43" t="n">
        <v>0</v>
      </c>
      <c r="R373" s="43" t="n">
        <v>0</v>
      </c>
      <c r="S373" s="43" t="n">
        <v>0</v>
      </c>
      <c r="T373" s="43" t="n">
        <v>0</v>
      </c>
      <c r="U373" s="42" t="n">
        <f aca="false">SUM(I373:T373)</f>
        <v>17</v>
      </c>
    </row>
    <row r="374" customFormat="false" ht="23.85" hidden="false" customHeight="false" outlineLevel="0" collapsed="false">
      <c r="A374" s="40" t="s">
        <v>995</v>
      </c>
      <c r="B374" s="40" t="s">
        <v>258</v>
      </c>
      <c r="C374" s="40" t="s">
        <v>38</v>
      </c>
      <c r="D374" s="40" t="s">
        <v>7</v>
      </c>
      <c r="E374" s="40" t="s">
        <v>376</v>
      </c>
      <c r="F374" s="40" t="s">
        <v>259</v>
      </c>
      <c r="G374" s="40" t="s">
        <v>413</v>
      </c>
      <c r="H374" s="40" t="s">
        <v>43</v>
      </c>
      <c r="I374" s="43" t="n">
        <v>0</v>
      </c>
      <c r="J374" s="43" t="n">
        <v>0</v>
      </c>
      <c r="K374" s="43" t="n">
        <v>0</v>
      </c>
      <c r="L374" s="43" t="n">
        <v>0</v>
      </c>
      <c r="M374" s="43" t="n">
        <v>0</v>
      </c>
      <c r="N374" s="43" t="n">
        <v>33</v>
      </c>
      <c r="O374" s="43" t="n">
        <v>0</v>
      </c>
      <c r="P374" s="43" t="n">
        <v>0</v>
      </c>
      <c r="Q374" s="43" t="n">
        <v>0</v>
      </c>
      <c r="R374" s="43" t="n">
        <v>0</v>
      </c>
      <c r="S374" s="43" t="n">
        <v>0</v>
      </c>
      <c r="T374" s="43" t="n">
        <v>0</v>
      </c>
      <c r="U374" s="42" t="n">
        <f aca="false">SUM(I374:T374)</f>
        <v>33</v>
      </c>
    </row>
    <row r="375" customFormat="false" ht="15" hidden="false" customHeight="false" outlineLevel="0" collapsed="false">
      <c r="A375" s="40" t="s">
        <v>996</v>
      </c>
      <c r="B375" s="40" t="s">
        <v>261</v>
      </c>
      <c r="C375" s="40" t="s">
        <v>38</v>
      </c>
      <c r="D375" s="40" t="s">
        <v>7</v>
      </c>
      <c r="E375" s="40" t="s">
        <v>376</v>
      </c>
      <c r="F375" s="40" t="s">
        <v>262</v>
      </c>
      <c r="G375" s="40" t="s">
        <v>997</v>
      </c>
      <c r="H375" s="40" t="s">
        <v>43</v>
      </c>
      <c r="I375" s="43" t="n">
        <v>0</v>
      </c>
      <c r="J375" s="43" t="n">
        <v>0</v>
      </c>
      <c r="K375" s="43" t="n">
        <v>0</v>
      </c>
      <c r="L375" s="43" t="n">
        <v>0</v>
      </c>
      <c r="M375" s="43" t="n">
        <v>0</v>
      </c>
      <c r="N375" s="43" t="n">
        <v>10</v>
      </c>
      <c r="O375" s="43" t="n">
        <v>0</v>
      </c>
      <c r="P375" s="43" t="n">
        <v>0</v>
      </c>
      <c r="Q375" s="43" t="n">
        <v>0</v>
      </c>
      <c r="R375" s="43" t="n">
        <v>20</v>
      </c>
      <c r="S375" s="43" t="n">
        <v>0</v>
      </c>
      <c r="T375" s="43" t="n">
        <v>0</v>
      </c>
      <c r="U375" s="42" t="n">
        <f aca="false">SUM(I375:T375)</f>
        <v>30</v>
      </c>
    </row>
    <row r="376" customFormat="false" ht="15" hidden="false" customHeight="false" outlineLevel="0" collapsed="false">
      <c r="A376" s="40" t="s">
        <v>998</v>
      </c>
      <c r="B376" s="40" t="s">
        <v>261</v>
      </c>
      <c r="C376" s="40" t="s">
        <v>38</v>
      </c>
      <c r="D376" s="40" t="s">
        <v>7</v>
      </c>
      <c r="E376" s="40" t="s">
        <v>376</v>
      </c>
      <c r="F376" s="40" t="s">
        <v>262</v>
      </c>
      <c r="G376" s="40" t="s">
        <v>999</v>
      </c>
      <c r="H376" s="40" t="s">
        <v>43</v>
      </c>
      <c r="I376" s="43" t="n">
        <v>0</v>
      </c>
      <c r="J376" s="43" t="n">
        <v>0</v>
      </c>
      <c r="K376" s="43" t="n">
        <v>0</v>
      </c>
      <c r="L376" s="43" t="n">
        <v>0</v>
      </c>
      <c r="M376" s="43" t="n">
        <v>0</v>
      </c>
      <c r="N376" s="43" t="n">
        <v>51</v>
      </c>
      <c r="O376" s="43" t="n">
        <v>0</v>
      </c>
      <c r="P376" s="43" t="n">
        <v>0</v>
      </c>
      <c r="Q376" s="43" t="n">
        <v>0</v>
      </c>
      <c r="R376" s="43" t="n">
        <v>0</v>
      </c>
      <c r="S376" s="43" t="n">
        <v>0</v>
      </c>
      <c r="T376" s="43" t="n">
        <v>0</v>
      </c>
      <c r="U376" s="42" t="n">
        <f aca="false">SUM(I376:T376)</f>
        <v>51</v>
      </c>
    </row>
    <row r="377" customFormat="false" ht="15" hidden="false" customHeight="false" outlineLevel="0" collapsed="false">
      <c r="A377" s="40" t="s">
        <v>1000</v>
      </c>
      <c r="B377" s="40" t="s">
        <v>261</v>
      </c>
      <c r="C377" s="40" t="s">
        <v>38</v>
      </c>
      <c r="D377" s="40" t="s">
        <v>7</v>
      </c>
      <c r="E377" s="40" t="s">
        <v>376</v>
      </c>
      <c r="F377" s="40" t="s">
        <v>262</v>
      </c>
      <c r="G377" s="40" t="s">
        <v>1001</v>
      </c>
      <c r="H377" s="40" t="s">
        <v>43</v>
      </c>
      <c r="I377" s="43" t="n">
        <v>0</v>
      </c>
      <c r="J377" s="43" t="n">
        <v>0</v>
      </c>
      <c r="K377" s="43" t="n">
        <v>0</v>
      </c>
      <c r="L377" s="43" t="n">
        <v>0</v>
      </c>
      <c r="M377" s="43" t="n">
        <v>0</v>
      </c>
      <c r="N377" s="43" t="n">
        <v>31</v>
      </c>
      <c r="O377" s="43" t="n">
        <v>41</v>
      </c>
      <c r="P377" s="43" t="n">
        <v>0</v>
      </c>
      <c r="Q377" s="43" t="n">
        <v>0</v>
      </c>
      <c r="R377" s="43" t="n">
        <v>0</v>
      </c>
      <c r="S377" s="43" t="n">
        <v>0</v>
      </c>
      <c r="T377" s="43" t="n">
        <v>0</v>
      </c>
      <c r="U377" s="42" t="n">
        <f aca="false">SUM(I377:T377)</f>
        <v>72</v>
      </c>
    </row>
    <row r="378" customFormat="false" ht="15" hidden="false" customHeight="false" outlineLevel="0" collapsed="false">
      <c r="A378" s="40" t="s">
        <v>1002</v>
      </c>
      <c r="B378" s="40" t="s">
        <v>261</v>
      </c>
      <c r="C378" s="40" t="s">
        <v>38</v>
      </c>
      <c r="D378" s="40" t="s">
        <v>7</v>
      </c>
      <c r="E378" s="40" t="s">
        <v>376</v>
      </c>
      <c r="F378" s="40" t="s">
        <v>262</v>
      </c>
      <c r="G378" s="40" t="s">
        <v>1003</v>
      </c>
      <c r="H378" s="40" t="s">
        <v>43</v>
      </c>
      <c r="I378" s="43" t="n">
        <v>0</v>
      </c>
      <c r="J378" s="43" t="n">
        <v>0</v>
      </c>
      <c r="K378" s="43" t="n">
        <v>0</v>
      </c>
      <c r="L378" s="43" t="n">
        <v>0</v>
      </c>
      <c r="M378" s="43" t="n">
        <v>0</v>
      </c>
      <c r="N378" s="43" t="n">
        <v>10</v>
      </c>
      <c r="O378" s="43" t="n">
        <v>20</v>
      </c>
      <c r="P378" s="43" t="n">
        <v>0</v>
      </c>
      <c r="Q378" s="43" t="n">
        <v>0</v>
      </c>
      <c r="R378" s="43" t="n">
        <v>0</v>
      </c>
      <c r="S378" s="43" t="n">
        <v>0</v>
      </c>
      <c r="T378" s="43" t="n">
        <v>0</v>
      </c>
      <c r="U378" s="42" t="n">
        <f aca="false">SUM(I378:T378)</f>
        <v>30</v>
      </c>
    </row>
    <row r="379" customFormat="false" ht="15" hidden="false" customHeight="false" outlineLevel="0" collapsed="false">
      <c r="A379" s="40" t="s">
        <v>1004</v>
      </c>
      <c r="B379" s="40" t="s">
        <v>261</v>
      </c>
      <c r="C379" s="40" t="s">
        <v>38</v>
      </c>
      <c r="D379" s="40" t="s">
        <v>7</v>
      </c>
      <c r="E379" s="40" t="s">
        <v>376</v>
      </c>
      <c r="F379" s="40" t="s">
        <v>262</v>
      </c>
      <c r="G379" s="40" t="s">
        <v>1005</v>
      </c>
      <c r="H379" s="40" t="s">
        <v>43</v>
      </c>
      <c r="I379" s="43" t="n">
        <v>0</v>
      </c>
      <c r="J379" s="43" t="n">
        <v>0</v>
      </c>
      <c r="K379" s="43" t="n">
        <v>0</v>
      </c>
      <c r="L379" s="43" t="n">
        <v>0</v>
      </c>
      <c r="M379" s="43" t="n">
        <v>0</v>
      </c>
      <c r="N379" s="43" t="n">
        <v>20</v>
      </c>
      <c r="O379" s="43" t="n">
        <v>0</v>
      </c>
      <c r="P379" s="43" t="n">
        <v>0</v>
      </c>
      <c r="Q379" s="43" t="n">
        <v>0</v>
      </c>
      <c r="R379" s="43" t="n">
        <v>0</v>
      </c>
      <c r="S379" s="43" t="n">
        <v>20</v>
      </c>
      <c r="T379" s="43" t="n">
        <v>0</v>
      </c>
      <c r="U379" s="42" t="n">
        <f aca="false">SUM(I379:T379)</f>
        <v>40</v>
      </c>
    </row>
    <row r="380" customFormat="false" ht="15" hidden="false" customHeight="false" outlineLevel="0" collapsed="false">
      <c r="A380" s="40" t="s">
        <v>1006</v>
      </c>
      <c r="B380" s="40" t="s">
        <v>261</v>
      </c>
      <c r="C380" s="40" t="s">
        <v>38</v>
      </c>
      <c r="D380" s="40" t="s">
        <v>7</v>
      </c>
      <c r="E380" s="40" t="s">
        <v>376</v>
      </c>
      <c r="F380" s="40" t="s">
        <v>262</v>
      </c>
      <c r="G380" s="40" t="s">
        <v>407</v>
      </c>
      <c r="H380" s="40" t="s">
        <v>43</v>
      </c>
      <c r="I380" s="43" t="n">
        <v>0</v>
      </c>
      <c r="J380" s="43" t="n">
        <v>0</v>
      </c>
      <c r="K380" s="43" t="n">
        <v>0</v>
      </c>
      <c r="L380" s="43" t="n">
        <v>0</v>
      </c>
      <c r="M380" s="43" t="n">
        <v>14</v>
      </c>
      <c r="N380" s="43" t="n">
        <v>0</v>
      </c>
      <c r="O380" s="43" t="n">
        <v>0</v>
      </c>
      <c r="P380" s="43" t="n">
        <v>0</v>
      </c>
      <c r="Q380" s="43" t="n">
        <v>0</v>
      </c>
      <c r="R380" s="43" t="n">
        <v>0</v>
      </c>
      <c r="S380" s="43" t="n">
        <v>0</v>
      </c>
      <c r="T380" s="43" t="n">
        <v>0</v>
      </c>
      <c r="U380" s="42" t="n">
        <f aca="false">SUM(I380:T380)</f>
        <v>14</v>
      </c>
    </row>
    <row r="381" customFormat="false" ht="15" hidden="false" customHeight="false" outlineLevel="0" collapsed="false">
      <c r="A381" s="40" t="s">
        <v>1007</v>
      </c>
      <c r="B381" s="40" t="s">
        <v>261</v>
      </c>
      <c r="C381" s="40" t="s">
        <v>38</v>
      </c>
      <c r="D381" s="40" t="s">
        <v>7</v>
      </c>
      <c r="E381" s="40" t="s">
        <v>376</v>
      </c>
      <c r="F381" s="40" t="s">
        <v>262</v>
      </c>
      <c r="G381" s="40" t="s">
        <v>409</v>
      </c>
      <c r="H381" s="40" t="s">
        <v>43</v>
      </c>
      <c r="I381" s="43" t="n">
        <v>0</v>
      </c>
      <c r="J381" s="43" t="n">
        <v>0</v>
      </c>
      <c r="K381" s="43" t="n">
        <v>9</v>
      </c>
      <c r="L381" s="43" t="n">
        <v>0</v>
      </c>
      <c r="M381" s="43" t="n">
        <v>0</v>
      </c>
      <c r="N381" s="43" t="n">
        <v>0</v>
      </c>
      <c r="O381" s="43" t="n">
        <v>0</v>
      </c>
      <c r="P381" s="43" t="n">
        <v>0</v>
      </c>
      <c r="Q381" s="43" t="n">
        <v>0</v>
      </c>
      <c r="R381" s="43" t="n">
        <v>0</v>
      </c>
      <c r="S381" s="43" t="n">
        <v>0</v>
      </c>
      <c r="T381" s="43" t="n">
        <v>0</v>
      </c>
      <c r="U381" s="42" t="n">
        <f aca="false">SUM(I381:T381)</f>
        <v>9</v>
      </c>
    </row>
    <row r="382" customFormat="false" ht="15" hidden="false" customHeight="false" outlineLevel="0" collapsed="false">
      <c r="A382" s="40" t="s">
        <v>1008</v>
      </c>
      <c r="B382" s="40" t="s">
        <v>261</v>
      </c>
      <c r="C382" s="40" t="s">
        <v>38</v>
      </c>
      <c r="D382" s="40" t="s">
        <v>7</v>
      </c>
      <c r="E382" s="40" t="s">
        <v>376</v>
      </c>
      <c r="F382" s="40" t="s">
        <v>262</v>
      </c>
      <c r="G382" s="40" t="s">
        <v>411</v>
      </c>
      <c r="H382" s="40" t="s">
        <v>43</v>
      </c>
      <c r="I382" s="43" t="n">
        <v>0</v>
      </c>
      <c r="J382" s="43" t="n">
        <v>0</v>
      </c>
      <c r="K382" s="43" t="n">
        <v>0</v>
      </c>
      <c r="L382" s="43" t="n">
        <v>0</v>
      </c>
      <c r="M382" s="43" t="n">
        <v>0</v>
      </c>
      <c r="N382" s="43" t="n">
        <v>9</v>
      </c>
      <c r="O382" s="43" t="n">
        <v>0</v>
      </c>
      <c r="P382" s="43" t="n">
        <v>0</v>
      </c>
      <c r="Q382" s="43" t="n">
        <v>0</v>
      </c>
      <c r="R382" s="43" t="n">
        <v>0</v>
      </c>
      <c r="S382" s="43" t="n">
        <v>0</v>
      </c>
      <c r="T382" s="43" t="n">
        <v>0</v>
      </c>
      <c r="U382" s="42" t="n">
        <f aca="false">SUM(I382:T382)</f>
        <v>9</v>
      </c>
    </row>
    <row r="383" customFormat="false" ht="15" hidden="false" customHeight="false" outlineLevel="0" collapsed="false">
      <c r="A383" s="40" t="s">
        <v>1009</v>
      </c>
      <c r="B383" s="40" t="s">
        <v>261</v>
      </c>
      <c r="C383" s="40" t="s">
        <v>38</v>
      </c>
      <c r="D383" s="40" t="s">
        <v>7</v>
      </c>
      <c r="E383" s="40" t="s">
        <v>376</v>
      </c>
      <c r="F383" s="40" t="s">
        <v>262</v>
      </c>
      <c r="G383" s="40" t="s">
        <v>413</v>
      </c>
      <c r="H383" s="40" t="s">
        <v>43</v>
      </c>
      <c r="I383" s="43" t="n">
        <v>0</v>
      </c>
      <c r="J383" s="43" t="n">
        <v>0</v>
      </c>
      <c r="K383" s="43" t="n">
        <v>0</v>
      </c>
      <c r="L383" s="43" t="n">
        <v>0</v>
      </c>
      <c r="M383" s="43" t="n">
        <v>0</v>
      </c>
      <c r="N383" s="43" t="n">
        <v>18</v>
      </c>
      <c r="O383" s="43" t="n">
        <v>0</v>
      </c>
      <c r="P383" s="43" t="n">
        <v>0</v>
      </c>
      <c r="Q383" s="43" t="n">
        <v>0</v>
      </c>
      <c r="R383" s="43" t="n">
        <v>0</v>
      </c>
      <c r="S383" s="43" t="n">
        <v>0</v>
      </c>
      <c r="T383" s="43" t="n">
        <v>0</v>
      </c>
      <c r="U383" s="42" t="n">
        <f aca="false">SUM(I383:T383)</f>
        <v>18</v>
      </c>
    </row>
    <row r="384" customFormat="false" ht="15" hidden="false" customHeight="false" outlineLevel="0" collapsed="false">
      <c r="A384" s="40" t="s">
        <v>1010</v>
      </c>
      <c r="B384" s="40" t="s">
        <v>264</v>
      </c>
      <c r="C384" s="40" t="s">
        <v>38</v>
      </c>
      <c r="D384" s="40" t="s">
        <v>7</v>
      </c>
      <c r="E384" s="40" t="s">
        <v>376</v>
      </c>
      <c r="F384" s="40" t="s">
        <v>265</v>
      </c>
      <c r="G384" s="40" t="s">
        <v>1011</v>
      </c>
      <c r="H384" s="40" t="s">
        <v>44</v>
      </c>
      <c r="I384" s="43" t="n">
        <v>0</v>
      </c>
      <c r="J384" s="43" t="n">
        <v>29</v>
      </c>
      <c r="K384" s="43" t="n">
        <v>0</v>
      </c>
      <c r="L384" s="43" t="n">
        <v>0</v>
      </c>
      <c r="M384" s="43" t="n">
        <v>0</v>
      </c>
      <c r="N384" s="43" t="n">
        <v>0</v>
      </c>
      <c r="O384" s="43" t="n">
        <v>29</v>
      </c>
      <c r="P384" s="43" t="n">
        <v>0</v>
      </c>
      <c r="Q384" s="43" t="n">
        <v>0</v>
      </c>
      <c r="R384" s="43" t="n">
        <v>0</v>
      </c>
      <c r="S384" s="43" t="n">
        <v>0</v>
      </c>
      <c r="T384" s="43" t="n">
        <v>0</v>
      </c>
      <c r="U384" s="42" t="n">
        <f aca="false">SUM(I384:T384)</f>
        <v>58</v>
      </c>
    </row>
    <row r="385" customFormat="false" ht="15" hidden="false" customHeight="false" outlineLevel="0" collapsed="false">
      <c r="A385" s="40" t="s">
        <v>1012</v>
      </c>
      <c r="B385" s="40" t="s">
        <v>264</v>
      </c>
      <c r="C385" s="40" t="s">
        <v>38</v>
      </c>
      <c r="D385" s="40" t="s">
        <v>7</v>
      </c>
      <c r="E385" s="40" t="s">
        <v>376</v>
      </c>
      <c r="F385" s="40" t="s">
        <v>265</v>
      </c>
      <c r="G385" s="40" t="s">
        <v>1013</v>
      </c>
      <c r="H385" s="40" t="s">
        <v>44</v>
      </c>
      <c r="I385" s="43" t="n">
        <v>0</v>
      </c>
      <c r="J385" s="43" t="n">
        <v>0</v>
      </c>
      <c r="K385" s="43" t="n">
        <v>36</v>
      </c>
      <c r="L385" s="43" t="n">
        <v>0</v>
      </c>
      <c r="M385" s="43" t="n">
        <v>0</v>
      </c>
      <c r="N385" s="43" t="n">
        <v>0</v>
      </c>
      <c r="O385" s="43" t="n">
        <v>0</v>
      </c>
      <c r="P385" s="43" t="n">
        <v>0</v>
      </c>
      <c r="Q385" s="43" t="n">
        <v>0</v>
      </c>
      <c r="R385" s="43" t="n">
        <v>0</v>
      </c>
      <c r="S385" s="43" t="n">
        <v>0</v>
      </c>
      <c r="T385" s="43" t="n">
        <v>0</v>
      </c>
      <c r="U385" s="42" t="n">
        <f aca="false">SUM(I385:T385)</f>
        <v>36</v>
      </c>
    </row>
    <row r="386" customFormat="false" ht="15" hidden="false" customHeight="false" outlineLevel="0" collapsed="false">
      <c r="A386" s="40" t="s">
        <v>1014</v>
      </c>
      <c r="B386" s="40" t="s">
        <v>264</v>
      </c>
      <c r="C386" s="40" t="s">
        <v>38</v>
      </c>
      <c r="D386" s="40" t="s">
        <v>7</v>
      </c>
      <c r="E386" s="40" t="s">
        <v>376</v>
      </c>
      <c r="F386" s="40" t="s">
        <v>265</v>
      </c>
      <c r="G386" s="40" t="s">
        <v>1015</v>
      </c>
      <c r="H386" s="40" t="s">
        <v>44</v>
      </c>
      <c r="I386" s="43" t="n">
        <v>0</v>
      </c>
      <c r="J386" s="43" t="n">
        <v>0</v>
      </c>
      <c r="K386" s="43" t="n">
        <v>0</v>
      </c>
      <c r="L386" s="43" t="n">
        <v>0</v>
      </c>
      <c r="M386" s="43" t="n">
        <v>0</v>
      </c>
      <c r="N386" s="43" t="n">
        <v>0</v>
      </c>
      <c r="O386" s="43" t="n">
        <v>71</v>
      </c>
      <c r="P386" s="43" t="n">
        <v>0</v>
      </c>
      <c r="Q386" s="43" t="n">
        <v>0</v>
      </c>
      <c r="R386" s="43" t="n">
        <v>0</v>
      </c>
      <c r="S386" s="43" t="n">
        <v>0</v>
      </c>
      <c r="T386" s="43" t="n">
        <v>0</v>
      </c>
      <c r="U386" s="42" t="n">
        <f aca="false">SUM(I386:T386)</f>
        <v>71</v>
      </c>
    </row>
    <row r="387" customFormat="false" ht="23.85" hidden="false" customHeight="false" outlineLevel="0" collapsed="false">
      <c r="A387" s="40" t="s">
        <v>1016</v>
      </c>
      <c r="B387" s="40" t="s">
        <v>264</v>
      </c>
      <c r="C387" s="40" t="s">
        <v>38</v>
      </c>
      <c r="D387" s="40" t="s">
        <v>7</v>
      </c>
      <c r="E387" s="40" t="s">
        <v>376</v>
      </c>
      <c r="F387" s="40" t="s">
        <v>265</v>
      </c>
      <c r="G387" s="40" t="s">
        <v>1017</v>
      </c>
      <c r="H387" s="40" t="s">
        <v>44</v>
      </c>
      <c r="I387" s="43" t="n">
        <v>0</v>
      </c>
      <c r="J387" s="43" t="n">
        <v>0</v>
      </c>
      <c r="K387" s="43" t="n">
        <v>0</v>
      </c>
      <c r="L387" s="43" t="n">
        <v>0</v>
      </c>
      <c r="M387" s="43" t="n">
        <v>0</v>
      </c>
      <c r="N387" s="43" t="n">
        <v>0</v>
      </c>
      <c r="O387" s="43" t="n">
        <v>86</v>
      </c>
      <c r="P387" s="43" t="n">
        <v>0</v>
      </c>
      <c r="Q387" s="43" t="n">
        <v>0</v>
      </c>
      <c r="R387" s="43" t="n">
        <v>0</v>
      </c>
      <c r="S387" s="43" t="n">
        <v>0</v>
      </c>
      <c r="T387" s="43" t="n">
        <v>0</v>
      </c>
      <c r="U387" s="42" t="n">
        <f aca="false">SUM(I387:T387)</f>
        <v>86</v>
      </c>
    </row>
    <row r="388" customFormat="false" ht="15" hidden="false" customHeight="false" outlineLevel="0" collapsed="false">
      <c r="A388" s="40" t="s">
        <v>1018</v>
      </c>
      <c r="B388" s="40" t="s">
        <v>264</v>
      </c>
      <c r="C388" s="40" t="s">
        <v>38</v>
      </c>
      <c r="D388" s="40" t="s">
        <v>7</v>
      </c>
      <c r="E388" s="40" t="s">
        <v>376</v>
      </c>
      <c r="F388" s="40" t="s">
        <v>265</v>
      </c>
      <c r="G388" s="40" t="s">
        <v>1019</v>
      </c>
      <c r="H388" s="40" t="s">
        <v>44</v>
      </c>
      <c r="I388" s="43" t="n">
        <v>0</v>
      </c>
      <c r="J388" s="43" t="n">
        <v>0</v>
      </c>
      <c r="K388" s="43" t="n">
        <v>21</v>
      </c>
      <c r="L388" s="43" t="n">
        <v>0</v>
      </c>
      <c r="M388" s="43" t="n">
        <v>0</v>
      </c>
      <c r="N388" s="43" t="n">
        <v>0</v>
      </c>
      <c r="O388" s="43" t="n">
        <v>43</v>
      </c>
      <c r="P388" s="43" t="n">
        <v>0</v>
      </c>
      <c r="Q388" s="43" t="n">
        <v>0</v>
      </c>
      <c r="R388" s="43" t="n">
        <v>0</v>
      </c>
      <c r="S388" s="43" t="n">
        <v>0</v>
      </c>
      <c r="T388" s="43" t="n">
        <v>0</v>
      </c>
      <c r="U388" s="42" t="n">
        <f aca="false">SUM(I388:T388)</f>
        <v>64</v>
      </c>
    </row>
    <row r="389" customFormat="false" ht="15" hidden="false" customHeight="false" outlineLevel="0" collapsed="false">
      <c r="A389" s="40" t="s">
        <v>1020</v>
      </c>
      <c r="B389" s="40" t="s">
        <v>264</v>
      </c>
      <c r="C389" s="40" t="s">
        <v>38</v>
      </c>
      <c r="D389" s="40" t="s">
        <v>7</v>
      </c>
      <c r="E389" s="40" t="s">
        <v>376</v>
      </c>
      <c r="F389" s="40" t="s">
        <v>265</v>
      </c>
      <c r="G389" s="40" t="s">
        <v>1021</v>
      </c>
      <c r="H389" s="40" t="s">
        <v>44</v>
      </c>
      <c r="I389" s="43" t="n">
        <v>0</v>
      </c>
      <c r="J389" s="43" t="n">
        <v>0</v>
      </c>
      <c r="K389" s="43" t="n">
        <v>0</v>
      </c>
      <c r="L389" s="43" t="n">
        <v>0</v>
      </c>
      <c r="M389" s="43" t="n">
        <v>0</v>
      </c>
      <c r="N389" s="43" t="n">
        <v>0</v>
      </c>
      <c r="O389" s="43" t="n">
        <v>0</v>
      </c>
      <c r="P389" s="43" t="n">
        <v>0</v>
      </c>
      <c r="Q389" s="43" t="n">
        <v>0</v>
      </c>
      <c r="R389" s="43" t="n">
        <v>0</v>
      </c>
      <c r="S389" s="43" t="n">
        <v>57</v>
      </c>
      <c r="T389" s="43" t="n">
        <v>0</v>
      </c>
      <c r="U389" s="42" t="n">
        <f aca="false">SUM(I389:T389)</f>
        <v>57</v>
      </c>
    </row>
    <row r="390" customFormat="false" ht="15" hidden="false" customHeight="false" outlineLevel="0" collapsed="false">
      <c r="A390" s="40" t="s">
        <v>1022</v>
      </c>
      <c r="B390" s="40" t="s">
        <v>264</v>
      </c>
      <c r="C390" s="40" t="s">
        <v>38</v>
      </c>
      <c r="D390" s="40" t="s">
        <v>7</v>
      </c>
      <c r="E390" s="40" t="s">
        <v>376</v>
      </c>
      <c r="F390" s="40" t="s">
        <v>265</v>
      </c>
      <c r="G390" s="40" t="s">
        <v>407</v>
      </c>
      <c r="H390" s="40" t="s">
        <v>44</v>
      </c>
      <c r="I390" s="43" t="n">
        <v>0</v>
      </c>
      <c r="J390" s="43" t="n">
        <v>0</v>
      </c>
      <c r="K390" s="43" t="n">
        <v>0</v>
      </c>
      <c r="L390" s="43" t="n">
        <v>0</v>
      </c>
      <c r="M390" s="43" t="n">
        <v>0</v>
      </c>
      <c r="N390" s="43" t="n">
        <v>0</v>
      </c>
      <c r="O390" s="43" t="n">
        <v>0</v>
      </c>
      <c r="P390" s="43" t="n">
        <v>22</v>
      </c>
      <c r="Q390" s="43" t="n">
        <v>0</v>
      </c>
      <c r="R390" s="43" t="n">
        <v>0</v>
      </c>
      <c r="S390" s="43" t="n">
        <v>0</v>
      </c>
      <c r="T390" s="43" t="n">
        <v>0</v>
      </c>
      <c r="U390" s="42" t="n">
        <f aca="false">SUM(I390:T390)</f>
        <v>22</v>
      </c>
    </row>
    <row r="391" customFormat="false" ht="15" hidden="false" customHeight="false" outlineLevel="0" collapsed="false">
      <c r="A391" s="40" t="s">
        <v>1023</v>
      </c>
      <c r="B391" s="40" t="s">
        <v>264</v>
      </c>
      <c r="C391" s="40" t="s">
        <v>38</v>
      </c>
      <c r="D391" s="40" t="s">
        <v>7</v>
      </c>
      <c r="E391" s="40" t="s">
        <v>376</v>
      </c>
      <c r="F391" s="40" t="s">
        <v>265</v>
      </c>
      <c r="G391" s="40" t="s">
        <v>409</v>
      </c>
      <c r="H391" s="40" t="s">
        <v>44</v>
      </c>
      <c r="I391" s="43" t="n">
        <v>0</v>
      </c>
      <c r="J391" s="43" t="n">
        <v>0</v>
      </c>
      <c r="K391" s="43" t="n">
        <v>15</v>
      </c>
      <c r="L391" s="43" t="n">
        <v>0</v>
      </c>
      <c r="M391" s="43" t="n">
        <v>0</v>
      </c>
      <c r="N391" s="43" t="n">
        <v>0</v>
      </c>
      <c r="O391" s="43" t="n">
        <v>0</v>
      </c>
      <c r="P391" s="43" t="n">
        <v>0</v>
      </c>
      <c r="Q391" s="43" t="n">
        <v>0</v>
      </c>
      <c r="R391" s="43" t="n">
        <v>0</v>
      </c>
      <c r="S391" s="43" t="n">
        <v>0</v>
      </c>
      <c r="T391" s="43" t="n">
        <v>0</v>
      </c>
      <c r="U391" s="42" t="n">
        <f aca="false">SUM(I391:T391)</f>
        <v>15</v>
      </c>
    </row>
    <row r="392" customFormat="false" ht="15" hidden="false" customHeight="false" outlineLevel="0" collapsed="false">
      <c r="A392" s="40" t="s">
        <v>1024</v>
      </c>
      <c r="B392" s="40" t="s">
        <v>264</v>
      </c>
      <c r="C392" s="40" t="s">
        <v>38</v>
      </c>
      <c r="D392" s="40" t="s">
        <v>7</v>
      </c>
      <c r="E392" s="40" t="s">
        <v>376</v>
      </c>
      <c r="F392" s="40" t="s">
        <v>265</v>
      </c>
      <c r="G392" s="40" t="s">
        <v>411</v>
      </c>
      <c r="H392" s="40" t="s">
        <v>44</v>
      </c>
      <c r="I392" s="43" t="n">
        <v>0</v>
      </c>
      <c r="J392" s="43" t="n">
        <v>0</v>
      </c>
      <c r="K392" s="43" t="n">
        <v>0</v>
      </c>
      <c r="L392" s="43" t="n">
        <v>0</v>
      </c>
      <c r="M392" s="43" t="n">
        <v>0</v>
      </c>
      <c r="N392" s="43" t="n">
        <v>0</v>
      </c>
      <c r="O392" s="43" t="n">
        <v>15</v>
      </c>
      <c r="P392" s="43" t="n">
        <v>0</v>
      </c>
      <c r="Q392" s="43" t="n">
        <v>0</v>
      </c>
      <c r="R392" s="43" t="n">
        <v>0</v>
      </c>
      <c r="S392" s="43" t="n">
        <v>0</v>
      </c>
      <c r="T392" s="43" t="n">
        <v>0</v>
      </c>
      <c r="U392" s="42" t="n">
        <f aca="false">SUM(I392:T392)</f>
        <v>15</v>
      </c>
    </row>
    <row r="393" customFormat="false" ht="15" hidden="false" customHeight="false" outlineLevel="0" collapsed="false">
      <c r="A393" s="40" t="s">
        <v>1025</v>
      </c>
      <c r="B393" s="40" t="s">
        <v>264</v>
      </c>
      <c r="C393" s="40" t="s">
        <v>38</v>
      </c>
      <c r="D393" s="40" t="s">
        <v>7</v>
      </c>
      <c r="E393" s="40" t="s">
        <v>376</v>
      </c>
      <c r="F393" s="40" t="s">
        <v>265</v>
      </c>
      <c r="G393" s="40" t="s">
        <v>413</v>
      </c>
      <c r="H393" s="40" t="s">
        <v>44</v>
      </c>
      <c r="I393" s="43" t="n">
        <v>0</v>
      </c>
      <c r="J393" s="43" t="n">
        <v>0</v>
      </c>
      <c r="K393" s="43" t="n">
        <v>0</v>
      </c>
      <c r="L393" s="43" t="n">
        <v>0</v>
      </c>
      <c r="M393" s="43" t="n">
        <v>0</v>
      </c>
      <c r="N393" s="43" t="n">
        <v>0</v>
      </c>
      <c r="O393" s="43" t="n">
        <v>30</v>
      </c>
      <c r="P393" s="43" t="n">
        <v>0</v>
      </c>
      <c r="Q393" s="43" t="n">
        <v>0</v>
      </c>
      <c r="R393" s="43" t="n">
        <v>0</v>
      </c>
      <c r="S393" s="43" t="n">
        <v>0</v>
      </c>
      <c r="T393" s="43" t="n">
        <v>0</v>
      </c>
      <c r="U393" s="42" t="n">
        <f aca="false">SUM(I393:T393)</f>
        <v>30</v>
      </c>
    </row>
    <row r="394" customFormat="false" ht="15" hidden="false" customHeight="false" outlineLevel="0" collapsed="false">
      <c r="A394" s="40" t="s">
        <v>1026</v>
      </c>
      <c r="B394" s="40" t="s">
        <v>267</v>
      </c>
      <c r="C394" s="40" t="s">
        <v>38</v>
      </c>
      <c r="D394" s="40" t="s">
        <v>7</v>
      </c>
      <c r="E394" s="40" t="s">
        <v>376</v>
      </c>
      <c r="F394" s="40" t="s">
        <v>268</v>
      </c>
      <c r="G394" s="40" t="s">
        <v>1027</v>
      </c>
      <c r="H394" s="40" t="s">
        <v>43</v>
      </c>
      <c r="I394" s="43" t="n">
        <v>0</v>
      </c>
      <c r="J394" s="43" t="n">
        <v>0</v>
      </c>
      <c r="K394" s="43" t="n">
        <v>0</v>
      </c>
      <c r="L394" s="43" t="n">
        <v>0</v>
      </c>
      <c r="M394" s="43" t="n">
        <v>0</v>
      </c>
      <c r="N394" s="43" t="n">
        <v>0</v>
      </c>
      <c r="O394" s="43" t="n">
        <v>0</v>
      </c>
      <c r="P394" s="43" t="n">
        <v>0</v>
      </c>
      <c r="Q394" s="43" t="n">
        <v>0</v>
      </c>
      <c r="R394" s="43" t="n">
        <v>20</v>
      </c>
      <c r="S394" s="43" t="n">
        <v>0</v>
      </c>
      <c r="T394" s="43" t="n">
        <v>0</v>
      </c>
      <c r="U394" s="42" t="n">
        <f aca="false">SUM(I394:T394)</f>
        <v>20</v>
      </c>
    </row>
    <row r="395" customFormat="false" ht="15" hidden="false" customHeight="false" outlineLevel="0" collapsed="false">
      <c r="A395" s="40" t="s">
        <v>1028</v>
      </c>
      <c r="B395" s="40" t="s">
        <v>267</v>
      </c>
      <c r="C395" s="40" t="s">
        <v>38</v>
      </c>
      <c r="D395" s="40" t="s">
        <v>7</v>
      </c>
      <c r="E395" s="40" t="s">
        <v>376</v>
      </c>
      <c r="F395" s="40" t="s">
        <v>268</v>
      </c>
      <c r="G395" s="40" t="s">
        <v>1029</v>
      </c>
      <c r="H395" s="40" t="s">
        <v>43</v>
      </c>
      <c r="I395" s="43" t="n">
        <v>0</v>
      </c>
      <c r="J395" s="43" t="n">
        <v>0</v>
      </c>
      <c r="K395" s="43" t="n">
        <v>0</v>
      </c>
      <c r="L395" s="43" t="n">
        <v>0</v>
      </c>
      <c r="M395" s="43" t="n">
        <v>0</v>
      </c>
      <c r="N395" s="43" t="n">
        <v>51</v>
      </c>
      <c r="O395" s="43" t="n">
        <v>20</v>
      </c>
      <c r="P395" s="43" t="n">
        <v>0</v>
      </c>
      <c r="Q395" s="43" t="n">
        <v>0</v>
      </c>
      <c r="R395" s="43" t="n">
        <v>0</v>
      </c>
      <c r="S395" s="43" t="n">
        <v>0</v>
      </c>
      <c r="T395" s="43" t="n">
        <v>0</v>
      </c>
      <c r="U395" s="42" t="n">
        <f aca="false">SUM(I395:T395)</f>
        <v>71</v>
      </c>
    </row>
    <row r="396" customFormat="false" ht="15" hidden="false" customHeight="false" outlineLevel="0" collapsed="false">
      <c r="A396" s="40" t="s">
        <v>1030</v>
      </c>
      <c r="B396" s="40" t="s">
        <v>267</v>
      </c>
      <c r="C396" s="40" t="s">
        <v>38</v>
      </c>
      <c r="D396" s="40" t="s">
        <v>7</v>
      </c>
      <c r="E396" s="40" t="s">
        <v>376</v>
      </c>
      <c r="F396" s="40" t="s">
        <v>268</v>
      </c>
      <c r="G396" s="40" t="s">
        <v>1031</v>
      </c>
      <c r="H396" s="40" t="s">
        <v>43</v>
      </c>
      <c r="I396" s="43" t="n">
        <v>0</v>
      </c>
      <c r="J396" s="43" t="n">
        <v>0</v>
      </c>
      <c r="K396" s="43" t="n">
        <v>0</v>
      </c>
      <c r="L396" s="43" t="n">
        <v>0</v>
      </c>
      <c r="M396" s="43" t="n">
        <v>0</v>
      </c>
      <c r="N396" s="43" t="n">
        <v>31</v>
      </c>
      <c r="O396" s="43" t="n">
        <v>20</v>
      </c>
      <c r="P396" s="43" t="n">
        <v>0</v>
      </c>
      <c r="Q396" s="43" t="n">
        <v>0</v>
      </c>
      <c r="R396" s="43" t="n">
        <v>0</v>
      </c>
      <c r="S396" s="43" t="n">
        <v>0</v>
      </c>
      <c r="T396" s="43" t="n">
        <v>0</v>
      </c>
      <c r="U396" s="42" t="n">
        <f aca="false">SUM(I396:T396)</f>
        <v>51</v>
      </c>
    </row>
    <row r="397" customFormat="false" ht="15" hidden="false" customHeight="false" outlineLevel="0" collapsed="false">
      <c r="A397" s="40" t="s">
        <v>1032</v>
      </c>
      <c r="B397" s="40" t="s">
        <v>267</v>
      </c>
      <c r="C397" s="40" t="s">
        <v>38</v>
      </c>
      <c r="D397" s="40" t="s">
        <v>7</v>
      </c>
      <c r="E397" s="40" t="s">
        <v>376</v>
      </c>
      <c r="F397" s="40" t="s">
        <v>268</v>
      </c>
      <c r="G397" s="40" t="s">
        <v>1033</v>
      </c>
      <c r="H397" s="40" t="s">
        <v>43</v>
      </c>
      <c r="I397" s="43" t="n">
        <v>0</v>
      </c>
      <c r="J397" s="43" t="n">
        <v>0</v>
      </c>
      <c r="K397" s="43" t="n">
        <v>0</v>
      </c>
      <c r="L397" s="43" t="n">
        <v>0</v>
      </c>
      <c r="M397" s="43" t="n">
        <v>0</v>
      </c>
      <c r="N397" s="43" t="n">
        <v>20</v>
      </c>
      <c r="O397" s="43" t="n">
        <v>0</v>
      </c>
      <c r="P397" s="43" t="n">
        <v>0</v>
      </c>
      <c r="Q397" s="43" t="n">
        <v>0</v>
      </c>
      <c r="R397" s="43" t="n">
        <v>0</v>
      </c>
      <c r="S397" s="43" t="n">
        <v>0</v>
      </c>
      <c r="T397" s="43" t="n">
        <v>0</v>
      </c>
      <c r="U397" s="42" t="n">
        <f aca="false">SUM(I397:T397)</f>
        <v>20</v>
      </c>
    </row>
    <row r="398" customFormat="false" ht="15" hidden="false" customHeight="false" outlineLevel="0" collapsed="false">
      <c r="A398" s="40" t="s">
        <v>1034</v>
      </c>
      <c r="B398" s="40" t="s">
        <v>267</v>
      </c>
      <c r="C398" s="40" t="s">
        <v>38</v>
      </c>
      <c r="D398" s="40" t="s">
        <v>7</v>
      </c>
      <c r="E398" s="40" t="s">
        <v>376</v>
      </c>
      <c r="F398" s="40" t="s">
        <v>268</v>
      </c>
      <c r="G398" s="40" t="s">
        <v>407</v>
      </c>
      <c r="H398" s="40" t="s">
        <v>43</v>
      </c>
      <c r="I398" s="43" t="n">
        <v>0</v>
      </c>
      <c r="J398" s="43" t="n">
        <v>0</v>
      </c>
      <c r="K398" s="43" t="n">
        <v>0</v>
      </c>
      <c r="L398" s="43" t="n">
        <v>0</v>
      </c>
      <c r="M398" s="43" t="n">
        <v>10</v>
      </c>
      <c r="N398" s="43" t="n">
        <v>0</v>
      </c>
      <c r="O398" s="43" t="n">
        <v>0</v>
      </c>
      <c r="P398" s="43" t="n">
        <v>0</v>
      </c>
      <c r="Q398" s="43" t="n">
        <v>0</v>
      </c>
      <c r="R398" s="43" t="n">
        <v>0</v>
      </c>
      <c r="S398" s="43" t="n">
        <v>0</v>
      </c>
      <c r="T398" s="43" t="n">
        <v>0</v>
      </c>
      <c r="U398" s="42" t="n">
        <f aca="false">SUM(I398:T398)</f>
        <v>10</v>
      </c>
    </row>
    <row r="399" customFormat="false" ht="15" hidden="false" customHeight="false" outlineLevel="0" collapsed="false">
      <c r="A399" s="40" t="s">
        <v>1035</v>
      </c>
      <c r="B399" s="40" t="s">
        <v>267</v>
      </c>
      <c r="C399" s="40" t="s">
        <v>38</v>
      </c>
      <c r="D399" s="40" t="s">
        <v>7</v>
      </c>
      <c r="E399" s="40" t="s">
        <v>376</v>
      </c>
      <c r="F399" s="40" t="s">
        <v>268</v>
      </c>
      <c r="G399" s="40" t="s">
        <v>409</v>
      </c>
      <c r="H399" s="40" t="s">
        <v>43</v>
      </c>
      <c r="I399" s="43" t="n">
        <v>0</v>
      </c>
      <c r="J399" s="43" t="n">
        <v>0</v>
      </c>
      <c r="K399" s="43" t="n">
        <v>7</v>
      </c>
      <c r="L399" s="43" t="n">
        <v>0</v>
      </c>
      <c r="M399" s="43" t="n">
        <v>0</v>
      </c>
      <c r="N399" s="43" t="n">
        <v>0</v>
      </c>
      <c r="O399" s="43" t="n">
        <v>0</v>
      </c>
      <c r="P399" s="43" t="n">
        <v>0</v>
      </c>
      <c r="Q399" s="43" t="n">
        <v>0</v>
      </c>
      <c r="R399" s="43" t="n">
        <v>0</v>
      </c>
      <c r="S399" s="43" t="n">
        <v>0</v>
      </c>
      <c r="T399" s="43" t="n">
        <v>0</v>
      </c>
      <c r="U399" s="42" t="n">
        <f aca="false">SUM(I399:T399)</f>
        <v>7</v>
      </c>
    </row>
    <row r="400" customFormat="false" ht="15" hidden="false" customHeight="false" outlineLevel="0" collapsed="false">
      <c r="A400" s="40" t="s">
        <v>1036</v>
      </c>
      <c r="B400" s="40" t="s">
        <v>267</v>
      </c>
      <c r="C400" s="40" t="s">
        <v>38</v>
      </c>
      <c r="D400" s="40" t="s">
        <v>7</v>
      </c>
      <c r="E400" s="40" t="s">
        <v>376</v>
      </c>
      <c r="F400" s="40" t="s">
        <v>268</v>
      </c>
      <c r="G400" s="40" t="s">
        <v>411</v>
      </c>
      <c r="H400" s="40" t="s">
        <v>43</v>
      </c>
      <c r="I400" s="43" t="n">
        <v>0</v>
      </c>
      <c r="J400" s="43" t="n">
        <v>0</v>
      </c>
      <c r="K400" s="43" t="n">
        <v>0</v>
      </c>
      <c r="L400" s="43" t="n">
        <v>0</v>
      </c>
      <c r="M400" s="43" t="n">
        <v>0</v>
      </c>
      <c r="N400" s="43" t="n">
        <v>7</v>
      </c>
      <c r="O400" s="43" t="n">
        <v>0</v>
      </c>
      <c r="P400" s="43" t="n">
        <v>0</v>
      </c>
      <c r="Q400" s="43" t="n">
        <v>0</v>
      </c>
      <c r="R400" s="43" t="n">
        <v>0</v>
      </c>
      <c r="S400" s="43" t="n">
        <v>0</v>
      </c>
      <c r="T400" s="43" t="n">
        <v>0</v>
      </c>
      <c r="U400" s="42" t="n">
        <f aca="false">SUM(I400:T400)</f>
        <v>7</v>
      </c>
    </row>
    <row r="401" customFormat="false" ht="15" hidden="false" customHeight="false" outlineLevel="0" collapsed="false">
      <c r="A401" s="40" t="s">
        <v>1037</v>
      </c>
      <c r="B401" s="40" t="s">
        <v>267</v>
      </c>
      <c r="C401" s="40" t="s">
        <v>38</v>
      </c>
      <c r="D401" s="40" t="s">
        <v>7</v>
      </c>
      <c r="E401" s="40" t="s">
        <v>376</v>
      </c>
      <c r="F401" s="40" t="s">
        <v>268</v>
      </c>
      <c r="G401" s="40" t="s">
        <v>413</v>
      </c>
      <c r="H401" s="40" t="s">
        <v>43</v>
      </c>
      <c r="I401" s="43" t="n">
        <v>0</v>
      </c>
      <c r="J401" s="43" t="n">
        <v>0</v>
      </c>
      <c r="K401" s="43" t="n">
        <v>0</v>
      </c>
      <c r="L401" s="43" t="n">
        <v>0</v>
      </c>
      <c r="M401" s="43" t="n">
        <v>0</v>
      </c>
      <c r="N401" s="43" t="n">
        <v>13</v>
      </c>
      <c r="O401" s="43" t="n">
        <v>0</v>
      </c>
      <c r="P401" s="43" t="n">
        <v>0</v>
      </c>
      <c r="Q401" s="43" t="n">
        <v>0</v>
      </c>
      <c r="R401" s="43" t="n">
        <v>0</v>
      </c>
      <c r="S401" s="43" t="n">
        <v>0</v>
      </c>
      <c r="T401" s="43" t="n">
        <v>0</v>
      </c>
      <c r="U401" s="42" t="n">
        <f aca="false">SUM(I401:T401)</f>
        <v>13</v>
      </c>
    </row>
    <row r="402" customFormat="false" ht="23.85" hidden="false" customHeight="false" outlineLevel="0" collapsed="false">
      <c r="A402" s="40" t="s">
        <v>1038</v>
      </c>
      <c r="B402" s="40" t="s">
        <v>270</v>
      </c>
      <c r="C402" s="40" t="s">
        <v>38</v>
      </c>
      <c r="D402" s="40" t="s">
        <v>7</v>
      </c>
      <c r="E402" s="40" t="s">
        <v>376</v>
      </c>
      <c r="F402" s="40" t="s">
        <v>271</v>
      </c>
      <c r="G402" s="40" t="s">
        <v>1039</v>
      </c>
      <c r="H402" s="40" t="s">
        <v>42</v>
      </c>
      <c r="I402" s="43" t="n">
        <v>0</v>
      </c>
      <c r="J402" s="43" t="n">
        <v>0</v>
      </c>
      <c r="K402" s="43" t="n">
        <v>0</v>
      </c>
      <c r="L402" s="43" t="n">
        <v>37</v>
      </c>
      <c r="M402" s="43" t="n">
        <v>0</v>
      </c>
      <c r="N402" s="43" t="n">
        <v>12</v>
      </c>
      <c r="O402" s="43" t="n">
        <v>0</v>
      </c>
      <c r="P402" s="43" t="n">
        <v>0</v>
      </c>
      <c r="Q402" s="43" t="n">
        <v>0</v>
      </c>
      <c r="R402" s="43" t="n">
        <v>0</v>
      </c>
      <c r="S402" s="43" t="n">
        <v>0</v>
      </c>
      <c r="T402" s="43" t="n">
        <v>0</v>
      </c>
      <c r="U402" s="42" t="n">
        <f aca="false">SUM(I402:T402)</f>
        <v>49</v>
      </c>
    </row>
    <row r="403" customFormat="false" ht="23.85" hidden="false" customHeight="false" outlineLevel="0" collapsed="false">
      <c r="A403" s="40" t="s">
        <v>1040</v>
      </c>
      <c r="B403" s="40" t="s">
        <v>270</v>
      </c>
      <c r="C403" s="40" t="s">
        <v>38</v>
      </c>
      <c r="D403" s="40" t="s">
        <v>7</v>
      </c>
      <c r="E403" s="40" t="s">
        <v>376</v>
      </c>
      <c r="F403" s="40" t="s">
        <v>271</v>
      </c>
      <c r="G403" s="40" t="s">
        <v>1041</v>
      </c>
      <c r="H403" s="40" t="s">
        <v>42</v>
      </c>
      <c r="I403" s="43" t="n">
        <v>0</v>
      </c>
      <c r="J403" s="43" t="n">
        <v>0</v>
      </c>
      <c r="K403" s="43" t="n">
        <v>0</v>
      </c>
      <c r="L403" s="43" t="n">
        <v>0</v>
      </c>
      <c r="M403" s="43" t="n">
        <v>0</v>
      </c>
      <c r="N403" s="43" t="n">
        <v>49</v>
      </c>
      <c r="O403" s="43" t="n">
        <v>0</v>
      </c>
      <c r="P403" s="43" t="n">
        <v>0</v>
      </c>
      <c r="Q403" s="43" t="n">
        <v>0</v>
      </c>
      <c r="R403" s="43" t="n">
        <v>0</v>
      </c>
      <c r="S403" s="43" t="n">
        <v>0</v>
      </c>
      <c r="T403" s="43" t="n">
        <v>0</v>
      </c>
      <c r="U403" s="42" t="n">
        <f aca="false">SUM(I403:T403)</f>
        <v>49</v>
      </c>
    </row>
    <row r="404" customFormat="false" ht="23.85" hidden="false" customHeight="false" outlineLevel="0" collapsed="false">
      <c r="A404" s="40" t="s">
        <v>1042</v>
      </c>
      <c r="B404" s="40" t="s">
        <v>270</v>
      </c>
      <c r="C404" s="40" t="s">
        <v>38</v>
      </c>
      <c r="D404" s="40" t="s">
        <v>7</v>
      </c>
      <c r="E404" s="40" t="s">
        <v>376</v>
      </c>
      <c r="F404" s="40" t="s">
        <v>271</v>
      </c>
      <c r="G404" s="40" t="s">
        <v>1043</v>
      </c>
      <c r="H404" s="40" t="s">
        <v>42</v>
      </c>
      <c r="I404" s="43" t="n">
        <v>0</v>
      </c>
      <c r="J404" s="43" t="n">
        <v>0</v>
      </c>
      <c r="K404" s="43" t="n">
        <v>0</v>
      </c>
      <c r="L404" s="43" t="n">
        <v>24</v>
      </c>
      <c r="M404" s="43" t="n">
        <v>0</v>
      </c>
      <c r="N404" s="43" t="n">
        <v>12</v>
      </c>
      <c r="O404" s="43" t="n">
        <v>0</v>
      </c>
      <c r="P404" s="43" t="n">
        <v>0</v>
      </c>
      <c r="Q404" s="43" t="n">
        <v>0</v>
      </c>
      <c r="R404" s="43" t="n">
        <v>0</v>
      </c>
      <c r="S404" s="43" t="n">
        <v>0</v>
      </c>
      <c r="T404" s="43" t="n">
        <v>0</v>
      </c>
      <c r="U404" s="42" t="n">
        <f aca="false">SUM(I404:T404)</f>
        <v>36</v>
      </c>
    </row>
    <row r="405" customFormat="false" ht="23.85" hidden="false" customHeight="false" outlineLevel="0" collapsed="false">
      <c r="A405" s="40" t="s">
        <v>1044</v>
      </c>
      <c r="B405" s="40" t="s">
        <v>270</v>
      </c>
      <c r="C405" s="40" t="s">
        <v>38</v>
      </c>
      <c r="D405" s="40" t="s">
        <v>7</v>
      </c>
      <c r="E405" s="40" t="s">
        <v>376</v>
      </c>
      <c r="F405" s="40" t="s">
        <v>271</v>
      </c>
      <c r="G405" s="40" t="s">
        <v>689</v>
      </c>
      <c r="H405" s="40" t="s">
        <v>42</v>
      </c>
      <c r="I405" s="43" t="n">
        <v>0</v>
      </c>
      <c r="J405" s="43" t="n">
        <v>0</v>
      </c>
      <c r="K405" s="43" t="n">
        <v>0</v>
      </c>
      <c r="L405" s="43" t="n">
        <v>37</v>
      </c>
      <c r="M405" s="43" t="n">
        <v>0</v>
      </c>
      <c r="N405" s="43" t="n">
        <v>0</v>
      </c>
      <c r="O405" s="43" t="n">
        <v>0</v>
      </c>
      <c r="P405" s="43" t="n">
        <v>0</v>
      </c>
      <c r="Q405" s="43" t="n">
        <v>0</v>
      </c>
      <c r="R405" s="43" t="n">
        <v>0</v>
      </c>
      <c r="S405" s="43" t="n">
        <v>0</v>
      </c>
      <c r="T405" s="43" t="n">
        <v>0</v>
      </c>
      <c r="U405" s="42" t="n">
        <f aca="false">SUM(I405:T405)</f>
        <v>37</v>
      </c>
    </row>
    <row r="406" customFormat="false" ht="23.85" hidden="false" customHeight="false" outlineLevel="0" collapsed="false">
      <c r="A406" s="40" t="s">
        <v>1045</v>
      </c>
      <c r="B406" s="40" t="s">
        <v>270</v>
      </c>
      <c r="C406" s="40" t="s">
        <v>38</v>
      </c>
      <c r="D406" s="40" t="s">
        <v>7</v>
      </c>
      <c r="E406" s="40" t="s">
        <v>376</v>
      </c>
      <c r="F406" s="40" t="s">
        <v>271</v>
      </c>
      <c r="G406" s="40" t="s">
        <v>1046</v>
      </c>
      <c r="H406" s="40" t="s">
        <v>42</v>
      </c>
      <c r="I406" s="43" t="n">
        <v>0</v>
      </c>
      <c r="J406" s="43" t="n">
        <v>0</v>
      </c>
      <c r="K406" s="43" t="n">
        <v>0</v>
      </c>
      <c r="L406" s="43" t="n">
        <v>0</v>
      </c>
      <c r="M406" s="43" t="n">
        <v>0</v>
      </c>
      <c r="N406" s="43" t="n">
        <v>0</v>
      </c>
      <c r="O406" s="43" t="n">
        <v>0</v>
      </c>
      <c r="P406" s="43" t="n">
        <v>0</v>
      </c>
      <c r="Q406" s="43" t="n">
        <v>0</v>
      </c>
      <c r="R406" s="43" t="n">
        <v>0</v>
      </c>
      <c r="S406" s="43" t="n">
        <v>49</v>
      </c>
      <c r="T406" s="43" t="n">
        <v>0</v>
      </c>
      <c r="U406" s="42" t="n">
        <f aca="false">SUM(I406:T406)</f>
        <v>49</v>
      </c>
    </row>
    <row r="407" customFormat="false" ht="23.85" hidden="false" customHeight="false" outlineLevel="0" collapsed="false">
      <c r="A407" s="40" t="s">
        <v>1047</v>
      </c>
      <c r="B407" s="40" t="s">
        <v>270</v>
      </c>
      <c r="C407" s="40" t="s">
        <v>38</v>
      </c>
      <c r="D407" s="40" t="s">
        <v>7</v>
      </c>
      <c r="E407" s="40" t="s">
        <v>376</v>
      </c>
      <c r="F407" s="40" t="s">
        <v>271</v>
      </c>
      <c r="G407" s="40" t="s">
        <v>407</v>
      </c>
      <c r="H407" s="40" t="s">
        <v>42</v>
      </c>
      <c r="I407" s="43" t="n">
        <v>0</v>
      </c>
      <c r="J407" s="43" t="n">
        <v>13</v>
      </c>
      <c r="K407" s="43" t="n">
        <v>0</v>
      </c>
      <c r="L407" s="43" t="n">
        <v>0</v>
      </c>
      <c r="M407" s="43" t="n">
        <v>0</v>
      </c>
      <c r="N407" s="43" t="n">
        <v>0</v>
      </c>
      <c r="O407" s="43" t="n">
        <v>0</v>
      </c>
      <c r="P407" s="43" t="n">
        <v>0</v>
      </c>
      <c r="Q407" s="43" t="n">
        <v>0</v>
      </c>
      <c r="R407" s="43" t="n">
        <v>0</v>
      </c>
      <c r="S407" s="43" t="n">
        <v>0</v>
      </c>
      <c r="T407" s="43" t="n">
        <v>0</v>
      </c>
      <c r="U407" s="42" t="n">
        <f aca="false">SUM(I407:T407)</f>
        <v>13</v>
      </c>
    </row>
    <row r="408" customFormat="false" ht="23.85" hidden="false" customHeight="false" outlineLevel="0" collapsed="false">
      <c r="A408" s="40" t="s">
        <v>1048</v>
      </c>
      <c r="B408" s="40" t="s">
        <v>270</v>
      </c>
      <c r="C408" s="40" t="s">
        <v>38</v>
      </c>
      <c r="D408" s="40" t="s">
        <v>7</v>
      </c>
      <c r="E408" s="40" t="s">
        <v>376</v>
      </c>
      <c r="F408" s="40" t="s">
        <v>271</v>
      </c>
      <c r="G408" s="40" t="s">
        <v>411</v>
      </c>
      <c r="H408" s="40" t="s">
        <v>42</v>
      </c>
      <c r="I408" s="43" t="n">
        <v>0</v>
      </c>
      <c r="J408" s="43" t="n">
        <v>0</v>
      </c>
      <c r="K408" s="43" t="n">
        <v>0</v>
      </c>
      <c r="L408" s="43" t="n">
        <v>9</v>
      </c>
      <c r="M408" s="43" t="n">
        <v>0</v>
      </c>
      <c r="N408" s="43" t="n">
        <v>0</v>
      </c>
      <c r="O408" s="43" t="n">
        <v>0</v>
      </c>
      <c r="P408" s="43" t="n">
        <v>0</v>
      </c>
      <c r="Q408" s="43" t="n">
        <v>0</v>
      </c>
      <c r="R408" s="43" t="n">
        <v>0</v>
      </c>
      <c r="S408" s="43" t="n">
        <v>0</v>
      </c>
      <c r="T408" s="43" t="n">
        <v>0</v>
      </c>
      <c r="U408" s="42" t="n">
        <f aca="false">SUM(I408:T408)</f>
        <v>9</v>
      </c>
    </row>
    <row r="409" customFormat="false" ht="15" hidden="false" customHeight="false" outlineLevel="0" collapsed="false">
      <c r="A409" s="40" t="s">
        <v>1049</v>
      </c>
      <c r="B409" s="40" t="s">
        <v>273</v>
      </c>
      <c r="C409" s="40" t="s">
        <v>38</v>
      </c>
      <c r="D409" s="40" t="s">
        <v>7</v>
      </c>
      <c r="E409" s="40" t="s">
        <v>376</v>
      </c>
      <c r="F409" s="40" t="s">
        <v>274</v>
      </c>
      <c r="G409" s="40" t="s">
        <v>1050</v>
      </c>
      <c r="H409" s="40" t="s">
        <v>45</v>
      </c>
      <c r="I409" s="43" t="n">
        <v>0</v>
      </c>
      <c r="J409" s="43" t="n">
        <v>0</v>
      </c>
      <c r="K409" s="43" t="n">
        <v>0</v>
      </c>
      <c r="L409" s="43" t="n">
        <v>0</v>
      </c>
      <c r="M409" s="43" t="n">
        <v>0</v>
      </c>
      <c r="N409" s="43" t="n">
        <v>0</v>
      </c>
      <c r="O409" s="43" t="n">
        <v>0</v>
      </c>
      <c r="P409" s="43" t="n">
        <v>0</v>
      </c>
      <c r="Q409" s="43" t="n">
        <v>0</v>
      </c>
      <c r="R409" s="43" t="n">
        <v>49</v>
      </c>
      <c r="S409" s="43" t="n">
        <v>0</v>
      </c>
      <c r="T409" s="43" t="n">
        <v>0</v>
      </c>
      <c r="U409" s="42" t="n">
        <f aca="false">SUM(I409:T409)</f>
        <v>49</v>
      </c>
    </row>
    <row r="410" customFormat="false" ht="15" hidden="false" customHeight="false" outlineLevel="0" collapsed="false">
      <c r="A410" s="40" t="s">
        <v>1051</v>
      </c>
      <c r="B410" s="40" t="s">
        <v>273</v>
      </c>
      <c r="C410" s="40" t="s">
        <v>38</v>
      </c>
      <c r="D410" s="40" t="s">
        <v>7</v>
      </c>
      <c r="E410" s="40" t="s">
        <v>376</v>
      </c>
      <c r="F410" s="40" t="s">
        <v>274</v>
      </c>
      <c r="G410" s="40" t="s">
        <v>1052</v>
      </c>
      <c r="H410" s="40" t="s">
        <v>45</v>
      </c>
      <c r="I410" s="43" t="n">
        <v>0</v>
      </c>
      <c r="J410" s="43" t="n">
        <v>0</v>
      </c>
      <c r="K410" s="43" t="n">
        <v>0</v>
      </c>
      <c r="L410" s="43" t="n">
        <v>0</v>
      </c>
      <c r="M410" s="43" t="n">
        <v>0</v>
      </c>
      <c r="N410" s="43" t="n">
        <v>0</v>
      </c>
      <c r="O410" s="43" t="n">
        <v>0</v>
      </c>
      <c r="P410" s="43" t="n">
        <v>0</v>
      </c>
      <c r="Q410" s="43" t="n">
        <v>0</v>
      </c>
      <c r="R410" s="43" t="n">
        <v>73</v>
      </c>
      <c r="S410" s="43" t="n">
        <v>0</v>
      </c>
      <c r="T410" s="43" t="n">
        <v>0</v>
      </c>
      <c r="U410" s="42" t="n">
        <f aca="false">SUM(I410:T410)</f>
        <v>73</v>
      </c>
    </row>
    <row r="411" customFormat="false" ht="15" hidden="false" customHeight="false" outlineLevel="0" collapsed="false">
      <c r="A411" s="40" t="s">
        <v>1053</v>
      </c>
      <c r="B411" s="40" t="s">
        <v>273</v>
      </c>
      <c r="C411" s="40" t="s">
        <v>38</v>
      </c>
      <c r="D411" s="40" t="s">
        <v>7</v>
      </c>
      <c r="E411" s="40" t="s">
        <v>376</v>
      </c>
      <c r="F411" s="40" t="s">
        <v>274</v>
      </c>
      <c r="G411" s="40" t="s">
        <v>1054</v>
      </c>
      <c r="H411" s="40" t="s">
        <v>45</v>
      </c>
      <c r="I411" s="43" t="n">
        <v>0</v>
      </c>
      <c r="J411" s="43" t="n">
        <v>0</v>
      </c>
      <c r="K411" s="43" t="n">
        <v>0</v>
      </c>
      <c r="L411" s="43" t="n">
        <v>0</v>
      </c>
      <c r="M411" s="43" t="n">
        <v>0</v>
      </c>
      <c r="N411" s="43" t="n">
        <v>24</v>
      </c>
      <c r="O411" s="43" t="n">
        <v>0</v>
      </c>
      <c r="P411" s="43" t="n">
        <v>0</v>
      </c>
      <c r="Q411" s="43" t="n">
        <v>0</v>
      </c>
      <c r="R411" s="43" t="n">
        <v>0</v>
      </c>
      <c r="S411" s="43" t="n">
        <v>0</v>
      </c>
      <c r="T411" s="43" t="n">
        <v>0</v>
      </c>
      <c r="U411" s="42" t="n">
        <f aca="false">SUM(I411:T411)</f>
        <v>24</v>
      </c>
    </row>
    <row r="412" customFormat="false" ht="15" hidden="false" customHeight="false" outlineLevel="0" collapsed="false">
      <c r="A412" s="40" t="s">
        <v>1055</v>
      </c>
      <c r="B412" s="40" t="s">
        <v>273</v>
      </c>
      <c r="C412" s="40" t="s">
        <v>38</v>
      </c>
      <c r="D412" s="40" t="s">
        <v>7</v>
      </c>
      <c r="E412" s="40" t="s">
        <v>376</v>
      </c>
      <c r="F412" s="40" t="s">
        <v>274</v>
      </c>
      <c r="G412" s="40" t="s">
        <v>1056</v>
      </c>
      <c r="H412" s="40" t="s">
        <v>45</v>
      </c>
      <c r="I412" s="43" t="n">
        <v>0</v>
      </c>
      <c r="J412" s="43" t="n">
        <v>0</v>
      </c>
      <c r="K412" s="43" t="n">
        <v>0</v>
      </c>
      <c r="L412" s="43" t="n">
        <v>0</v>
      </c>
      <c r="M412" s="43" t="n">
        <v>0</v>
      </c>
      <c r="N412" s="43" t="n">
        <v>24</v>
      </c>
      <c r="O412" s="43" t="n">
        <v>0</v>
      </c>
      <c r="P412" s="43" t="n">
        <v>0</v>
      </c>
      <c r="Q412" s="43" t="n">
        <v>0</v>
      </c>
      <c r="R412" s="43" t="n">
        <v>0</v>
      </c>
      <c r="S412" s="43" t="n">
        <v>0</v>
      </c>
      <c r="T412" s="43" t="n">
        <v>0</v>
      </c>
      <c r="U412" s="42" t="n">
        <f aca="false">SUM(I412:T412)</f>
        <v>24</v>
      </c>
    </row>
    <row r="413" customFormat="false" ht="15" hidden="false" customHeight="false" outlineLevel="0" collapsed="false">
      <c r="A413" s="40" t="s">
        <v>1057</v>
      </c>
      <c r="B413" s="40" t="s">
        <v>273</v>
      </c>
      <c r="C413" s="40" t="s">
        <v>38</v>
      </c>
      <c r="D413" s="40" t="s">
        <v>7</v>
      </c>
      <c r="E413" s="40" t="s">
        <v>376</v>
      </c>
      <c r="F413" s="40" t="s">
        <v>274</v>
      </c>
      <c r="G413" s="40" t="s">
        <v>1058</v>
      </c>
      <c r="H413" s="40" t="s">
        <v>45</v>
      </c>
      <c r="I413" s="43" t="n">
        <v>0</v>
      </c>
      <c r="J413" s="43" t="n">
        <v>0</v>
      </c>
      <c r="K413" s="43" t="n">
        <v>0</v>
      </c>
      <c r="L413" s="43" t="n">
        <v>0</v>
      </c>
      <c r="M413" s="43" t="n">
        <v>0</v>
      </c>
      <c r="N413" s="43" t="n">
        <v>0</v>
      </c>
      <c r="O413" s="43" t="n">
        <v>0</v>
      </c>
      <c r="P413" s="43" t="n">
        <v>0</v>
      </c>
      <c r="Q413" s="43" t="n">
        <v>0</v>
      </c>
      <c r="R413" s="43" t="n">
        <v>0</v>
      </c>
      <c r="S413" s="43" t="n">
        <v>73</v>
      </c>
      <c r="T413" s="43" t="n">
        <v>0</v>
      </c>
      <c r="U413" s="42" t="n">
        <f aca="false">SUM(I413:T413)</f>
        <v>73</v>
      </c>
    </row>
    <row r="414" customFormat="false" ht="15" hidden="false" customHeight="false" outlineLevel="0" collapsed="false">
      <c r="A414" s="40" t="s">
        <v>1059</v>
      </c>
      <c r="B414" s="40" t="s">
        <v>273</v>
      </c>
      <c r="C414" s="40" t="s">
        <v>38</v>
      </c>
      <c r="D414" s="40" t="s">
        <v>7</v>
      </c>
      <c r="E414" s="40" t="s">
        <v>376</v>
      </c>
      <c r="F414" s="40" t="s">
        <v>274</v>
      </c>
      <c r="G414" s="40" t="s">
        <v>407</v>
      </c>
      <c r="H414" s="40" t="s">
        <v>45</v>
      </c>
      <c r="I414" s="43" t="n">
        <v>0</v>
      </c>
      <c r="J414" s="43" t="n">
        <v>0</v>
      </c>
      <c r="K414" s="43" t="n">
        <v>0</v>
      </c>
      <c r="L414" s="43" t="n">
        <v>0</v>
      </c>
      <c r="M414" s="43" t="n">
        <v>0</v>
      </c>
      <c r="N414" s="43" t="n">
        <v>0</v>
      </c>
      <c r="O414" s="43" t="n">
        <v>0</v>
      </c>
      <c r="P414" s="43" t="n">
        <v>15</v>
      </c>
      <c r="Q414" s="43" t="n">
        <v>0</v>
      </c>
      <c r="R414" s="43" t="n">
        <v>0</v>
      </c>
      <c r="S414" s="43" t="n">
        <v>0</v>
      </c>
      <c r="T414" s="43" t="n">
        <v>0</v>
      </c>
      <c r="U414" s="42" t="n">
        <f aca="false">SUM(I414:T414)</f>
        <v>15</v>
      </c>
    </row>
    <row r="415" customFormat="false" ht="15" hidden="false" customHeight="false" outlineLevel="0" collapsed="false">
      <c r="A415" s="40" t="s">
        <v>1060</v>
      </c>
      <c r="B415" s="40" t="s">
        <v>273</v>
      </c>
      <c r="C415" s="40" t="s">
        <v>38</v>
      </c>
      <c r="D415" s="40" t="s">
        <v>7</v>
      </c>
      <c r="E415" s="40" t="s">
        <v>376</v>
      </c>
      <c r="F415" s="40" t="s">
        <v>274</v>
      </c>
      <c r="G415" s="40" t="s">
        <v>411</v>
      </c>
      <c r="H415" s="40" t="s">
        <v>45</v>
      </c>
      <c r="I415" s="43" t="n">
        <v>0</v>
      </c>
      <c r="J415" s="43" t="n">
        <v>0</v>
      </c>
      <c r="K415" s="43" t="n">
        <v>0</v>
      </c>
      <c r="L415" s="43" t="n">
        <v>0</v>
      </c>
      <c r="M415" s="43" t="n">
        <v>0</v>
      </c>
      <c r="N415" s="43" t="n">
        <v>0</v>
      </c>
      <c r="O415" s="43" t="n">
        <v>0</v>
      </c>
      <c r="P415" s="43" t="n">
        <v>0</v>
      </c>
      <c r="Q415" s="43" t="n">
        <v>0</v>
      </c>
      <c r="R415" s="43" t="n">
        <v>10</v>
      </c>
      <c r="S415" s="43" t="n">
        <v>0</v>
      </c>
      <c r="T415" s="43" t="n">
        <v>0</v>
      </c>
      <c r="U415" s="42" t="n">
        <f aca="false">SUM(I415:T415)</f>
        <v>10</v>
      </c>
    </row>
    <row r="416" customFormat="false" ht="23.85" hidden="false" customHeight="false" outlineLevel="0" collapsed="false">
      <c r="A416" s="40" t="s">
        <v>1061</v>
      </c>
      <c r="B416" s="40" t="s">
        <v>323</v>
      </c>
      <c r="C416" s="40" t="s">
        <v>38</v>
      </c>
      <c r="D416" s="40" t="s">
        <v>8</v>
      </c>
      <c r="E416" s="40" t="s">
        <v>377</v>
      </c>
      <c r="F416" s="40" t="s">
        <v>324</v>
      </c>
      <c r="G416" s="40" t="s">
        <v>1062</v>
      </c>
      <c r="H416" s="40" t="s">
        <v>44</v>
      </c>
      <c r="I416" s="43" t="n">
        <v>0</v>
      </c>
      <c r="J416" s="43" t="n">
        <v>0</v>
      </c>
      <c r="K416" s="43" t="n">
        <v>0</v>
      </c>
      <c r="L416" s="43" t="n">
        <v>0</v>
      </c>
      <c r="M416" s="43" t="n">
        <v>0</v>
      </c>
      <c r="N416" s="43" t="n">
        <v>0</v>
      </c>
      <c r="O416" s="43" t="n">
        <v>8</v>
      </c>
      <c r="P416" s="43" t="n">
        <v>0</v>
      </c>
      <c r="Q416" s="43" t="n">
        <v>0</v>
      </c>
      <c r="R416" s="43" t="n">
        <v>0</v>
      </c>
      <c r="S416" s="43" t="n">
        <v>0</v>
      </c>
      <c r="T416" s="43" t="n">
        <v>0</v>
      </c>
      <c r="U416" s="42" t="n">
        <f aca="false">SUM(I416:T416)</f>
        <v>8</v>
      </c>
    </row>
    <row r="417" customFormat="false" ht="23.85" hidden="false" customHeight="false" outlineLevel="0" collapsed="false">
      <c r="A417" s="40" t="s">
        <v>1063</v>
      </c>
      <c r="B417" s="40" t="s">
        <v>323</v>
      </c>
      <c r="C417" s="40" t="s">
        <v>38</v>
      </c>
      <c r="D417" s="40" t="s">
        <v>8</v>
      </c>
      <c r="E417" s="40" t="s">
        <v>377</v>
      </c>
      <c r="F417" s="40" t="s">
        <v>324</v>
      </c>
      <c r="G417" s="40" t="s">
        <v>1064</v>
      </c>
      <c r="H417" s="40" t="s">
        <v>44</v>
      </c>
      <c r="I417" s="43" t="n">
        <v>0</v>
      </c>
      <c r="J417" s="43" t="n">
        <v>0</v>
      </c>
      <c r="K417" s="43" t="n">
        <v>0</v>
      </c>
      <c r="L417" s="43" t="n">
        <v>0</v>
      </c>
      <c r="M417" s="43" t="n">
        <v>0</v>
      </c>
      <c r="N417" s="43" t="n">
        <v>16</v>
      </c>
      <c r="O417" s="43" t="n">
        <v>24</v>
      </c>
      <c r="P417" s="43" t="n">
        <v>0</v>
      </c>
      <c r="Q417" s="43" t="n">
        <v>0</v>
      </c>
      <c r="R417" s="43" t="n">
        <v>0</v>
      </c>
      <c r="S417" s="43" t="n">
        <v>0</v>
      </c>
      <c r="T417" s="43" t="n">
        <v>0</v>
      </c>
      <c r="U417" s="42" t="n">
        <f aca="false">SUM(I417:T417)</f>
        <v>40</v>
      </c>
    </row>
    <row r="418" customFormat="false" ht="23.85" hidden="false" customHeight="false" outlineLevel="0" collapsed="false">
      <c r="A418" s="40" t="s">
        <v>1065</v>
      </c>
      <c r="B418" s="40" t="s">
        <v>323</v>
      </c>
      <c r="C418" s="40" t="s">
        <v>38</v>
      </c>
      <c r="D418" s="40" t="s">
        <v>8</v>
      </c>
      <c r="E418" s="40" t="s">
        <v>377</v>
      </c>
      <c r="F418" s="40" t="s">
        <v>324</v>
      </c>
      <c r="G418" s="40" t="s">
        <v>1066</v>
      </c>
      <c r="H418" s="40" t="s">
        <v>44</v>
      </c>
      <c r="I418" s="43" t="n">
        <v>0</v>
      </c>
      <c r="J418" s="43" t="n">
        <v>0</v>
      </c>
      <c r="K418" s="43" t="n">
        <v>16</v>
      </c>
      <c r="L418" s="43" t="n">
        <v>0</v>
      </c>
      <c r="M418" s="43" t="n">
        <v>0</v>
      </c>
      <c r="N418" s="43" t="n">
        <v>0</v>
      </c>
      <c r="O418" s="43" t="n">
        <v>16</v>
      </c>
      <c r="P418" s="43" t="n">
        <v>0</v>
      </c>
      <c r="Q418" s="43" t="n">
        <v>0</v>
      </c>
      <c r="R418" s="43" t="n">
        <v>0</v>
      </c>
      <c r="S418" s="43" t="n">
        <v>0</v>
      </c>
      <c r="T418" s="43" t="n">
        <v>0</v>
      </c>
      <c r="U418" s="42" t="n">
        <f aca="false">SUM(I418:T418)</f>
        <v>32</v>
      </c>
    </row>
    <row r="419" customFormat="false" ht="23.85" hidden="false" customHeight="false" outlineLevel="0" collapsed="false">
      <c r="A419" s="40" t="s">
        <v>1067</v>
      </c>
      <c r="B419" s="40" t="s">
        <v>323</v>
      </c>
      <c r="C419" s="40" t="s">
        <v>38</v>
      </c>
      <c r="D419" s="40" t="s">
        <v>8</v>
      </c>
      <c r="E419" s="40" t="s">
        <v>377</v>
      </c>
      <c r="F419" s="40" t="s">
        <v>324</v>
      </c>
      <c r="G419" s="40" t="s">
        <v>1068</v>
      </c>
      <c r="H419" s="40" t="s">
        <v>44</v>
      </c>
      <c r="I419" s="43" t="n">
        <v>0</v>
      </c>
      <c r="J419" s="43" t="n">
        <v>0</v>
      </c>
      <c r="K419" s="43" t="n">
        <v>0</v>
      </c>
      <c r="L419" s="43" t="n">
        <v>0</v>
      </c>
      <c r="M419" s="43" t="n">
        <v>0</v>
      </c>
      <c r="N419" s="43" t="n">
        <v>16</v>
      </c>
      <c r="O419" s="43" t="n">
        <v>0</v>
      </c>
      <c r="P419" s="43" t="n">
        <v>0</v>
      </c>
      <c r="Q419" s="43" t="n">
        <v>0</v>
      </c>
      <c r="R419" s="43" t="n">
        <v>0</v>
      </c>
      <c r="S419" s="43" t="n">
        <v>0</v>
      </c>
      <c r="T419" s="43" t="n">
        <v>0</v>
      </c>
      <c r="U419" s="42" t="n">
        <f aca="false">SUM(I419:T419)</f>
        <v>16</v>
      </c>
    </row>
    <row r="420" customFormat="false" ht="23.85" hidden="false" customHeight="false" outlineLevel="0" collapsed="false">
      <c r="A420" s="40" t="s">
        <v>1069</v>
      </c>
      <c r="B420" s="40" t="s">
        <v>323</v>
      </c>
      <c r="C420" s="40" t="s">
        <v>38</v>
      </c>
      <c r="D420" s="40" t="s">
        <v>8</v>
      </c>
      <c r="E420" s="40" t="s">
        <v>377</v>
      </c>
      <c r="F420" s="40" t="s">
        <v>324</v>
      </c>
      <c r="G420" s="40" t="s">
        <v>407</v>
      </c>
      <c r="H420" s="40" t="s">
        <v>44</v>
      </c>
      <c r="I420" s="43" t="n">
        <v>0</v>
      </c>
      <c r="J420" s="43" t="n">
        <v>0</v>
      </c>
      <c r="K420" s="43" t="n">
        <v>0</v>
      </c>
      <c r="L420" s="43" t="n">
        <v>0</v>
      </c>
      <c r="M420" s="43" t="n">
        <v>0</v>
      </c>
      <c r="N420" s="43" t="n">
        <v>0</v>
      </c>
      <c r="O420" s="43" t="n">
        <v>0</v>
      </c>
      <c r="P420" s="43" t="n">
        <v>6</v>
      </c>
      <c r="Q420" s="43" t="n">
        <v>0</v>
      </c>
      <c r="R420" s="43" t="n">
        <v>0</v>
      </c>
      <c r="S420" s="43" t="n">
        <v>0</v>
      </c>
      <c r="T420" s="43" t="n">
        <v>0</v>
      </c>
      <c r="U420" s="42" t="n">
        <f aca="false">SUM(I420:T420)</f>
        <v>6</v>
      </c>
    </row>
    <row r="421" customFormat="false" ht="23.85" hidden="false" customHeight="false" outlineLevel="0" collapsed="false">
      <c r="A421" s="40" t="s">
        <v>1070</v>
      </c>
      <c r="B421" s="40" t="s">
        <v>323</v>
      </c>
      <c r="C421" s="40" t="s">
        <v>38</v>
      </c>
      <c r="D421" s="40" t="s">
        <v>8</v>
      </c>
      <c r="E421" s="40" t="s">
        <v>377</v>
      </c>
      <c r="F421" s="40" t="s">
        <v>324</v>
      </c>
      <c r="G421" s="40" t="s">
        <v>409</v>
      </c>
      <c r="H421" s="40" t="s">
        <v>44</v>
      </c>
      <c r="I421" s="43" t="n">
        <v>0</v>
      </c>
      <c r="J421" s="43" t="n">
        <v>0</v>
      </c>
      <c r="K421" s="43" t="n">
        <v>4</v>
      </c>
      <c r="L421" s="43" t="n">
        <v>0</v>
      </c>
      <c r="M421" s="43" t="n">
        <v>0</v>
      </c>
      <c r="N421" s="43" t="n">
        <v>0</v>
      </c>
      <c r="O421" s="43" t="n">
        <v>0</v>
      </c>
      <c r="P421" s="43" t="n">
        <v>0</v>
      </c>
      <c r="Q421" s="43" t="n">
        <v>0</v>
      </c>
      <c r="R421" s="43" t="n">
        <v>0</v>
      </c>
      <c r="S421" s="43" t="n">
        <v>0</v>
      </c>
      <c r="T421" s="43" t="n">
        <v>0</v>
      </c>
      <c r="U421" s="42" t="n">
        <f aca="false">SUM(I421:T421)</f>
        <v>4</v>
      </c>
    </row>
    <row r="422" customFormat="false" ht="23.85" hidden="false" customHeight="false" outlineLevel="0" collapsed="false">
      <c r="A422" s="40" t="s">
        <v>1071</v>
      </c>
      <c r="B422" s="40" t="s">
        <v>323</v>
      </c>
      <c r="C422" s="40" t="s">
        <v>38</v>
      </c>
      <c r="D422" s="40" t="s">
        <v>8</v>
      </c>
      <c r="E422" s="40" t="s">
        <v>377</v>
      </c>
      <c r="F422" s="40" t="s">
        <v>324</v>
      </c>
      <c r="G422" s="40" t="s">
        <v>411</v>
      </c>
      <c r="H422" s="40" t="s">
        <v>44</v>
      </c>
      <c r="I422" s="43" t="n">
        <v>0</v>
      </c>
      <c r="J422" s="43" t="n">
        <v>0</v>
      </c>
      <c r="K422" s="43" t="n">
        <v>0</v>
      </c>
      <c r="L422" s="43" t="n">
        <v>0</v>
      </c>
      <c r="M422" s="43" t="n">
        <v>0</v>
      </c>
      <c r="N422" s="43" t="n">
        <v>0</v>
      </c>
      <c r="O422" s="43" t="n">
        <v>4</v>
      </c>
      <c r="P422" s="43" t="n">
        <v>0</v>
      </c>
      <c r="Q422" s="43" t="n">
        <v>0</v>
      </c>
      <c r="R422" s="43" t="n">
        <v>0</v>
      </c>
      <c r="S422" s="43" t="n">
        <v>0</v>
      </c>
      <c r="T422" s="43" t="n">
        <v>0</v>
      </c>
      <c r="U422" s="42" t="n">
        <f aca="false">SUM(I422:T422)</f>
        <v>4</v>
      </c>
    </row>
    <row r="423" customFormat="false" ht="23.85" hidden="false" customHeight="false" outlineLevel="0" collapsed="false">
      <c r="A423" s="40" t="s">
        <v>1072</v>
      </c>
      <c r="B423" s="40" t="s">
        <v>323</v>
      </c>
      <c r="C423" s="40" t="s">
        <v>38</v>
      </c>
      <c r="D423" s="40" t="s">
        <v>8</v>
      </c>
      <c r="E423" s="40" t="s">
        <v>377</v>
      </c>
      <c r="F423" s="40" t="s">
        <v>324</v>
      </c>
      <c r="G423" s="40" t="s">
        <v>413</v>
      </c>
      <c r="H423" s="40" t="s">
        <v>44</v>
      </c>
      <c r="I423" s="43" t="n">
        <v>0</v>
      </c>
      <c r="J423" s="43" t="n">
        <v>0</v>
      </c>
      <c r="K423" s="43" t="n">
        <v>0</v>
      </c>
      <c r="L423" s="43" t="n">
        <v>0</v>
      </c>
      <c r="M423" s="43" t="n">
        <v>0</v>
      </c>
      <c r="N423" s="43" t="n">
        <v>0</v>
      </c>
      <c r="O423" s="43" t="n">
        <v>8</v>
      </c>
      <c r="P423" s="43" t="n">
        <v>0</v>
      </c>
      <c r="Q423" s="43" t="n">
        <v>0</v>
      </c>
      <c r="R423" s="43" t="n">
        <v>0</v>
      </c>
      <c r="S423" s="43" t="n">
        <v>0</v>
      </c>
      <c r="T423" s="43" t="n">
        <v>0</v>
      </c>
      <c r="U423" s="42" t="n">
        <f aca="false">SUM(I423:T423)</f>
        <v>8</v>
      </c>
    </row>
    <row r="424" customFormat="false" ht="15" hidden="false" customHeight="false" outlineLevel="0" collapsed="false">
      <c r="A424" s="40" t="s">
        <v>1073</v>
      </c>
      <c r="B424" s="40" t="s">
        <v>326</v>
      </c>
      <c r="C424" s="40" t="s">
        <v>38</v>
      </c>
      <c r="D424" s="40" t="s">
        <v>8</v>
      </c>
      <c r="E424" s="40" t="s">
        <v>377</v>
      </c>
      <c r="F424" s="40" t="s">
        <v>327</v>
      </c>
      <c r="G424" s="40" t="s">
        <v>1074</v>
      </c>
      <c r="H424" s="40" t="s">
        <v>44</v>
      </c>
      <c r="I424" s="43" t="n">
        <v>0</v>
      </c>
      <c r="J424" s="43" t="n">
        <v>0</v>
      </c>
      <c r="K424" s="43" t="n">
        <v>0</v>
      </c>
      <c r="L424" s="43" t="n">
        <v>0</v>
      </c>
      <c r="M424" s="43" t="n">
        <v>0</v>
      </c>
      <c r="N424" s="43" t="n">
        <v>0</v>
      </c>
      <c r="O424" s="43" t="n">
        <v>24</v>
      </c>
      <c r="P424" s="43" t="n">
        <v>0</v>
      </c>
      <c r="Q424" s="43" t="n">
        <v>0</v>
      </c>
      <c r="R424" s="43" t="n">
        <v>0</v>
      </c>
      <c r="S424" s="43" t="n">
        <v>0</v>
      </c>
      <c r="T424" s="43" t="n">
        <v>0</v>
      </c>
      <c r="U424" s="42" t="n">
        <f aca="false">SUM(I424:T424)</f>
        <v>24</v>
      </c>
    </row>
    <row r="425" customFormat="false" ht="15" hidden="false" customHeight="false" outlineLevel="0" collapsed="false">
      <c r="A425" s="40" t="s">
        <v>1075</v>
      </c>
      <c r="B425" s="40" t="s">
        <v>326</v>
      </c>
      <c r="C425" s="40" t="s">
        <v>38</v>
      </c>
      <c r="D425" s="40" t="s">
        <v>8</v>
      </c>
      <c r="E425" s="40" t="s">
        <v>377</v>
      </c>
      <c r="F425" s="40" t="s">
        <v>327</v>
      </c>
      <c r="G425" s="40" t="s">
        <v>1076</v>
      </c>
      <c r="H425" s="40" t="s">
        <v>44</v>
      </c>
      <c r="I425" s="43" t="n">
        <v>0</v>
      </c>
      <c r="J425" s="43" t="n">
        <v>0</v>
      </c>
      <c r="K425" s="43" t="n">
        <v>0</v>
      </c>
      <c r="L425" s="43" t="n">
        <v>0</v>
      </c>
      <c r="M425" s="43" t="n">
        <v>0</v>
      </c>
      <c r="N425" s="43" t="n">
        <v>0</v>
      </c>
      <c r="O425" s="43" t="n">
        <v>8</v>
      </c>
      <c r="P425" s="43" t="n">
        <v>33</v>
      </c>
      <c r="Q425" s="43" t="n">
        <v>0</v>
      </c>
      <c r="R425" s="43" t="n">
        <v>0</v>
      </c>
      <c r="S425" s="43" t="n">
        <v>0</v>
      </c>
      <c r="T425" s="43" t="n">
        <v>0</v>
      </c>
      <c r="U425" s="42" t="n">
        <f aca="false">SUM(I425:T425)</f>
        <v>41</v>
      </c>
    </row>
    <row r="426" customFormat="false" ht="15" hidden="false" customHeight="false" outlineLevel="0" collapsed="false">
      <c r="A426" s="40" t="s">
        <v>1077</v>
      </c>
      <c r="B426" s="40" t="s">
        <v>326</v>
      </c>
      <c r="C426" s="40" t="s">
        <v>38</v>
      </c>
      <c r="D426" s="40" t="s">
        <v>8</v>
      </c>
      <c r="E426" s="40" t="s">
        <v>377</v>
      </c>
      <c r="F426" s="40" t="s">
        <v>327</v>
      </c>
      <c r="G426" s="40" t="s">
        <v>1078</v>
      </c>
      <c r="H426" s="40" t="s">
        <v>44</v>
      </c>
      <c r="I426" s="43" t="n">
        <v>0</v>
      </c>
      <c r="J426" s="43" t="n">
        <v>0</v>
      </c>
      <c r="K426" s="43" t="n">
        <v>0</v>
      </c>
      <c r="L426" s="43" t="n">
        <v>0</v>
      </c>
      <c r="M426" s="43" t="n">
        <v>0</v>
      </c>
      <c r="N426" s="43" t="n">
        <v>0</v>
      </c>
      <c r="O426" s="43" t="n">
        <v>0</v>
      </c>
      <c r="P426" s="43" t="n">
        <v>33</v>
      </c>
      <c r="Q426" s="43" t="n">
        <v>0</v>
      </c>
      <c r="R426" s="43" t="n">
        <v>0</v>
      </c>
      <c r="S426" s="43" t="n">
        <v>0</v>
      </c>
      <c r="T426" s="43" t="n">
        <v>0</v>
      </c>
      <c r="U426" s="42" t="n">
        <f aca="false">SUM(I426:T426)</f>
        <v>33</v>
      </c>
    </row>
    <row r="427" customFormat="false" ht="15" hidden="false" customHeight="false" outlineLevel="0" collapsed="false">
      <c r="A427" s="40" t="s">
        <v>1079</v>
      </c>
      <c r="B427" s="40" t="s">
        <v>326</v>
      </c>
      <c r="C427" s="40" t="s">
        <v>38</v>
      </c>
      <c r="D427" s="40" t="s">
        <v>8</v>
      </c>
      <c r="E427" s="40" t="s">
        <v>377</v>
      </c>
      <c r="F427" s="40" t="s">
        <v>327</v>
      </c>
      <c r="G427" s="40" t="s">
        <v>407</v>
      </c>
      <c r="H427" s="40" t="s">
        <v>44</v>
      </c>
      <c r="I427" s="43" t="n">
        <v>0</v>
      </c>
      <c r="J427" s="43" t="n">
        <v>0</v>
      </c>
      <c r="K427" s="43" t="n">
        <v>0</v>
      </c>
      <c r="L427" s="43" t="n">
        <v>0</v>
      </c>
      <c r="M427" s="43" t="n">
        <v>0</v>
      </c>
      <c r="N427" s="43" t="n">
        <v>0</v>
      </c>
      <c r="O427" s="43" t="n">
        <v>0</v>
      </c>
      <c r="P427" s="43" t="n">
        <v>6</v>
      </c>
      <c r="Q427" s="43" t="n">
        <v>0</v>
      </c>
      <c r="R427" s="43" t="n">
        <v>0</v>
      </c>
      <c r="S427" s="43" t="n">
        <v>0</v>
      </c>
      <c r="T427" s="43" t="n">
        <v>0</v>
      </c>
      <c r="U427" s="42" t="n">
        <f aca="false">SUM(I427:T427)</f>
        <v>6</v>
      </c>
    </row>
    <row r="428" customFormat="false" ht="15" hidden="false" customHeight="false" outlineLevel="0" collapsed="false">
      <c r="A428" s="40" t="s">
        <v>1080</v>
      </c>
      <c r="B428" s="40" t="s">
        <v>326</v>
      </c>
      <c r="C428" s="40" t="s">
        <v>38</v>
      </c>
      <c r="D428" s="40" t="s">
        <v>8</v>
      </c>
      <c r="E428" s="40" t="s">
        <v>377</v>
      </c>
      <c r="F428" s="40" t="s">
        <v>327</v>
      </c>
      <c r="G428" s="40" t="s">
        <v>411</v>
      </c>
      <c r="H428" s="40" t="s">
        <v>44</v>
      </c>
      <c r="I428" s="43" t="n">
        <v>0</v>
      </c>
      <c r="J428" s="43" t="n">
        <v>0</v>
      </c>
      <c r="K428" s="43" t="n">
        <v>0</v>
      </c>
      <c r="L428" s="43" t="n">
        <v>0</v>
      </c>
      <c r="M428" s="43" t="n">
        <v>0</v>
      </c>
      <c r="N428" s="43" t="n">
        <v>0</v>
      </c>
      <c r="O428" s="43" t="n">
        <v>0</v>
      </c>
      <c r="P428" s="43" t="n">
        <v>4</v>
      </c>
      <c r="Q428" s="43" t="n">
        <v>0</v>
      </c>
      <c r="R428" s="43" t="n">
        <v>0</v>
      </c>
      <c r="S428" s="43" t="n">
        <v>0</v>
      </c>
      <c r="T428" s="43" t="n">
        <v>0</v>
      </c>
      <c r="U428" s="42" t="n">
        <f aca="false">SUM(I428:T428)</f>
        <v>4</v>
      </c>
    </row>
    <row r="429" customFormat="false" ht="15" hidden="false" customHeight="false" outlineLevel="0" collapsed="false">
      <c r="A429" s="40" t="s">
        <v>1081</v>
      </c>
      <c r="B429" s="40" t="s">
        <v>329</v>
      </c>
      <c r="C429" s="40" t="s">
        <v>38</v>
      </c>
      <c r="D429" s="40" t="s">
        <v>8</v>
      </c>
      <c r="E429" s="40" t="s">
        <v>377</v>
      </c>
      <c r="F429" s="40" t="s">
        <v>330</v>
      </c>
      <c r="G429" s="40" t="s">
        <v>1082</v>
      </c>
      <c r="H429" s="40" t="s">
        <v>44</v>
      </c>
      <c r="I429" s="43" t="n">
        <v>0</v>
      </c>
      <c r="J429" s="43" t="n">
        <v>0</v>
      </c>
      <c r="K429" s="43" t="n">
        <v>0</v>
      </c>
      <c r="L429" s="43" t="n">
        <v>8</v>
      </c>
      <c r="M429" s="43" t="n">
        <v>0</v>
      </c>
      <c r="N429" s="43" t="n">
        <v>0</v>
      </c>
      <c r="O429" s="43" t="n">
        <v>0</v>
      </c>
      <c r="P429" s="43" t="n">
        <v>24</v>
      </c>
      <c r="Q429" s="43" t="n">
        <v>0</v>
      </c>
      <c r="R429" s="43" t="n">
        <v>0</v>
      </c>
      <c r="S429" s="43" t="n">
        <v>0</v>
      </c>
      <c r="T429" s="43" t="n">
        <v>0</v>
      </c>
      <c r="U429" s="42" t="n">
        <f aca="false">SUM(I429:T429)</f>
        <v>32</v>
      </c>
    </row>
    <row r="430" customFormat="false" ht="15" hidden="false" customHeight="false" outlineLevel="0" collapsed="false">
      <c r="A430" s="40" t="s">
        <v>1083</v>
      </c>
      <c r="B430" s="40" t="s">
        <v>329</v>
      </c>
      <c r="C430" s="40" t="s">
        <v>38</v>
      </c>
      <c r="D430" s="40" t="s">
        <v>8</v>
      </c>
      <c r="E430" s="40" t="s">
        <v>377</v>
      </c>
      <c r="F430" s="40" t="s">
        <v>330</v>
      </c>
      <c r="G430" s="40" t="s">
        <v>1084</v>
      </c>
      <c r="H430" s="40" t="s">
        <v>44</v>
      </c>
      <c r="I430" s="43" t="n">
        <v>0</v>
      </c>
      <c r="J430" s="43" t="n">
        <v>0</v>
      </c>
      <c r="K430" s="43" t="n">
        <v>16</v>
      </c>
      <c r="L430" s="43" t="n">
        <v>0</v>
      </c>
      <c r="M430" s="43" t="n">
        <v>0</v>
      </c>
      <c r="N430" s="43" t="n">
        <v>0</v>
      </c>
      <c r="O430" s="43" t="n">
        <v>0</v>
      </c>
      <c r="P430" s="43" t="n">
        <v>0</v>
      </c>
      <c r="Q430" s="43" t="n">
        <v>0</v>
      </c>
      <c r="R430" s="43" t="n">
        <v>0</v>
      </c>
      <c r="S430" s="43" t="n">
        <v>0</v>
      </c>
      <c r="T430" s="43" t="n">
        <v>0</v>
      </c>
      <c r="U430" s="42" t="n">
        <f aca="false">SUM(I430:T430)</f>
        <v>16</v>
      </c>
    </row>
    <row r="431" customFormat="false" ht="15" hidden="false" customHeight="false" outlineLevel="0" collapsed="false">
      <c r="A431" s="40" t="s">
        <v>1085</v>
      </c>
      <c r="B431" s="40" t="s">
        <v>329</v>
      </c>
      <c r="C431" s="40" t="s">
        <v>38</v>
      </c>
      <c r="D431" s="40" t="s">
        <v>8</v>
      </c>
      <c r="E431" s="40" t="s">
        <v>377</v>
      </c>
      <c r="F431" s="40" t="s">
        <v>330</v>
      </c>
      <c r="G431" s="40" t="s">
        <v>1086</v>
      </c>
      <c r="H431" s="40" t="s">
        <v>44</v>
      </c>
      <c r="I431" s="43" t="n">
        <v>0</v>
      </c>
      <c r="J431" s="43" t="n">
        <v>0</v>
      </c>
      <c r="K431" s="43" t="n">
        <v>0</v>
      </c>
      <c r="L431" s="43" t="n">
        <v>8</v>
      </c>
      <c r="M431" s="43" t="n">
        <v>0</v>
      </c>
      <c r="N431" s="43" t="n">
        <v>0</v>
      </c>
      <c r="O431" s="43" t="n">
        <v>0</v>
      </c>
      <c r="P431" s="43" t="n">
        <v>8</v>
      </c>
      <c r="Q431" s="43" t="n">
        <v>0</v>
      </c>
      <c r="R431" s="43" t="n">
        <v>0</v>
      </c>
      <c r="S431" s="43" t="n">
        <v>0</v>
      </c>
      <c r="T431" s="43" t="n">
        <v>0</v>
      </c>
      <c r="U431" s="42" t="n">
        <f aca="false">SUM(I431:T431)</f>
        <v>16</v>
      </c>
    </row>
    <row r="432" customFormat="false" ht="15" hidden="false" customHeight="false" outlineLevel="0" collapsed="false">
      <c r="A432" s="40" t="s">
        <v>1087</v>
      </c>
      <c r="B432" s="40" t="s">
        <v>329</v>
      </c>
      <c r="C432" s="40" t="s">
        <v>38</v>
      </c>
      <c r="D432" s="40" t="s">
        <v>8</v>
      </c>
      <c r="E432" s="40" t="s">
        <v>377</v>
      </c>
      <c r="F432" s="40" t="s">
        <v>330</v>
      </c>
      <c r="G432" s="40" t="s">
        <v>407</v>
      </c>
      <c r="H432" s="40" t="s">
        <v>44</v>
      </c>
      <c r="I432" s="43" t="n">
        <v>0</v>
      </c>
      <c r="J432" s="43" t="n">
        <v>0</v>
      </c>
      <c r="K432" s="43" t="n">
        <v>0</v>
      </c>
      <c r="L432" s="43" t="n">
        <v>0</v>
      </c>
      <c r="M432" s="43" t="n">
        <v>0</v>
      </c>
      <c r="N432" s="43" t="n">
        <v>0</v>
      </c>
      <c r="O432" s="43" t="n">
        <v>0</v>
      </c>
      <c r="P432" s="43" t="n">
        <v>4</v>
      </c>
      <c r="Q432" s="43" t="n">
        <v>0</v>
      </c>
      <c r="R432" s="43" t="n">
        <v>0</v>
      </c>
      <c r="S432" s="43" t="n">
        <v>0</v>
      </c>
      <c r="T432" s="43" t="n">
        <v>0</v>
      </c>
      <c r="U432" s="42" t="n">
        <f aca="false">SUM(I432:T432)</f>
        <v>4</v>
      </c>
    </row>
    <row r="433" customFormat="false" ht="15" hidden="false" customHeight="false" outlineLevel="0" collapsed="false">
      <c r="A433" s="40" t="s">
        <v>1088</v>
      </c>
      <c r="B433" s="40" t="s">
        <v>329</v>
      </c>
      <c r="C433" s="40" t="s">
        <v>38</v>
      </c>
      <c r="D433" s="40" t="s">
        <v>8</v>
      </c>
      <c r="E433" s="40" t="s">
        <v>377</v>
      </c>
      <c r="F433" s="40" t="s">
        <v>330</v>
      </c>
      <c r="G433" s="40" t="s">
        <v>411</v>
      </c>
      <c r="H433" s="40" t="s">
        <v>44</v>
      </c>
      <c r="I433" s="43" t="n">
        <v>0</v>
      </c>
      <c r="J433" s="43" t="n">
        <v>0</v>
      </c>
      <c r="K433" s="43" t="n">
        <v>0</v>
      </c>
      <c r="L433" s="43" t="n">
        <v>0</v>
      </c>
      <c r="M433" s="43" t="n">
        <v>0</v>
      </c>
      <c r="N433" s="43" t="n">
        <v>0</v>
      </c>
      <c r="O433" s="43" t="n">
        <v>0</v>
      </c>
      <c r="P433" s="43" t="n">
        <v>3</v>
      </c>
      <c r="Q433" s="43" t="n">
        <v>0</v>
      </c>
      <c r="R433" s="43" t="n">
        <v>0</v>
      </c>
      <c r="S433" s="43" t="n">
        <v>0</v>
      </c>
      <c r="T433" s="43" t="n">
        <v>0</v>
      </c>
      <c r="U433" s="42" t="n">
        <f aca="false">SUM(I433:T433)</f>
        <v>3</v>
      </c>
    </row>
    <row r="434" customFormat="false" ht="15" hidden="false" customHeight="false" outlineLevel="0" collapsed="false">
      <c r="A434" s="40" t="s">
        <v>1089</v>
      </c>
      <c r="B434" s="40" t="s">
        <v>332</v>
      </c>
      <c r="C434" s="40" t="s">
        <v>38</v>
      </c>
      <c r="D434" s="40" t="s">
        <v>8</v>
      </c>
      <c r="E434" s="40" t="s">
        <v>377</v>
      </c>
      <c r="F434" s="40" t="s">
        <v>333</v>
      </c>
      <c r="G434" s="40" t="s">
        <v>1090</v>
      </c>
      <c r="H434" s="40" t="s">
        <v>42</v>
      </c>
      <c r="I434" s="43" t="n">
        <v>0</v>
      </c>
      <c r="J434" s="43" t="n">
        <v>0</v>
      </c>
      <c r="K434" s="43" t="n">
        <v>24</v>
      </c>
      <c r="L434" s="43" t="n">
        <v>0</v>
      </c>
      <c r="M434" s="43" t="n">
        <v>0</v>
      </c>
      <c r="N434" s="43" t="n">
        <v>0</v>
      </c>
      <c r="O434" s="43" t="n">
        <v>0</v>
      </c>
      <c r="P434" s="43" t="n">
        <v>0</v>
      </c>
      <c r="Q434" s="43" t="n">
        <v>0</v>
      </c>
      <c r="R434" s="43" t="n">
        <v>0</v>
      </c>
      <c r="S434" s="43" t="n">
        <v>0</v>
      </c>
      <c r="T434" s="43" t="n">
        <v>0</v>
      </c>
      <c r="U434" s="42" t="n">
        <f aca="false">SUM(I434:T434)</f>
        <v>24</v>
      </c>
    </row>
    <row r="435" customFormat="false" ht="15" hidden="false" customHeight="false" outlineLevel="0" collapsed="false">
      <c r="A435" s="40" t="s">
        <v>1091</v>
      </c>
      <c r="B435" s="40" t="s">
        <v>332</v>
      </c>
      <c r="C435" s="40" t="s">
        <v>38</v>
      </c>
      <c r="D435" s="40" t="s">
        <v>8</v>
      </c>
      <c r="E435" s="40" t="s">
        <v>377</v>
      </c>
      <c r="F435" s="40" t="s">
        <v>333</v>
      </c>
      <c r="G435" s="40" t="s">
        <v>1092</v>
      </c>
      <c r="H435" s="40" t="s">
        <v>42</v>
      </c>
      <c r="I435" s="43" t="n">
        <v>0</v>
      </c>
      <c r="J435" s="43" t="n">
        <v>0</v>
      </c>
      <c r="K435" s="43" t="n">
        <v>16</v>
      </c>
      <c r="L435" s="43" t="n">
        <v>0</v>
      </c>
      <c r="M435" s="43" t="n">
        <v>0</v>
      </c>
      <c r="N435" s="43" t="n">
        <v>0</v>
      </c>
      <c r="O435" s="43" t="n">
        <v>0</v>
      </c>
      <c r="P435" s="43" t="n">
        <v>0</v>
      </c>
      <c r="Q435" s="43" t="n">
        <v>0</v>
      </c>
      <c r="R435" s="43" t="n">
        <v>0</v>
      </c>
      <c r="S435" s="43" t="n">
        <v>0</v>
      </c>
      <c r="T435" s="43" t="n">
        <v>0</v>
      </c>
      <c r="U435" s="42" t="n">
        <f aca="false">SUM(I435:T435)</f>
        <v>16</v>
      </c>
    </row>
    <row r="436" customFormat="false" ht="15" hidden="false" customHeight="false" outlineLevel="0" collapsed="false">
      <c r="A436" s="40" t="s">
        <v>1093</v>
      </c>
      <c r="B436" s="40" t="s">
        <v>332</v>
      </c>
      <c r="C436" s="40" t="s">
        <v>38</v>
      </c>
      <c r="D436" s="40" t="s">
        <v>8</v>
      </c>
      <c r="E436" s="40" t="s">
        <v>377</v>
      </c>
      <c r="F436" s="40" t="s">
        <v>333</v>
      </c>
      <c r="G436" s="40" t="s">
        <v>1094</v>
      </c>
      <c r="H436" s="40" t="s">
        <v>42</v>
      </c>
      <c r="I436" s="43" t="n">
        <v>0</v>
      </c>
      <c r="J436" s="43" t="n">
        <v>0</v>
      </c>
      <c r="K436" s="43" t="n">
        <v>8</v>
      </c>
      <c r="L436" s="43" t="n">
        <v>0</v>
      </c>
      <c r="M436" s="43" t="n">
        <v>0</v>
      </c>
      <c r="N436" s="43" t="n">
        <v>0</v>
      </c>
      <c r="O436" s="43" t="n">
        <v>0</v>
      </c>
      <c r="P436" s="43" t="n">
        <v>0</v>
      </c>
      <c r="Q436" s="43" t="n">
        <v>0</v>
      </c>
      <c r="R436" s="43" t="n">
        <v>0</v>
      </c>
      <c r="S436" s="43" t="n">
        <v>16</v>
      </c>
      <c r="T436" s="43" t="n">
        <v>0</v>
      </c>
      <c r="U436" s="42" t="n">
        <f aca="false">SUM(I436:T436)</f>
        <v>24</v>
      </c>
    </row>
    <row r="437" customFormat="false" ht="15" hidden="false" customHeight="false" outlineLevel="0" collapsed="false">
      <c r="A437" s="40" t="s">
        <v>1095</v>
      </c>
      <c r="B437" s="40" t="s">
        <v>332</v>
      </c>
      <c r="C437" s="40" t="s">
        <v>38</v>
      </c>
      <c r="D437" s="40" t="s">
        <v>8</v>
      </c>
      <c r="E437" s="40" t="s">
        <v>377</v>
      </c>
      <c r="F437" s="40" t="s">
        <v>333</v>
      </c>
      <c r="G437" s="40" t="s">
        <v>407</v>
      </c>
      <c r="H437" s="40" t="s">
        <v>42</v>
      </c>
      <c r="I437" s="43" t="n">
        <v>0</v>
      </c>
      <c r="J437" s="43" t="n">
        <v>4</v>
      </c>
      <c r="K437" s="43" t="n">
        <v>0</v>
      </c>
      <c r="L437" s="43" t="n">
        <v>0</v>
      </c>
      <c r="M437" s="43" t="n">
        <v>0</v>
      </c>
      <c r="N437" s="43" t="n">
        <v>0</v>
      </c>
      <c r="O437" s="43" t="n">
        <v>0</v>
      </c>
      <c r="P437" s="43" t="n">
        <v>0</v>
      </c>
      <c r="Q437" s="43" t="n">
        <v>0</v>
      </c>
      <c r="R437" s="43" t="n">
        <v>0</v>
      </c>
      <c r="S437" s="43" t="n">
        <v>0</v>
      </c>
      <c r="T437" s="43" t="n">
        <v>0</v>
      </c>
      <c r="U437" s="42" t="n">
        <f aca="false">SUM(I437:T437)</f>
        <v>4</v>
      </c>
    </row>
    <row r="438" customFormat="false" ht="15" hidden="false" customHeight="false" outlineLevel="0" collapsed="false">
      <c r="A438" s="40" t="s">
        <v>1096</v>
      </c>
      <c r="B438" s="40" t="s">
        <v>332</v>
      </c>
      <c r="C438" s="40" t="s">
        <v>38</v>
      </c>
      <c r="D438" s="40" t="s">
        <v>8</v>
      </c>
      <c r="E438" s="40" t="s">
        <v>377</v>
      </c>
      <c r="F438" s="40" t="s">
        <v>333</v>
      </c>
      <c r="G438" s="40" t="s">
        <v>409</v>
      </c>
      <c r="H438" s="40" t="s">
        <v>42</v>
      </c>
      <c r="I438" s="43" t="n">
        <v>0</v>
      </c>
      <c r="J438" s="43" t="n">
        <v>0</v>
      </c>
      <c r="K438" s="43" t="n">
        <v>3</v>
      </c>
      <c r="L438" s="43" t="n">
        <v>0</v>
      </c>
      <c r="M438" s="43" t="n">
        <v>0</v>
      </c>
      <c r="N438" s="43" t="n">
        <v>0</v>
      </c>
      <c r="O438" s="43" t="n">
        <v>0</v>
      </c>
      <c r="P438" s="43" t="n">
        <v>0</v>
      </c>
      <c r="Q438" s="43" t="n">
        <v>0</v>
      </c>
      <c r="R438" s="43" t="n">
        <v>0</v>
      </c>
      <c r="S438" s="43" t="n">
        <v>0</v>
      </c>
      <c r="T438" s="43" t="n">
        <v>0</v>
      </c>
      <c r="U438" s="42" t="n">
        <f aca="false">SUM(I438:T438)</f>
        <v>3</v>
      </c>
    </row>
    <row r="439" customFormat="false" ht="15" hidden="false" customHeight="false" outlineLevel="0" collapsed="false">
      <c r="A439" s="40" t="s">
        <v>1097</v>
      </c>
      <c r="B439" s="40" t="s">
        <v>332</v>
      </c>
      <c r="C439" s="40" t="s">
        <v>38</v>
      </c>
      <c r="D439" s="40" t="s">
        <v>8</v>
      </c>
      <c r="E439" s="40" t="s">
        <v>377</v>
      </c>
      <c r="F439" s="40" t="s">
        <v>333</v>
      </c>
      <c r="G439" s="40" t="s">
        <v>411</v>
      </c>
      <c r="H439" s="40" t="s">
        <v>42</v>
      </c>
      <c r="I439" s="43" t="n">
        <v>0</v>
      </c>
      <c r="J439" s="43" t="n">
        <v>0</v>
      </c>
      <c r="K439" s="43" t="n">
        <v>3</v>
      </c>
      <c r="L439" s="43" t="n">
        <v>0</v>
      </c>
      <c r="M439" s="43" t="n">
        <v>0</v>
      </c>
      <c r="N439" s="43" t="n">
        <v>0</v>
      </c>
      <c r="O439" s="43" t="n">
        <v>0</v>
      </c>
      <c r="P439" s="43" t="n">
        <v>0</v>
      </c>
      <c r="Q439" s="43" t="n">
        <v>0</v>
      </c>
      <c r="R439" s="43" t="n">
        <v>0</v>
      </c>
      <c r="S439" s="43" t="n">
        <v>0</v>
      </c>
      <c r="T439" s="43" t="n">
        <v>0</v>
      </c>
      <c r="U439" s="42" t="n">
        <f aca="false">SUM(I439:T439)</f>
        <v>3</v>
      </c>
    </row>
    <row r="440" customFormat="false" ht="15" hidden="false" customHeight="false" outlineLevel="0" collapsed="false">
      <c r="A440" s="40" t="s">
        <v>1098</v>
      </c>
      <c r="B440" s="40" t="s">
        <v>332</v>
      </c>
      <c r="C440" s="40" t="s">
        <v>38</v>
      </c>
      <c r="D440" s="40" t="s">
        <v>8</v>
      </c>
      <c r="E440" s="40" t="s">
        <v>377</v>
      </c>
      <c r="F440" s="40" t="s">
        <v>333</v>
      </c>
      <c r="G440" s="40" t="s">
        <v>413</v>
      </c>
      <c r="H440" s="40" t="s">
        <v>42</v>
      </c>
      <c r="I440" s="43" t="n">
        <v>0</v>
      </c>
      <c r="J440" s="43" t="n">
        <v>0</v>
      </c>
      <c r="K440" s="43" t="n">
        <v>5</v>
      </c>
      <c r="L440" s="43" t="n">
        <v>0</v>
      </c>
      <c r="M440" s="43" t="n">
        <v>0</v>
      </c>
      <c r="N440" s="43" t="n">
        <v>0</v>
      </c>
      <c r="O440" s="43" t="n">
        <v>0</v>
      </c>
      <c r="P440" s="43" t="n">
        <v>0</v>
      </c>
      <c r="Q440" s="43" t="n">
        <v>0</v>
      </c>
      <c r="R440" s="43" t="n">
        <v>0</v>
      </c>
      <c r="S440" s="43" t="n">
        <v>0</v>
      </c>
      <c r="T440" s="43" t="n">
        <v>0</v>
      </c>
      <c r="U440" s="42" t="n">
        <f aca="false">SUM(I440:T440)</f>
        <v>5</v>
      </c>
    </row>
    <row r="441" customFormat="false" ht="15" hidden="false" customHeight="false" outlineLevel="0" collapsed="false">
      <c r="A441" s="40" t="s">
        <v>1099</v>
      </c>
      <c r="B441" s="40" t="s">
        <v>335</v>
      </c>
      <c r="C441" s="40" t="s">
        <v>38</v>
      </c>
      <c r="D441" s="40" t="s">
        <v>8</v>
      </c>
      <c r="E441" s="40" t="s">
        <v>377</v>
      </c>
      <c r="F441" s="40" t="s">
        <v>336</v>
      </c>
      <c r="G441" s="40" t="s">
        <v>1100</v>
      </c>
      <c r="H441" s="40" t="s">
        <v>43</v>
      </c>
      <c r="I441" s="43" t="n">
        <v>0</v>
      </c>
      <c r="J441" s="43" t="n">
        <v>0</v>
      </c>
      <c r="K441" s="43" t="n">
        <v>0</v>
      </c>
      <c r="L441" s="43" t="n">
        <v>0</v>
      </c>
      <c r="M441" s="43" t="n">
        <v>0</v>
      </c>
      <c r="N441" s="43" t="n">
        <v>12</v>
      </c>
      <c r="O441" s="43" t="n">
        <v>0</v>
      </c>
      <c r="P441" s="43" t="n">
        <v>0</v>
      </c>
      <c r="Q441" s="43" t="n">
        <v>0</v>
      </c>
      <c r="R441" s="43" t="n">
        <v>0</v>
      </c>
      <c r="S441" s="43" t="n">
        <v>0</v>
      </c>
      <c r="T441" s="43" t="n">
        <v>0</v>
      </c>
      <c r="U441" s="42" t="n">
        <f aca="false">SUM(I441:T441)</f>
        <v>12</v>
      </c>
    </row>
    <row r="442" customFormat="false" ht="15" hidden="false" customHeight="false" outlineLevel="0" collapsed="false">
      <c r="A442" s="40" t="s">
        <v>1101</v>
      </c>
      <c r="B442" s="40" t="s">
        <v>335</v>
      </c>
      <c r="C442" s="40" t="s">
        <v>38</v>
      </c>
      <c r="D442" s="40" t="s">
        <v>8</v>
      </c>
      <c r="E442" s="40" t="s">
        <v>377</v>
      </c>
      <c r="F442" s="40" t="s">
        <v>336</v>
      </c>
      <c r="G442" s="40" t="s">
        <v>1102</v>
      </c>
      <c r="H442" s="40" t="s">
        <v>43</v>
      </c>
      <c r="I442" s="43" t="n">
        <v>0</v>
      </c>
      <c r="J442" s="43" t="n">
        <v>0</v>
      </c>
      <c r="K442" s="43" t="n">
        <v>0</v>
      </c>
      <c r="L442" s="43" t="n">
        <v>0</v>
      </c>
      <c r="M442" s="43" t="n">
        <v>0</v>
      </c>
      <c r="N442" s="43" t="n">
        <v>24</v>
      </c>
      <c r="O442" s="43" t="n">
        <v>24</v>
      </c>
      <c r="P442" s="43" t="n">
        <v>0</v>
      </c>
      <c r="Q442" s="43" t="n">
        <v>0</v>
      </c>
      <c r="R442" s="43" t="n">
        <v>0</v>
      </c>
      <c r="S442" s="43" t="n">
        <v>0</v>
      </c>
      <c r="T442" s="43" t="n">
        <v>0</v>
      </c>
      <c r="U442" s="42" t="n">
        <f aca="false">SUM(I442:T442)</f>
        <v>48</v>
      </c>
    </row>
    <row r="443" customFormat="false" ht="15" hidden="false" customHeight="false" outlineLevel="0" collapsed="false">
      <c r="A443" s="40" t="s">
        <v>1103</v>
      </c>
      <c r="B443" s="40" t="s">
        <v>335</v>
      </c>
      <c r="C443" s="40" t="s">
        <v>38</v>
      </c>
      <c r="D443" s="40" t="s">
        <v>8</v>
      </c>
      <c r="E443" s="40" t="s">
        <v>377</v>
      </c>
      <c r="F443" s="40" t="s">
        <v>336</v>
      </c>
      <c r="G443" s="40" t="s">
        <v>1104</v>
      </c>
      <c r="H443" s="40" t="s">
        <v>43</v>
      </c>
      <c r="I443" s="43" t="n">
        <v>0</v>
      </c>
      <c r="J443" s="43" t="n">
        <v>0</v>
      </c>
      <c r="K443" s="43" t="n">
        <v>0</v>
      </c>
      <c r="L443" s="43" t="n">
        <v>0</v>
      </c>
      <c r="M443" s="43" t="n">
        <v>0</v>
      </c>
      <c r="N443" s="43" t="n">
        <v>12</v>
      </c>
      <c r="O443" s="43" t="n">
        <v>8</v>
      </c>
      <c r="P443" s="43" t="n">
        <v>0</v>
      </c>
      <c r="Q443" s="43" t="n">
        <v>0</v>
      </c>
      <c r="R443" s="43" t="n">
        <v>0</v>
      </c>
      <c r="S443" s="43" t="n">
        <v>0</v>
      </c>
      <c r="T443" s="43" t="n">
        <v>0</v>
      </c>
      <c r="U443" s="42" t="n">
        <f aca="false">SUM(I443:T443)</f>
        <v>20</v>
      </c>
    </row>
    <row r="444" customFormat="false" ht="15" hidden="false" customHeight="false" outlineLevel="0" collapsed="false">
      <c r="A444" s="40" t="s">
        <v>1105</v>
      </c>
      <c r="B444" s="40" t="s">
        <v>335</v>
      </c>
      <c r="C444" s="40" t="s">
        <v>38</v>
      </c>
      <c r="D444" s="40" t="s">
        <v>8</v>
      </c>
      <c r="E444" s="40" t="s">
        <v>377</v>
      </c>
      <c r="F444" s="40" t="s">
        <v>336</v>
      </c>
      <c r="G444" s="40" t="s">
        <v>407</v>
      </c>
      <c r="H444" s="40" t="s">
        <v>43</v>
      </c>
      <c r="I444" s="43" t="n">
        <v>0</v>
      </c>
      <c r="J444" s="43" t="n">
        <v>0</v>
      </c>
      <c r="K444" s="43" t="n">
        <v>0</v>
      </c>
      <c r="L444" s="43" t="n">
        <v>0</v>
      </c>
      <c r="M444" s="43" t="n">
        <v>5</v>
      </c>
      <c r="N444" s="43" t="n">
        <v>0</v>
      </c>
      <c r="O444" s="43" t="n">
        <v>0</v>
      </c>
      <c r="P444" s="43" t="n">
        <v>0</v>
      </c>
      <c r="Q444" s="43" t="n">
        <v>0</v>
      </c>
      <c r="R444" s="43" t="n">
        <v>0</v>
      </c>
      <c r="S444" s="43" t="n">
        <v>0</v>
      </c>
      <c r="T444" s="43" t="n">
        <v>0</v>
      </c>
      <c r="U444" s="42" t="n">
        <f aca="false">SUM(I444:T444)</f>
        <v>5</v>
      </c>
    </row>
    <row r="445" customFormat="false" ht="15" hidden="false" customHeight="false" outlineLevel="0" collapsed="false">
      <c r="A445" s="40" t="s">
        <v>1106</v>
      </c>
      <c r="B445" s="40" t="s">
        <v>335</v>
      </c>
      <c r="C445" s="40" t="s">
        <v>38</v>
      </c>
      <c r="D445" s="40" t="s">
        <v>8</v>
      </c>
      <c r="E445" s="40" t="s">
        <v>377</v>
      </c>
      <c r="F445" s="40" t="s">
        <v>336</v>
      </c>
      <c r="G445" s="40" t="s">
        <v>409</v>
      </c>
      <c r="H445" s="40" t="s">
        <v>43</v>
      </c>
      <c r="I445" s="43" t="n">
        <v>0</v>
      </c>
      <c r="J445" s="43" t="n">
        <v>0</v>
      </c>
      <c r="K445" s="43" t="n">
        <v>3</v>
      </c>
      <c r="L445" s="43" t="n">
        <v>0</v>
      </c>
      <c r="M445" s="43" t="n">
        <v>0</v>
      </c>
      <c r="N445" s="43" t="n">
        <v>0</v>
      </c>
      <c r="O445" s="43" t="n">
        <v>0</v>
      </c>
      <c r="P445" s="43" t="n">
        <v>0</v>
      </c>
      <c r="Q445" s="43" t="n">
        <v>0</v>
      </c>
      <c r="R445" s="43" t="n">
        <v>0</v>
      </c>
      <c r="S445" s="43" t="n">
        <v>0</v>
      </c>
      <c r="T445" s="43" t="n">
        <v>0</v>
      </c>
      <c r="U445" s="42" t="n">
        <f aca="false">SUM(I445:T445)</f>
        <v>3</v>
      </c>
    </row>
    <row r="446" customFormat="false" ht="15" hidden="false" customHeight="false" outlineLevel="0" collapsed="false">
      <c r="A446" s="40" t="s">
        <v>1107</v>
      </c>
      <c r="B446" s="40" t="s">
        <v>335</v>
      </c>
      <c r="C446" s="40" t="s">
        <v>38</v>
      </c>
      <c r="D446" s="40" t="s">
        <v>8</v>
      </c>
      <c r="E446" s="40" t="s">
        <v>377</v>
      </c>
      <c r="F446" s="40" t="s">
        <v>336</v>
      </c>
      <c r="G446" s="40" t="s">
        <v>411</v>
      </c>
      <c r="H446" s="40" t="s">
        <v>43</v>
      </c>
      <c r="I446" s="43" t="n">
        <v>0</v>
      </c>
      <c r="J446" s="43" t="n">
        <v>0</v>
      </c>
      <c r="K446" s="43" t="n">
        <v>0</v>
      </c>
      <c r="L446" s="43" t="n">
        <v>0</v>
      </c>
      <c r="M446" s="43" t="n">
        <v>0</v>
      </c>
      <c r="N446" s="43" t="n">
        <v>3</v>
      </c>
      <c r="O446" s="43" t="n">
        <v>0</v>
      </c>
      <c r="P446" s="43" t="n">
        <v>0</v>
      </c>
      <c r="Q446" s="43" t="n">
        <v>0</v>
      </c>
      <c r="R446" s="43" t="n">
        <v>0</v>
      </c>
      <c r="S446" s="43" t="n">
        <v>0</v>
      </c>
      <c r="T446" s="43" t="n">
        <v>0</v>
      </c>
      <c r="U446" s="42" t="n">
        <f aca="false">SUM(I446:T446)</f>
        <v>3</v>
      </c>
    </row>
    <row r="447" customFormat="false" ht="15" hidden="false" customHeight="false" outlineLevel="0" collapsed="false">
      <c r="A447" s="40" t="s">
        <v>1108</v>
      </c>
      <c r="B447" s="40" t="s">
        <v>335</v>
      </c>
      <c r="C447" s="40" t="s">
        <v>38</v>
      </c>
      <c r="D447" s="40" t="s">
        <v>8</v>
      </c>
      <c r="E447" s="40" t="s">
        <v>377</v>
      </c>
      <c r="F447" s="40" t="s">
        <v>336</v>
      </c>
      <c r="G447" s="40" t="s">
        <v>413</v>
      </c>
      <c r="H447" s="40" t="s">
        <v>43</v>
      </c>
      <c r="I447" s="43" t="n">
        <v>0</v>
      </c>
      <c r="J447" s="43" t="n">
        <v>0</v>
      </c>
      <c r="K447" s="43" t="n">
        <v>0</v>
      </c>
      <c r="L447" s="43" t="n">
        <v>0</v>
      </c>
      <c r="M447" s="43" t="n">
        <v>0</v>
      </c>
      <c r="N447" s="43" t="n">
        <v>7</v>
      </c>
      <c r="O447" s="43" t="n">
        <v>0</v>
      </c>
      <c r="P447" s="43" t="n">
        <v>0</v>
      </c>
      <c r="Q447" s="43" t="n">
        <v>0</v>
      </c>
      <c r="R447" s="43" t="n">
        <v>0</v>
      </c>
      <c r="S447" s="43" t="n">
        <v>0</v>
      </c>
      <c r="T447" s="43" t="n">
        <v>0</v>
      </c>
      <c r="U447" s="42" t="n">
        <f aca="false">SUM(I447:T447)</f>
        <v>7</v>
      </c>
    </row>
    <row r="448" customFormat="false" ht="15" hidden="false" customHeight="false" outlineLevel="0" collapsed="false">
      <c r="A448" s="40" t="s">
        <v>1109</v>
      </c>
      <c r="B448" s="40" t="s">
        <v>338</v>
      </c>
      <c r="C448" s="40" t="s">
        <v>38</v>
      </c>
      <c r="D448" s="40" t="s">
        <v>8</v>
      </c>
      <c r="E448" s="40" t="s">
        <v>377</v>
      </c>
      <c r="F448" s="40" t="s">
        <v>339</v>
      </c>
      <c r="G448" s="40" t="s">
        <v>1110</v>
      </c>
      <c r="H448" s="40" t="s">
        <v>44</v>
      </c>
      <c r="I448" s="43" t="n">
        <v>0</v>
      </c>
      <c r="J448" s="43" t="n">
        <v>0</v>
      </c>
      <c r="K448" s="43" t="n">
        <v>0</v>
      </c>
      <c r="L448" s="43" t="n">
        <v>0</v>
      </c>
      <c r="M448" s="43" t="n">
        <v>0</v>
      </c>
      <c r="N448" s="43" t="n">
        <v>0</v>
      </c>
      <c r="O448" s="43" t="n">
        <v>0</v>
      </c>
      <c r="P448" s="43" t="n">
        <v>24</v>
      </c>
      <c r="Q448" s="43" t="n">
        <v>0</v>
      </c>
      <c r="R448" s="43" t="n">
        <v>49</v>
      </c>
      <c r="S448" s="43" t="n">
        <v>0</v>
      </c>
      <c r="T448" s="43" t="n">
        <v>0</v>
      </c>
      <c r="U448" s="42" t="n">
        <f aca="false">SUM(I448:T448)</f>
        <v>73</v>
      </c>
    </row>
    <row r="449" customFormat="false" ht="15" hidden="false" customHeight="false" outlineLevel="0" collapsed="false">
      <c r="A449" s="40" t="s">
        <v>1111</v>
      </c>
      <c r="B449" s="40" t="s">
        <v>338</v>
      </c>
      <c r="C449" s="40" t="s">
        <v>38</v>
      </c>
      <c r="D449" s="40" t="s">
        <v>8</v>
      </c>
      <c r="E449" s="40" t="s">
        <v>377</v>
      </c>
      <c r="F449" s="40" t="s">
        <v>339</v>
      </c>
      <c r="G449" s="40" t="s">
        <v>1112</v>
      </c>
      <c r="H449" s="40" t="s">
        <v>44</v>
      </c>
      <c r="I449" s="43" t="n">
        <v>0</v>
      </c>
      <c r="J449" s="43" t="n">
        <v>0</v>
      </c>
      <c r="K449" s="43" t="n">
        <v>0</v>
      </c>
      <c r="L449" s="43" t="n">
        <v>0</v>
      </c>
      <c r="M449" s="43" t="n">
        <v>0</v>
      </c>
      <c r="N449" s="43" t="n">
        <v>0</v>
      </c>
      <c r="O449" s="43" t="n">
        <v>147</v>
      </c>
      <c r="P449" s="43" t="n">
        <v>0</v>
      </c>
      <c r="Q449" s="43" t="n">
        <v>0</v>
      </c>
      <c r="R449" s="43" t="n">
        <v>0</v>
      </c>
      <c r="S449" s="43" t="n">
        <v>0</v>
      </c>
      <c r="T449" s="43" t="n">
        <v>0</v>
      </c>
      <c r="U449" s="42" t="n">
        <f aca="false">SUM(I449:T449)</f>
        <v>147</v>
      </c>
    </row>
    <row r="450" customFormat="false" ht="15" hidden="false" customHeight="false" outlineLevel="0" collapsed="false">
      <c r="A450" s="40" t="s">
        <v>1113</v>
      </c>
      <c r="B450" s="40" t="s">
        <v>338</v>
      </c>
      <c r="C450" s="40" t="s">
        <v>38</v>
      </c>
      <c r="D450" s="40" t="s">
        <v>8</v>
      </c>
      <c r="E450" s="40" t="s">
        <v>377</v>
      </c>
      <c r="F450" s="40" t="s">
        <v>339</v>
      </c>
      <c r="G450" s="40" t="s">
        <v>1114</v>
      </c>
      <c r="H450" s="40" t="s">
        <v>44</v>
      </c>
      <c r="I450" s="43" t="n">
        <v>0</v>
      </c>
      <c r="J450" s="43" t="n">
        <v>0</v>
      </c>
      <c r="K450" s="43" t="n">
        <v>0</v>
      </c>
      <c r="L450" s="43" t="n">
        <v>0</v>
      </c>
      <c r="M450" s="43" t="n">
        <v>0</v>
      </c>
      <c r="N450" s="43" t="n">
        <v>0</v>
      </c>
      <c r="O450" s="43" t="n">
        <v>98</v>
      </c>
      <c r="P450" s="43" t="n">
        <v>0</v>
      </c>
      <c r="Q450" s="43" t="n">
        <v>0</v>
      </c>
      <c r="R450" s="43" t="n">
        <v>0</v>
      </c>
      <c r="S450" s="43" t="n">
        <v>0</v>
      </c>
      <c r="T450" s="43" t="n">
        <v>0</v>
      </c>
      <c r="U450" s="42" t="n">
        <f aca="false">SUM(I450:T450)</f>
        <v>98</v>
      </c>
    </row>
    <row r="451" customFormat="false" ht="15" hidden="false" customHeight="false" outlineLevel="0" collapsed="false">
      <c r="A451" s="40" t="s">
        <v>1115</v>
      </c>
      <c r="B451" s="40" t="s">
        <v>338</v>
      </c>
      <c r="C451" s="40" t="s">
        <v>38</v>
      </c>
      <c r="D451" s="40" t="s">
        <v>8</v>
      </c>
      <c r="E451" s="40" t="s">
        <v>377</v>
      </c>
      <c r="F451" s="40" t="s">
        <v>339</v>
      </c>
      <c r="G451" s="40" t="s">
        <v>1116</v>
      </c>
      <c r="H451" s="40" t="s">
        <v>44</v>
      </c>
      <c r="I451" s="43" t="n">
        <v>0</v>
      </c>
      <c r="J451" s="43" t="n">
        <v>0</v>
      </c>
      <c r="K451" s="43" t="n">
        <v>0</v>
      </c>
      <c r="L451" s="43" t="n">
        <v>0</v>
      </c>
      <c r="M451" s="43" t="n">
        <v>0</v>
      </c>
      <c r="N451" s="43" t="n">
        <v>0</v>
      </c>
      <c r="O451" s="43" t="n">
        <v>0</v>
      </c>
      <c r="P451" s="43" t="n">
        <v>24</v>
      </c>
      <c r="Q451" s="43" t="n">
        <v>0</v>
      </c>
      <c r="R451" s="43" t="n">
        <v>0</v>
      </c>
      <c r="S451" s="43" t="n">
        <v>0</v>
      </c>
      <c r="T451" s="43" t="n">
        <v>98</v>
      </c>
      <c r="U451" s="42" t="n">
        <f aca="false">SUM(I451:T451)</f>
        <v>122</v>
      </c>
    </row>
    <row r="452" customFormat="false" ht="15" hidden="false" customHeight="false" outlineLevel="0" collapsed="false">
      <c r="A452" s="40" t="s">
        <v>1117</v>
      </c>
      <c r="B452" s="40" t="s">
        <v>338</v>
      </c>
      <c r="C452" s="40" t="s">
        <v>38</v>
      </c>
      <c r="D452" s="40" t="s">
        <v>8</v>
      </c>
      <c r="E452" s="40" t="s">
        <v>377</v>
      </c>
      <c r="F452" s="40" t="s">
        <v>339</v>
      </c>
      <c r="G452" s="40" t="s">
        <v>1118</v>
      </c>
      <c r="H452" s="40" t="s">
        <v>44</v>
      </c>
      <c r="I452" s="43" t="n">
        <v>0</v>
      </c>
      <c r="J452" s="43" t="n">
        <v>0</v>
      </c>
      <c r="K452" s="43" t="n">
        <v>0</v>
      </c>
      <c r="L452" s="43" t="n">
        <v>0</v>
      </c>
      <c r="M452" s="43" t="n">
        <v>0</v>
      </c>
      <c r="N452" s="43" t="n">
        <v>0</v>
      </c>
      <c r="O452" s="43" t="n">
        <v>0</v>
      </c>
      <c r="P452" s="43" t="n">
        <v>0</v>
      </c>
      <c r="Q452" s="43" t="n">
        <v>0</v>
      </c>
      <c r="R452" s="43" t="n">
        <v>98</v>
      </c>
      <c r="S452" s="43" t="n">
        <v>0</v>
      </c>
      <c r="T452" s="43" t="n">
        <v>0</v>
      </c>
      <c r="U452" s="42" t="n">
        <f aca="false">SUM(I452:T452)</f>
        <v>98</v>
      </c>
    </row>
    <row r="453" customFormat="false" ht="15" hidden="false" customHeight="false" outlineLevel="0" collapsed="false">
      <c r="A453" s="40" t="s">
        <v>1119</v>
      </c>
      <c r="B453" s="40" t="s">
        <v>338</v>
      </c>
      <c r="C453" s="40" t="s">
        <v>38</v>
      </c>
      <c r="D453" s="40" t="s">
        <v>8</v>
      </c>
      <c r="E453" s="40" t="s">
        <v>377</v>
      </c>
      <c r="F453" s="40" t="s">
        <v>339</v>
      </c>
      <c r="G453" s="40" t="s">
        <v>407</v>
      </c>
      <c r="H453" s="40" t="s">
        <v>44</v>
      </c>
      <c r="I453" s="43" t="n">
        <v>0</v>
      </c>
      <c r="J453" s="43" t="n">
        <v>0</v>
      </c>
      <c r="K453" s="43" t="n">
        <v>0</v>
      </c>
      <c r="L453" s="43" t="n">
        <v>0</v>
      </c>
      <c r="M453" s="43" t="n">
        <v>0</v>
      </c>
      <c r="N453" s="43" t="n">
        <v>0</v>
      </c>
      <c r="O453" s="43" t="n">
        <v>0</v>
      </c>
      <c r="P453" s="43" t="n">
        <v>32</v>
      </c>
      <c r="Q453" s="43" t="n">
        <v>0</v>
      </c>
      <c r="R453" s="43" t="n">
        <v>0</v>
      </c>
      <c r="S453" s="43" t="n">
        <v>0</v>
      </c>
      <c r="T453" s="43" t="n">
        <v>0</v>
      </c>
      <c r="U453" s="42" t="n">
        <f aca="false">SUM(I453:T453)</f>
        <v>32</v>
      </c>
    </row>
    <row r="454" customFormat="false" ht="15" hidden="false" customHeight="false" outlineLevel="0" collapsed="false">
      <c r="A454" s="40" t="s">
        <v>1120</v>
      </c>
      <c r="B454" s="40" t="s">
        <v>338</v>
      </c>
      <c r="C454" s="40" t="s">
        <v>38</v>
      </c>
      <c r="D454" s="40" t="s">
        <v>8</v>
      </c>
      <c r="E454" s="40" t="s">
        <v>377</v>
      </c>
      <c r="F454" s="40" t="s">
        <v>339</v>
      </c>
      <c r="G454" s="40" t="s">
        <v>409</v>
      </c>
      <c r="H454" s="40" t="s">
        <v>44</v>
      </c>
      <c r="I454" s="43" t="n">
        <v>0</v>
      </c>
      <c r="J454" s="43" t="n">
        <v>0</v>
      </c>
      <c r="K454" s="43" t="n">
        <v>22</v>
      </c>
      <c r="L454" s="43" t="n">
        <v>0</v>
      </c>
      <c r="M454" s="43" t="n">
        <v>0</v>
      </c>
      <c r="N454" s="43" t="n">
        <v>0</v>
      </c>
      <c r="O454" s="43" t="n">
        <v>0</v>
      </c>
      <c r="P454" s="43" t="n">
        <v>0</v>
      </c>
      <c r="Q454" s="43" t="n">
        <v>0</v>
      </c>
      <c r="R454" s="43" t="n">
        <v>0</v>
      </c>
      <c r="S454" s="43" t="n">
        <v>0</v>
      </c>
      <c r="T454" s="43" t="n">
        <v>0</v>
      </c>
      <c r="U454" s="42" t="n">
        <f aca="false">SUM(I454:T454)</f>
        <v>22</v>
      </c>
    </row>
    <row r="455" customFormat="false" ht="15" hidden="false" customHeight="false" outlineLevel="0" collapsed="false">
      <c r="A455" s="40" t="s">
        <v>1121</v>
      </c>
      <c r="B455" s="40" t="s">
        <v>338</v>
      </c>
      <c r="C455" s="40" t="s">
        <v>38</v>
      </c>
      <c r="D455" s="40" t="s">
        <v>8</v>
      </c>
      <c r="E455" s="40" t="s">
        <v>377</v>
      </c>
      <c r="F455" s="40" t="s">
        <v>339</v>
      </c>
      <c r="G455" s="40" t="s">
        <v>411</v>
      </c>
      <c r="H455" s="40" t="s">
        <v>44</v>
      </c>
      <c r="I455" s="43" t="n">
        <v>0</v>
      </c>
      <c r="J455" s="43" t="n">
        <v>0</v>
      </c>
      <c r="K455" s="43" t="n">
        <v>0</v>
      </c>
      <c r="L455" s="43" t="n">
        <v>0</v>
      </c>
      <c r="M455" s="43" t="n">
        <v>0</v>
      </c>
      <c r="N455" s="43" t="n">
        <v>0</v>
      </c>
      <c r="O455" s="43" t="n">
        <v>22</v>
      </c>
      <c r="P455" s="43" t="n">
        <v>0</v>
      </c>
      <c r="Q455" s="43" t="n">
        <v>0</v>
      </c>
      <c r="R455" s="43" t="n">
        <v>0</v>
      </c>
      <c r="S455" s="43" t="n">
        <v>0</v>
      </c>
      <c r="T455" s="43" t="n">
        <v>0</v>
      </c>
      <c r="U455" s="42" t="n">
        <f aca="false">SUM(I455:T455)</f>
        <v>22</v>
      </c>
    </row>
    <row r="456" customFormat="false" ht="15" hidden="false" customHeight="false" outlineLevel="0" collapsed="false">
      <c r="A456" s="40" t="s">
        <v>1122</v>
      </c>
      <c r="B456" s="40" t="s">
        <v>338</v>
      </c>
      <c r="C456" s="40" t="s">
        <v>38</v>
      </c>
      <c r="D456" s="40" t="s">
        <v>8</v>
      </c>
      <c r="E456" s="40" t="s">
        <v>377</v>
      </c>
      <c r="F456" s="40" t="s">
        <v>339</v>
      </c>
      <c r="G456" s="40" t="s">
        <v>413</v>
      </c>
      <c r="H456" s="40" t="s">
        <v>44</v>
      </c>
      <c r="I456" s="43" t="n">
        <v>0</v>
      </c>
      <c r="J456" s="43" t="n">
        <v>0</v>
      </c>
      <c r="K456" s="43" t="n">
        <v>0</v>
      </c>
      <c r="L456" s="43" t="n">
        <v>0</v>
      </c>
      <c r="M456" s="43" t="n">
        <v>0</v>
      </c>
      <c r="N456" s="43" t="n">
        <v>0</v>
      </c>
      <c r="O456" s="43" t="n">
        <v>43</v>
      </c>
      <c r="P456" s="43" t="n">
        <v>0</v>
      </c>
      <c r="Q456" s="43" t="n">
        <v>0</v>
      </c>
      <c r="R456" s="43" t="n">
        <v>0</v>
      </c>
      <c r="S456" s="43" t="n">
        <v>0</v>
      </c>
      <c r="T456" s="43" t="n">
        <v>0</v>
      </c>
      <c r="U456" s="42" t="n">
        <f aca="false">SUM(I456:T456)</f>
        <v>43</v>
      </c>
    </row>
    <row r="457" customFormat="false" ht="23.85" hidden="false" customHeight="false" outlineLevel="0" collapsed="false">
      <c r="A457" s="40" t="s">
        <v>1123</v>
      </c>
      <c r="B457" s="40" t="s">
        <v>141</v>
      </c>
      <c r="C457" s="40" t="s">
        <v>39</v>
      </c>
      <c r="D457" s="40" t="s">
        <v>5</v>
      </c>
      <c r="E457" s="40" t="s">
        <v>378</v>
      </c>
      <c r="F457" s="40" t="s">
        <v>142</v>
      </c>
      <c r="G457" s="40" t="s">
        <v>1124</v>
      </c>
      <c r="H457" s="40" t="s">
        <v>45</v>
      </c>
      <c r="I457" s="43" t="n">
        <v>20</v>
      </c>
      <c r="J457" s="43" t="n">
        <v>0</v>
      </c>
      <c r="K457" s="43" t="n">
        <v>0</v>
      </c>
      <c r="L457" s="43" t="n">
        <v>0</v>
      </c>
      <c r="M457" s="43" t="n">
        <v>0</v>
      </c>
      <c r="N457" s="43" t="n">
        <v>0</v>
      </c>
      <c r="O457" s="43" t="n">
        <v>0</v>
      </c>
      <c r="P457" s="43" t="n">
        <v>0</v>
      </c>
      <c r="Q457" s="43" t="n">
        <v>0</v>
      </c>
      <c r="R457" s="43" t="n">
        <v>41</v>
      </c>
      <c r="S457" s="43" t="n">
        <v>0</v>
      </c>
      <c r="T457" s="43" t="n">
        <v>0</v>
      </c>
      <c r="U457" s="42" t="n">
        <f aca="false">SUM(I457:T457)</f>
        <v>61</v>
      </c>
    </row>
    <row r="458" customFormat="false" ht="23.85" hidden="false" customHeight="false" outlineLevel="0" collapsed="false">
      <c r="A458" s="40" t="s">
        <v>1125</v>
      </c>
      <c r="B458" s="40" t="s">
        <v>141</v>
      </c>
      <c r="C458" s="40" t="s">
        <v>39</v>
      </c>
      <c r="D458" s="40" t="s">
        <v>5</v>
      </c>
      <c r="E458" s="40" t="s">
        <v>378</v>
      </c>
      <c r="F458" s="40" t="s">
        <v>142</v>
      </c>
      <c r="G458" s="40" t="s">
        <v>1126</v>
      </c>
      <c r="H458" s="40" t="s">
        <v>45</v>
      </c>
      <c r="I458" s="43" t="n">
        <v>0</v>
      </c>
      <c r="J458" s="43" t="n">
        <v>0</v>
      </c>
      <c r="K458" s="43" t="n">
        <v>0</v>
      </c>
      <c r="L458" s="43" t="n">
        <v>0</v>
      </c>
      <c r="M458" s="43" t="n">
        <v>0</v>
      </c>
      <c r="N458" s="43" t="n">
        <v>0</v>
      </c>
      <c r="O458" s="43" t="n">
        <v>0</v>
      </c>
      <c r="P458" s="43" t="n">
        <v>0</v>
      </c>
      <c r="Q458" s="43" t="n">
        <v>0</v>
      </c>
      <c r="R458" s="43" t="n">
        <v>41</v>
      </c>
      <c r="S458" s="43" t="n">
        <v>0</v>
      </c>
      <c r="T458" s="43" t="n">
        <v>0</v>
      </c>
      <c r="U458" s="42" t="n">
        <f aca="false">SUM(I458:T458)</f>
        <v>41</v>
      </c>
    </row>
    <row r="459" customFormat="false" ht="23.85" hidden="false" customHeight="false" outlineLevel="0" collapsed="false">
      <c r="A459" s="40" t="s">
        <v>1127</v>
      </c>
      <c r="B459" s="40" t="s">
        <v>141</v>
      </c>
      <c r="C459" s="40" t="s">
        <v>39</v>
      </c>
      <c r="D459" s="40" t="s">
        <v>5</v>
      </c>
      <c r="E459" s="40" t="s">
        <v>378</v>
      </c>
      <c r="F459" s="40" t="s">
        <v>142</v>
      </c>
      <c r="G459" s="40" t="s">
        <v>1128</v>
      </c>
      <c r="H459" s="40" t="s">
        <v>45</v>
      </c>
      <c r="I459" s="43" t="n">
        <v>0</v>
      </c>
      <c r="J459" s="43" t="n">
        <v>0</v>
      </c>
      <c r="K459" s="43" t="n">
        <v>0</v>
      </c>
      <c r="L459" s="43" t="n">
        <v>0</v>
      </c>
      <c r="M459" s="43" t="n">
        <v>20</v>
      </c>
      <c r="N459" s="43" t="n">
        <v>0</v>
      </c>
      <c r="O459" s="43" t="n">
        <v>0</v>
      </c>
      <c r="P459" s="43" t="n">
        <v>0</v>
      </c>
      <c r="Q459" s="43" t="n">
        <v>0</v>
      </c>
      <c r="R459" s="43" t="n">
        <v>0</v>
      </c>
      <c r="S459" s="43" t="n">
        <v>0</v>
      </c>
      <c r="T459" s="43" t="n">
        <v>0</v>
      </c>
      <c r="U459" s="42" t="n">
        <f aca="false">SUM(I459:T459)</f>
        <v>20</v>
      </c>
    </row>
    <row r="460" customFormat="false" ht="23.85" hidden="false" customHeight="false" outlineLevel="0" collapsed="false">
      <c r="A460" s="40" t="s">
        <v>1129</v>
      </c>
      <c r="B460" s="40" t="s">
        <v>141</v>
      </c>
      <c r="C460" s="40" t="s">
        <v>39</v>
      </c>
      <c r="D460" s="40" t="s">
        <v>5</v>
      </c>
      <c r="E460" s="40" t="s">
        <v>378</v>
      </c>
      <c r="F460" s="40" t="s">
        <v>142</v>
      </c>
      <c r="G460" s="40" t="s">
        <v>1130</v>
      </c>
      <c r="H460" s="40" t="s">
        <v>45</v>
      </c>
      <c r="I460" s="43" t="n">
        <v>20</v>
      </c>
      <c r="J460" s="43" t="n">
        <v>0</v>
      </c>
      <c r="K460" s="43" t="n">
        <v>0</v>
      </c>
      <c r="L460" s="43" t="n">
        <v>0</v>
      </c>
      <c r="M460" s="43" t="n">
        <v>0</v>
      </c>
      <c r="N460" s="43" t="n">
        <v>0</v>
      </c>
      <c r="O460" s="43" t="n">
        <v>0</v>
      </c>
      <c r="P460" s="43" t="n">
        <v>0</v>
      </c>
      <c r="Q460" s="43" t="n">
        <v>0</v>
      </c>
      <c r="R460" s="43" t="n">
        <v>20</v>
      </c>
      <c r="S460" s="43" t="n">
        <v>0</v>
      </c>
      <c r="T460" s="43" t="n">
        <v>0</v>
      </c>
      <c r="U460" s="42" t="n">
        <f aca="false">SUM(I460:T460)</f>
        <v>40</v>
      </c>
    </row>
    <row r="461" customFormat="false" ht="23.85" hidden="false" customHeight="false" outlineLevel="0" collapsed="false">
      <c r="A461" s="40" t="s">
        <v>1131</v>
      </c>
      <c r="B461" s="40" t="s">
        <v>141</v>
      </c>
      <c r="C461" s="40" t="s">
        <v>39</v>
      </c>
      <c r="D461" s="40" t="s">
        <v>5</v>
      </c>
      <c r="E461" s="40" t="s">
        <v>378</v>
      </c>
      <c r="F461" s="40" t="s">
        <v>142</v>
      </c>
      <c r="G461" s="40" t="s">
        <v>407</v>
      </c>
      <c r="H461" s="40" t="s">
        <v>45</v>
      </c>
      <c r="I461" s="43" t="n">
        <v>0</v>
      </c>
      <c r="J461" s="43" t="n">
        <v>0</v>
      </c>
      <c r="K461" s="43" t="n">
        <v>0</v>
      </c>
      <c r="L461" s="43" t="n">
        <v>0</v>
      </c>
      <c r="M461" s="43" t="n">
        <v>0</v>
      </c>
      <c r="N461" s="43" t="n">
        <v>0</v>
      </c>
      <c r="O461" s="43" t="n">
        <v>0</v>
      </c>
      <c r="P461" s="43" t="n">
        <v>0</v>
      </c>
      <c r="Q461" s="43" t="n">
        <v>0</v>
      </c>
      <c r="R461" s="43" t="n">
        <v>10</v>
      </c>
      <c r="S461" s="43" t="n">
        <v>0</v>
      </c>
      <c r="T461" s="43" t="n">
        <v>0</v>
      </c>
      <c r="U461" s="42" t="n">
        <f aca="false">SUM(I461:T461)</f>
        <v>10</v>
      </c>
    </row>
    <row r="462" customFormat="false" ht="23.85" hidden="false" customHeight="false" outlineLevel="0" collapsed="false">
      <c r="A462" s="40" t="s">
        <v>1132</v>
      </c>
      <c r="B462" s="40" t="s">
        <v>141</v>
      </c>
      <c r="C462" s="40" t="s">
        <v>39</v>
      </c>
      <c r="D462" s="40" t="s">
        <v>5</v>
      </c>
      <c r="E462" s="40" t="s">
        <v>378</v>
      </c>
      <c r="F462" s="40" t="s">
        <v>142</v>
      </c>
      <c r="G462" s="40" t="s">
        <v>411</v>
      </c>
      <c r="H462" s="40" t="s">
        <v>45</v>
      </c>
      <c r="I462" s="43" t="n">
        <v>0</v>
      </c>
      <c r="J462" s="43" t="n">
        <v>0</v>
      </c>
      <c r="K462" s="43" t="n">
        <v>0</v>
      </c>
      <c r="L462" s="43" t="n">
        <v>0</v>
      </c>
      <c r="M462" s="43" t="n">
        <v>0</v>
      </c>
      <c r="N462" s="43" t="n">
        <v>0</v>
      </c>
      <c r="O462" s="43" t="n">
        <v>0</v>
      </c>
      <c r="P462" s="43" t="n">
        <v>0</v>
      </c>
      <c r="Q462" s="43" t="n">
        <v>0</v>
      </c>
      <c r="R462" s="43" t="n">
        <v>7</v>
      </c>
      <c r="S462" s="43" t="n">
        <v>0</v>
      </c>
      <c r="T462" s="43" t="n">
        <v>0</v>
      </c>
      <c r="U462" s="42" t="n">
        <f aca="false">SUM(I462:T462)</f>
        <v>7</v>
      </c>
    </row>
    <row r="463" customFormat="false" ht="15" hidden="false" customHeight="false" outlineLevel="0" collapsed="false">
      <c r="A463" s="40" t="s">
        <v>1133</v>
      </c>
      <c r="B463" s="40" t="s">
        <v>144</v>
      </c>
      <c r="C463" s="40" t="s">
        <v>39</v>
      </c>
      <c r="D463" s="40" t="s">
        <v>5</v>
      </c>
      <c r="E463" s="40" t="s">
        <v>378</v>
      </c>
      <c r="F463" s="40" t="s">
        <v>145</v>
      </c>
      <c r="G463" s="40" t="s">
        <v>1134</v>
      </c>
      <c r="H463" s="40" t="s">
        <v>45</v>
      </c>
      <c r="I463" s="43" t="n">
        <v>8</v>
      </c>
      <c r="J463" s="43" t="n">
        <v>0</v>
      </c>
      <c r="K463" s="43" t="n">
        <v>0</v>
      </c>
      <c r="L463" s="43" t="n">
        <v>0</v>
      </c>
      <c r="M463" s="43" t="n">
        <v>0</v>
      </c>
      <c r="N463" s="43" t="n">
        <v>0</v>
      </c>
      <c r="O463" s="43" t="n">
        <v>0</v>
      </c>
      <c r="P463" s="43" t="n">
        <v>0</v>
      </c>
      <c r="Q463" s="43" t="n">
        <v>0</v>
      </c>
      <c r="R463" s="43" t="n">
        <v>16</v>
      </c>
      <c r="S463" s="43" t="n">
        <v>0</v>
      </c>
      <c r="T463" s="43" t="n">
        <v>0</v>
      </c>
      <c r="U463" s="42" t="n">
        <f aca="false">SUM(I463:T463)</f>
        <v>24</v>
      </c>
    </row>
    <row r="464" customFormat="false" ht="15" hidden="false" customHeight="false" outlineLevel="0" collapsed="false">
      <c r="A464" s="40" t="s">
        <v>1135</v>
      </c>
      <c r="B464" s="40" t="s">
        <v>144</v>
      </c>
      <c r="C464" s="40" t="s">
        <v>39</v>
      </c>
      <c r="D464" s="40" t="s">
        <v>5</v>
      </c>
      <c r="E464" s="40" t="s">
        <v>378</v>
      </c>
      <c r="F464" s="40" t="s">
        <v>145</v>
      </c>
      <c r="G464" s="40" t="s">
        <v>1136</v>
      </c>
      <c r="H464" s="40" t="s">
        <v>45</v>
      </c>
      <c r="I464" s="43" t="n">
        <v>0</v>
      </c>
      <c r="J464" s="43" t="n">
        <v>0</v>
      </c>
      <c r="K464" s="43" t="n">
        <v>0</v>
      </c>
      <c r="L464" s="43" t="n">
        <v>0</v>
      </c>
      <c r="M464" s="43" t="n">
        <v>16</v>
      </c>
      <c r="N464" s="43" t="n">
        <v>0</v>
      </c>
      <c r="O464" s="43" t="n">
        <v>0</v>
      </c>
      <c r="P464" s="43" t="n">
        <v>16</v>
      </c>
      <c r="Q464" s="43" t="n">
        <v>0</v>
      </c>
      <c r="R464" s="43" t="n">
        <v>24</v>
      </c>
      <c r="S464" s="43" t="n">
        <v>0</v>
      </c>
      <c r="T464" s="43" t="n">
        <v>0</v>
      </c>
      <c r="U464" s="42" t="n">
        <f aca="false">SUM(I464:T464)</f>
        <v>56</v>
      </c>
    </row>
    <row r="465" customFormat="false" ht="15" hidden="false" customHeight="false" outlineLevel="0" collapsed="false">
      <c r="A465" s="40" t="s">
        <v>1137</v>
      </c>
      <c r="B465" s="40" t="s">
        <v>144</v>
      </c>
      <c r="C465" s="40" t="s">
        <v>39</v>
      </c>
      <c r="D465" s="40" t="s">
        <v>5</v>
      </c>
      <c r="E465" s="40" t="s">
        <v>378</v>
      </c>
      <c r="F465" s="40" t="s">
        <v>145</v>
      </c>
      <c r="G465" s="40" t="s">
        <v>1138</v>
      </c>
      <c r="H465" s="40" t="s">
        <v>45</v>
      </c>
      <c r="I465" s="43" t="n">
        <v>8</v>
      </c>
      <c r="J465" s="43" t="n">
        <v>0</v>
      </c>
      <c r="K465" s="43" t="n">
        <v>0</v>
      </c>
      <c r="L465" s="43" t="n">
        <v>0</v>
      </c>
      <c r="M465" s="43" t="n">
        <v>0</v>
      </c>
      <c r="N465" s="43" t="n">
        <v>0</v>
      </c>
      <c r="O465" s="43" t="n">
        <v>0</v>
      </c>
      <c r="P465" s="43" t="n">
        <v>0</v>
      </c>
      <c r="Q465" s="43" t="n">
        <v>0</v>
      </c>
      <c r="R465" s="43" t="n">
        <v>8</v>
      </c>
      <c r="S465" s="43" t="n">
        <v>0</v>
      </c>
      <c r="T465" s="43" t="n">
        <v>0</v>
      </c>
      <c r="U465" s="42" t="n">
        <f aca="false">SUM(I465:T465)</f>
        <v>16</v>
      </c>
    </row>
    <row r="466" customFormat="false" ht="15" hidden="false" customHeight="false" outlineLevel="0" collapsed="false">
      <c r="A466" s="40" t="s">
        <v>1139</v>
      </c>
      <c r="B466" s="40" t="s">
        <v>144</v>
      </c>
      <c r="C466" s="40" t="s">
        <v>39</v>
      </c>
      <c r="D466" s="40" t="s">
        <v>5</v>
      </c>
      <c r="E466" s="40" t="s">
        <v>378</v>
      </c>
      <c r="F466" s="40" t="s">
        <v>145</v>
      </c>
      <c r="G466" s="40" t="s">
        <v>407</v>
      </c>
      <c r="H466" s="40" t="s">
        <v>45</v>
      </c>
      <c r="I466" s="43" t="n">
        <v>0</v>
      </c>
      <c r="J466" s="43" t="n">
        <v>0</v>
      </c>
      <c r="K466" s="43" t="n">
        <v>0</v>
      </c>
      <c r="L466" s="43" t="n">
        <v>0</v>
      </c>
      <c r="M466" s="43" t="n">
        <v>0</v>
      </c>
      <c r="N466" s="43" t="n">
        <v>0</v>
      </c>
      <c r="O466" s="43" t="n">
        <v>0</v>
      </c>
      <c r="P466" s="43" t="n">
        <v>0</v>
      </c>
      <c r="Q466" s="43" t="n">
        <v>0</v>
      </c>
      <c r="R466" s="43" t="n">
        <v>6</v>
      </c>
      <c r="S466" s="43" t="n">
        <v>0</v>
      </c>
      <c r="T466" s="43" t="n">
        <v>0</v>
      </c>
      <c r="U466" s="42" t="n">
        <f aca="false">SUM(I466:T466)</f>
        <v>6</v>
      </c>
    </row>
    <row r="467" customFormat="false" ht="15" hidden="false" customHeight="false" outlineLevel="0" collapsed="false">
      <c r="A467" s="40" t="s">
        <v>1140</v>
      </c>
      <c r="B467" s="40" t="s">
        <v>144</v>
      </c>
      <c r="C467" s="40" t="s">
        <v>39</v>
      </c>
      <c r="D467" s="40" t="s">
        <v>5</v>
      </c>
      <c r="E467" s="40" t="s">
        <v>378</v>
      </c>
      <c r="F467" s="40" t="s">
        <v>145</v>
      </c>
      <c r="G467" s="40" t="s">
        <v>411</v>
      </c>
      <c r="H467" s="40" t="s">
        <v>45</v>
      </c>
      <c r="I467" s="43" t="n">
        <v>0</v>
      </c>
      <c r="J467" s="43" t="n">
        <v>0</v>
      </c>
      <c r="K467" s="43" t="n">
        <v>0</v>
      </c>
      <c r="L467" s="43" t="n">
        <v>0</v>
      </c>
      <c r="M467" s="43" t="n">
        <v>0</v>
      </c>
      <c r="N467" s="43" t="n">
        <v>0</v>
      </c>
      <c r="O467" s="43" t="n">
        <v>0</v>
      </c>
      <c r="P467" s="43" t="n">
        <v>0</v>
      </c>
      <c r="Q467" s="43" t="n">
        <v>0</v>
      </c>
      <c r="R467" s="43" t="n">
        <v>4</v>
      </c>
      <c r="S467" s="43" t="n">
        <v>0</v>
      </c>
      <c r="T467" s="43" t="n">
        <v>0</v>
      </c>
      <c r="U467" s="42" t="n">
        <f aca="false">SUM(I467:T467)</f>
        <v>4</v>
      </c>
    </row>
    <row r="468" customFormat="false" ht="15" hidden="false" customHeight="false" outlineLevel="0" collapsed="false">
      <c r="A468" s="40" t="s">
        <v>1141</v>
      </c>
      <c r="B468" s="40" t="s">
        <v>147</v>
      </c>
      <c r="C468" s="40" t="s">
        <v>39</v>
      </c>
      <c r="D468" s="40" t="s">
        <v>5</v>
      </c>
      <c r="E468" s="40" t="s">
        <v>378</v>
      </c>
      <c r="F468" s="40" t="s">
        <v>148</v>
      </c>
      <c r="G468" s="40" t="s">
        <v>1142</v>
      </c>
      <c r="H468" s="40" t="s">
        <v>45</v>
      </c>
      <c r="I468" s="43" t="n">
        <v>0</v>
      </c>
      <c r="J468" s="43" t="n">
        <v>0</v>
      </c>
      <c r="K468" s="43" t="n">
        <v>0</v>
      </c>
      <c r="L468" s="43" t="n">
        <v>0</v>
      </c>
      <c r="M468" s="43" t="n">
        <v>0</v>
      </c>
      <c r="N468" s="43" t="n">
        <v>0</v>
      </c>
      <c r="O468" s="43" t="n">
        <v>0</v>
      </c>
      <c r="P468" s="43" t="n">
        <v>0</v>
      </c>
      <c r="Q468" s="43" t="n">
        <v>0</v>
      </c>
      <c r="R468" s="43" t="n">
        <v>41</v>
      </c>
      <c r="S468" s="43" t="n">
        <v>0</v>
      </c>
      <c r="T468" s="43" t="n">
        <v>0</v>
      </c>
      <c r="U468" s="42" t="n">
        <f aca="false">SUM(I468:T468)</f>
        <v>41</v>
      </c>
    </row>
    <row r="469" customFormat="false" ht="15" hidden="false" customHeight="false" outlineLevel="0" collapsed="false">
      <c r="A469" s="40" t="s">
        <v>1143</v>
      </c>
      <c r="B469" s="40" t="s">
        <v>147</v>
      </c>
      <c r="C469" s="40" t="s">
        <v>39</v>
      </c>
      <c r="D469" s="40" t="s">
        <v>5</v>
      </c>
      <c r="E469" s="40" t="s">
        <v>378</v>
      </c>
      <c r="F469" s="40" t="s">
        <v>148</v>
      </c>
      <c r="G469" s="40" t="s">
        <v>1144</v>
      </c>
      <c r="H469" s="40" t="s">
        <v>45</v>
      </c>
      <c r="I469" s="43" t="n">
        <v>0</v>
      </c>
      <c r="J469" s="43" t="n">
        <v>0</v>
      </c>
      <c r="K469" s="43" t="n">
        <v>0</v>
      </c>
      <c r="L469" s="43" t="n">
        <v>0</v>
      </c>
      <c r="M469" s="43" t="n">
        <v>0</v>
      </c>
      <c r="N469" s="43" t="n">
        <v>0</v>
      </c>
      <c r="O469" s="43" t="n">
        <v>20</v>
      </c>
      <c r="P469" s="43" t="n">
        <v>0</v>
      </c>
      <c r="Q469" s="43" t="n">
        <v>0</v>
      </c>
      <c r="R469" s="43" t="n">
        <v>20</v>
      </c>
      <c r="S469" s="43" t="n">
        <v>0</v>
      </c>
      <c r="T469" s="43" t="n">
        <v>0</v>
      </c>
      <c r="U469" s="42" t="n">
        <f aca="false">SUM(I469:T469)</f>
        <v>40</v>
      </c>
    </row>
    <row r="470" customFormat="false" ht="15" hidden="false" customHeight="false" outlineLevel="0" collapsed="false">
      <c r="A470" s="40" t="s">
        <v>1145</v>
      </c>
      <c r="B470" s="40" t="s">
        <v>147</v>
      </c>
      <c r="C470" s="40" t="s">
        <v>39</v>
      </c>
      <c r="D470" s="40" t="s">
        <v>5</v>
      </c>
      <c r="E470" s="40" t="s">
        <v>378</v>
      </c>
      <c r="F470" s="40" t="s">
        <v>148</v>
      </c>
      <c r="G470" s="40" t="s">
        <v>1146</v>
      </c>
      <c r="H470" s="40" t="s">
        <v>45</v>
      </c>
      <c r="I470" s="43" t="n">
        <v>0</v>
      </c>
      <c r="J470" s="43" t="n">
        <v>0</v>
      </c>
      <c r="K470" s="43" t="n">
        <v>0</v>
      </c>
      <c r="L470" s="43" t="n">
        <v>0</v>
      </c>
      <c r="M470" s="43" t="n">
        <v>0</v>
      </c>
      <c r="N470" s="43" t="n">
        <v>0</v>
      </c>
      <c r="O470" s="43" t="n">
        <v>0</v>
      </c>
      <c r="P470" s="43" t="n">
        <v>0</v>
      </c>
      <c r="Q470" s="43" t="n">
        <v>0</v>
      </c>
      <c r="R470" s="43" t="n">
        <v>20</v>
      </c>
      <c r="S470" s="43" t="n">
        <v>0</v>
      </c>
      <c r="T470" s="43" t="n">
        <v>0</v>
      </c>
      <c r="U470" s="42" t="n">
        <f aca="false">SUM(I470:T470)</f>
        <v>20</v>
      </c>
    </row>
    <row r="471" customFormat="false" ht="15" hidden="false" customHeight="false" outlineLevel="0" collapsed="false">
      <c r="A471" s="40" t="s">
        <v>1147</v>
      </c>
      <c r="B471" s="40" t="s">
        <v>147</v>
      </c>
      <c r="C471" s="40" t="s">
        <v>39</v>
      </c>
      <c r="D471" s="40" t="s">
        <v>5</v>
      </c>
      <c r="E471" s="40" t="s">
        <v>378</v>
      </c>
      <c r="F471" s="40" t="s">
        <v>148</v>
      </c>
      <c r="G471" s="40" t="s">
        <v>407</v>
      </c>
      <c r="H471" s="40" t="s">
        <v>45</v>
      </c>
      <c r="I471" s="43" t="n">
        <v>0</v>
      </c>
      <c r="J471" s="43" t="n">
        <v>0</v>
      </c>
      <c r="K471" s="43" t="n">
        <v>0</v>
      </c>
      <c r="L471" s="43" t="n">
        <v>0</v>
      </c>
      <c r="M471" s="43" t="n">
        <v>0</v>
      </c>
      <c r="N471" s="43" t="n">
        <v>0</v>
      </c>
      <c r="O471" s="43" t="n">
        <v>0</v>
      </c>
      <c r="P471" s="43" t="n">
        <v>0</v>
      </c>
      <c r="Q471" s="43" t="n">
        <v>0</v>
      </c>
      <c r="R471" s="43" t="n">
        <v>6</v>
      </c>
      <c r="S471" s="43" t="n">
        <v>0</v>
      </c>
      <c r="T471" s="43" t="n">
        <v>0</v>
      </c>
      <c r="U471" s="42" t="n">
        <f aca="false">SUM(I471:T471)</f>
        <v>6</v>
      </c>
    </row>
    <row r="472" customFormat="false" ht="15" hidden="false" customHeight="false" outlineLevel="0" collapsed="false">
      <c r="A472" s="40" t="s">
        <v>1148</v>
      </c>
      <c r="B472" s="40" t="s">
        <v>147</v>
      </c>
      <c r="C472" s="40" t="s">
        <v>39</v>
      </c>
      <c r="D472" s="40" t="s">
        <v>5</v>
      </c>
      <c r="E472" s="40" t="s">
        <v>378</v>
      </c>
      <c r="F472" s="40" t="s">
        <v>148</v>
      </c>
      <c r="G472" s="40" t="s">
        <v>411</v>
      </c>
      <c r="H472" s="40" t="s">
        <v>45</v>
      </c>
      <c r="I472" s="43" t="n">
        <v>0</v>
      </c>
      <c r="J472" s="43" t="n">
        <v>0</v>
      </c>
      <c r="K472" s="43" t="n">
        <v>0</v>
      </c>
      <c r="L472" s="43" t="n">
        <v>0</v>
      </c>
      <c r="M472" s="43" t="n">
        <v>0</v>
      </c>
      <c r="N472" s="43" t="n">
        <v>0</v>
      </c>
      <c r="O472" s="43" t="n">
        <v>0</v>
      </c>
      <c r="P472" s="43" t="n">
        <v>0</v>
      </c>
      <c r="Q472" s="43" t="n">
        <v>0</v>
      </c>
      <c r="R472" s="43" t="n">
        <v>4</v>
      </c>
      <c r="S472" s="43" t="n">
        <v>0</v>
      </c>
      <c r="T472" s="43" t="n">
        <v>0</v>
      </c>
      <c r="U472" s="42" t="n">
        <f aca="false">SUM(I472:T472)</f>
        <v>4</v>
      </c>
    </row>
    <row r="473" customFormat="false" ht="15" hidden="false" customHeight="false" outlineLevel="0" collapsed="false">
      <c r="A473" s="40" t="s">
        <v>1149</v>
      </c>
      <c r="B473" s="40" t="s">
        <v>150</v>
      </c>
      <c r="C473" s="40" t="s">
        <v>39</v>
      </c>
      <c r="D473" s="40" t="s">
        <v>5</v>
      </c>
      <c r="E473" s="40" t="s">
        <v>378</v>
      </c>
      <c r="F473" s="40" t="s">
        <v>151</v>
      </c>
      <c r="G473" s="40" t="s">
        <v>1150</v>
      </c>
      <c r="H473" s="40" t="s">
        <v>45</v>
      </c>
      <c r="I473" s="43" t="n">
        <v>8</v>
      </c>
      <c r="J473" s="43" t="n">
        <v>0</v>
      </c>
      <c r="K473" s="43" t="n">
        <v>0</v>
      </c>
      <c r="L473" s="43" t="n">
        <v>0</v>
      </c>
      <c r="M473" s="43" t="n">
        <v>0</v>
      </c>
      <c r="N473" s="43" t="n">
        <v>0</v>
      </c>
      <c r="O473" s="43" t="n">
        <v>0</v>
      </c>
      <c r="P473" s="43" t="n">
        <v>0</v>
      </c>
      <c r="Q473" s="43" t="n">
        <v>0</v>
      </c>
      <c r="R473" s="43" t="n">
        <v>12</v>
      </c>
      <c r="S473" s="43" t="n">
        <v>0</v>
      </c>
      <c r="T473" s="43" t="n">
        <v>0</v>
      </c>
      <c r="U473" s="42" t="n">
        <f aca="false">SUM(I473:T473)</f>
        <v>20</v>
      </c>
    </row>
    <row r="474" customFormat="false" ht="15" hidden="false" customHeight="false" outlineLevel="0" collapsed="false">
      <c r="A474" s="40" t="s">
        <v>1151</v>
      </c>
      <c r="B474" s="40" t="s">
        <v>150</v>
      </c>
      <c r="C474" s="40" t="s">
        <v>39</v>
      </c>
      <c r="D474" s="40" t="s">
        <v>5</v>
      </c>
      <c r="E474" s="40" t="s">
        <v>378</v>
      </c>
      <c r="F474" s="40" t="s">
        <v>151</v>
      </c>
      <c r="G474" s="40" t="s">
        <v>1152</v>
      </c>
      <c r="H474" s="40" t="s">
        <v>45</v>
      </c>
      <c r="I474" s="43" t="n">
        <v>8</v>
      </c>
      <c r="J474" s="43" t="n">
        <v>0</v>
      </c>
      <c r="K474" s="43" t="n">
        <v>0</v>
      </c>
      <c r="L474" s="43" t="n">
        <v>0</v>
      </c>
      <c r="M474" s="43" t="n">
        <v>0</v>
      </c>
      <c r="N474" s="43" t="n">
        <v>0</v>
      </c>
      <c r="O474" s="43" t="n">
        <v>0</v>
      </c>
      <c r="P474" s="43" t="n">
        <v>0</v>
      </c>
      <c r="Q474" s="43" t="n">
        <v>0</v>
      </c>
      <c r="R474" s="43" t="n">
        <v>20</v>
      </c>
      <c r="S474" s="43" t="n">
        <v>0</v>
      </c>
      <c r="T474" s="43" t="n">
        <v>0</v>
      </c>
      <c r="U474" s="42" t="n">
        <f aca="false">SUM(I474:T474)</f>
        <v>28</v>
      </c>
    </row>
    <row r="475" customFormat="false" ht="15" hidden="false" customHeight="false" outlineLevel="0" collapsed="false">
      <c r="A475" s="40" t="s">
        <v>1153</v>
      </c>
      <c r="B475" s="40" t="s">
        <v>150</v>
      </c>
      <c r="C475" s="40" t="s">
        <v>39</v>
      </c>
      <c r="D475" s="40" t="s">
        <v>5</v>
      </c>
      <c r="E475" s="40" t="s">
        <v>378</v>
      </c>
      <c r="F475" s="40" t="s">
        <v>151</v>
      </c>
      <c r="G475" s="40" t="s">
        <v>1154</v>
      </c>
      <c r="H475" s="40" t="s">
        <v>45</v>
      </c>
      <c r="I475" s="43" t="n">
        <v>0</v>
      </c>
      <c r="J475" s="43" t="n">
        <v>0</v>
      </c>
      <c r="K475" s="43" t="n">
        <v>0</v>
      </c>
      <c r="L475" s="43" t="n">
        <v>0</v>
      </c>
      <c r="M475" s="43" t="n">
        <v>16</v>
      </c>
      <c r="N475" s="43" t="n">
        <v>0</v>
      </c>
      <c r="O475" s="43" t="n">
        <v>0</v>
      </c>
      <c r="P475" s="43" t="n">
        <v>0</v>
      </c>
      <c r="Q475" s="43" t="n">
        <v>0</v>
      </c>
      <c r="R475" s="43" t="n">
        <v>0</v>
      </c>
      <c r="S475" s="43" t="n">
        <v>0</v>
      </c>
      <c r="T475" s="43" t="n">
        <v>0</v>
      </c>
      <c r="U475" s="42" t="n">
        <f aca="false">SUM(I475:T475)</f>
        <v>16</v>
      </c>
    </row>
    <row r="476" customFormat="false" ht="15" hidden="false" customHeight="false" outlineLevel="0" collapsed="false">
      <c r="A476" s="40" t="s">
        <v>1155</v>
      </c>
      <c r="B476" s="40" t="s">
        <v>150</v>
      </c>
      <c r="C476" s="40" t="s">
        <v>39</v>
      </c>
      <c r="D476" s="40" t="s">
        <v>5</v>
      </c>
      <c r="E476" s="40" t="s">
        <v>378</v>
      </c>
      <c r="F476" s="40" t="s">
        <v>151</v>
      </c>
      <c r="G476" s="40" t="s">
        <v>407</v>
      </c>
      <c r="H476" s="40" t="s">
        <v>45</v>
      </c>
      <c r="I476" s="43" t="n">
        <v>0</v>
      </c>
      <c r="J476" s="43" t="n">
        <v>0</v>
      </c>
      <c r="K476" s="43" t="n">
        <v>0</v>
      </c>
      <c r="L476" s="43" t="n">
        <v>0</v>
      </c>
      <c r="M476" s="43" t="n">
        <v>0</v>
      </c>
      <c r="N476" s="43" t="n">
        <v>0</v>
      </c>
      <c r="O476" s="43" t="n">
        <v>0</v>
      </c>
      <c r="P476" s="43" t="n">
        <v>0</v>
      </c>
      <c r="Q476" s="43" t="n">
        <v>0</v>
      </c>
      <c r="R476" s="43" t="n">
        <v>4</v>
      </c>
      <c r="S476" s="43" t="n">
        <v>0</v>
      </c>
      <c r="T476" s="43" t="n">
        <v>0</v>
      </c>
      <c r="U476" s="42" t="n">
        <f aca="false">SUM(I476:T476)</f>
        <v>4</v>
      </c>
    </row>
    <row r="477" customFormat="false" ht="15" hidden="false" customHeight="false" outlineLevel="0" collapsed="false">
      <c r="A477" s="40" t="s">
        <v>1156</v>
      </c>
      <c r="B477" s="40" t="s">
        <v>150</v>
      </c>
      <c r="C477" s="40" t="s">
        <v>39</v>
      </c>
      <c r="D477" s="40" t="s">
        <v>5</v>
      </c>
      <c r="E477" s="40" t="s">
        <v>378</v>
      </c>
      <c r="F477" s="40" t="s">
        <v>151</v>
      </c>
      <c r="G477" s="40" t="s">
        <v>411</v>
      </c>
      <c r="H477" s="40" t="s">
        <v>45</v>
      </c>
      <c r="I477" s="43" t="n">
        <v>0</v>
      </c>
      <c r="J477" s="43" t="n">
        <v>0</v>
      </c>
      <c r="K477" s="43" t="n">
        <v>0</v>
      </c>
      <c r="L477" s="43" t="n">
        <v>0</v>
      </c>
      <c r="M477" s="43" t="n">
        <v>0</v>
      </c>
      <c r="N477" s="43" t="n">
        <v>0</v>
      </c>
      <c r="O477" s="43" t="n">
        <v>0</v>
      </c>
      <c r="P477" s="43" t="n">
        <v>0</v>
      </c>
      <c r="Q477" s="43" t="n">
        <v>0</v>
      </c>
      <c r="R477" s="43" t="n">
        <v>3</v>
      </c>
      <c r="S477" s="43" t="n">
        <v>0</v>
      </c>
      <c r="T477" s="43" t="n">
        <v>0</v>
      </c>
      <c r="U477" s="42" t="n">
        <f aca="false">SUM(I477:T477)</f>
        <v>3</v>
      </c>
    </row>
    <row r="478" customFormat="false" ht="15" hidden="false" customHeight="false" outlineLevel="0" collapsed="false">
      <c r="A478" s="40" t="s">
        <v>1157</v>
      </c>
      <c r="B478" s="40" t="s">
        <v>153</v>
      </c>
      <c r="C478" s="40" t="s">
        <v>39</v>
      </c>
      <c r="D478" s="40" t="s">
        <v>5</v>
      </c>
      <c r="E478" s="40" t="s">
        <v>378</v>
      </c>
      <c r="F478" s="40" t="s">
        <v>154</v>
      </c>
      <c r="G478" s="40" t="s">
        <v>1158</v>
      </c>
      <c r="H478" s="40" t="s">
        <v>45</v>
      </c>
      <c r="I478" s="43" t="n">
        <v>0</v>
      </c>
      <c r="J478" s="43" t="n">
        <v>0</v>
      </c>
      <c r="K478" s="43" t="n">
        <v>0</v>
      </c>
      <c r="L478" s="43" t="n">
        <v>0</v>
      </c>
      <c r="M478" s="43" t="n">
        <v>8</v>
      </c>
      <c r="N478" s="43" t="n">
        <v>0</v>
      </c>
      <c r="O478" s="43" t="n">
        <v>0</v>
      </c>
      <c r="P478" s="43" t="n">
        <v>0</v>
      </c>
      <c r="Q478" s="43" t="n">
        <v>0</v>
      </c>
      <c r="R478" s="43" t="n">
        <v>16</v>
      </c>
      <c r="S478" s="43" t="n">
        <v>0</v>
      </c>
      <c r="T478" s="43" t="n">
        <v>0</v>
      </c>
      <c r="U478" s="42" t="n">
        <f aca="false">SUM(I478:T478)</f>
        <v>24</v>
      </c>
    </row>
    <row r="479" customFormat="false" ht="15" hidden="false" customHeight="false" outlineLevel="0" collapsed="false">
      <c r="A479" s="40" t="s">
        <v>1159</v>
      </c>
      <c r="B479" s="40" t="s">
        <v>153</v>
      </c>
      <c r="C479" s="40" t="s">
        <v>39</v>
      </c>
      <c r="D479" s="40" t="s">
        <v>5</v>
      </c>
      <c r="E479" s="40" t="s">
        <v>378</v>
      </c>
      <c r="F479" s="40" t="s">
        <v>154</v>
      </c>
      <c r="G479" s="40" t="s">
        <v>1160</v>
      </c>
      <c r="H479" s="40" t="s">
        <v>45</v>
      </c>
      <c r="I479" s="43" t="n">
        <v>0</v>
      </c>
      <c r="J479" s="43" t="n">
        <v>0</v>
      </c>
      <c r="K479" s="43" t="n">
        <v>0</v>
      </c>
      <c r="L479" s="43" t="n">
        <v>0</v>
      </c>
      <c r="M479" s="43" t="n">
        <v>0</v>
      </c>
      <c r="N479" s="43" t="n">
        <v>0</v>
      </c>
      <c r="O479" s="43" t="n">
        <v>0</v>
      </c>
      <c r="P479" s="43" t="n">
        <v>0</v>
      </c>
      <c r="Q479" s="43" t="n">
        <v>0</v>
      </c>
      <c r="R479" s="43" t="n">
        <v>16</v>
      </c>
      <c r="S479" s="43" t="n">
        <v>0</v>
      </c>
      <c r="T479" s="43" t="n">
        <v>0</v>
      </c>
      <c r="U479" s="42" t="n">
        <f aca="false">SUM(I479:T479)</f>
        <v>16</v>
      </c>
    </row>
    <row r="480" customFormat="false" ht="15" hidden="false" customHeight="false" outlineLevel="0" collapsed="false">
      <c r="A480" s="40" t="s">
        <v>1161</v>
      </c>
      <c r="B480" s="40" t="s">
        <v>153</v>
      </c>
      <c r="C480" s="40" t="s">
        <v>39</v>
      </c>
      <c r="D480" s="40" t="s">
        <v>5</v>
      </c>
      <c r="E480" s="40" t="s">
        <v>378</v>
      </c>
      <c r="F480" s="40" t="s">
        <v>154</v>
      </c>
      <c r="G480" s="40" t="s">
        <v>1162</v>
      </c>
      <c r="H480" s="40" t="s">
        <v>45</v>
      </c>
      <c r="I480" s="43" t="n">
        <v>0</v>
      </c>
      <c r="J480" s="43" t="n">
        <v>0</v>
      </c>
      <c r="K480" s="43" t="n">
        <v>0</v>
      </c>
      <c r="L480" s="43" t="n">
        <v>16</v>
      </c>
      <c r="M480" s="43" t="n">
        <v>8</v>
      </c>
      <c r="N480" s="43" t="n">
        <v>0</v>
      </c>
      <c r="O480" s="43" t="n">
        <v>0</v>
      </c>
      <c r="P480" s="43" t="n">
        <v>0</v>
      </c>
      <c r="Q480" s="43" t="n">
        <v>0</v>
      </c>
      <c r="R480" s="43" t="n">
        <v>0</v>
      </c>
      <c r="S480" s="43" t="n">
        <v>0</v>
      </c>
      <c r="T480" s="43" t="n">
        <v>0</v>
      </c>
      <c r="U480" s="42" t="n">
        <f aca="false">SUM(I480:T480)</f>
        <v>24</v>
      </c>
    </row>
    <row r="481" customFormat="false" ht="15" hidden="false" customHeight="false" outlineLevel="0" collapsed="false">
      <c r="A481" s="40" t="s">
        <v>1163</v>
      </c>
      <c r="B481" s="40" t="s">
        <v>153</v>
      </c>
      <c r="C481" s="40" t="s">
        <v>39</v>
      </c>
      <c r="D481" s="40" t="s">
        <v>5</v>
      </c>
      <c r="E481" s="40" t="s">
        <v>378</v>
      </c>
      <c r="F481" s="40" t="s">
        <v>154</v>
      </c>
      <c r="G481" s="40" t="s">
        <v>407</v>
      </c>
      <c r="H481" s="40" t="s">
        <v>45</v>
      </c>
      <c r="I481" s="43" t="n">
        <v>0</v>
      </c>
      <c r="J481" s="43" t="n">
        <v>0</v>
      </c>
      <c r="K481" s="43" t="n">
        <v>0</v>
      </c>
      <c r="L481" s="43" t="n">
        <v>0</v>
      </c>
      <c r="M481" s="43" t="n">
        <v>0</v>
      </c>
      <c r="N481" s="43" t="n">
        <v>0</v>
      </c>
      <c r="O481" s="43" t="n">
        <v>0</v>
      </c>
      <c r="P481" s="43" t="n">
        <v>0</v>
      </c>
      <c r="Q481" s="43" t="n">
        <v>0</v>
      </c>
      <c r="R481" s="43" t="n">
        <v>4</v>
      </c>
      <c r="S481" s="43" t="n">
        <v>0</v>
      </c>
      <c r="T481" s="43" t="n">
        <v>0</v>
      </c>
      <c r="U481" s="42" t="n">
        <f aca="false">SUM(I481:T481)</f>
        <v>4</v>
      </c>
    </row>
    <row r="482" customFormat="false" ht="15" hidden="false" customHeight="false" outlineLevel="0" collapsed="false">
      <c r="A482" s="40" t="s">
        <v>1164</v>
      </c>
      <c r="B482" s="40" t="s">
        <v>153</v>
      </c>
      <c r="C482" s="40" t="s">
        <v>39</v>
      </c>
      <c r="D482" s="40" t="s">
        <v>5</v>
      </c>
      <c r="E482" s="40" t="s">
        <v>378</v>
      </c>
      <c r="F482" s="40" t="s">
        <v>154</v>
      </c>
      <c r="G482" s="40" t="s">
        <v>411</v>
      </c>
      <c r="H482" s="40" t="s">
        <v>45</v>
      </c>
      <c r="I482" s="43" t="n">
        <v>0</v>
      </c>
      <c r="J482" s="43" t="n">
        <v>0</v>
      </c>
      <c r="K482" s="43" t="n">
        <v>0</v>
      </c>
      <c r="L482" s="43" t="n">
        <v>0</v>
      </c>
      <c r="M482" s="43" t="n">
        <v>0</v>
      </c>
      <c r="N482" s="43" t="n">
        <v>0</v>
      </c>
      <c r="O482" s="43" t="n">
        <v>0</v>
      </c>
      <c r="P482" s="43" t="n">
        <v>0</v>
      </c>
      <c r="Q482" s="43" t="n">
        <v>0</v>
      </c>
      <c r="R482" s="43" t="n">
        <v>3</v>
      </c>
      <c r="S482" s="43" t="n">
        <v>0</v>
      </c>
      <c r="T482" s="43" t="n">
        <v>0</v>
      </c>
      <c r="U482" s="42" t="n">
        <f aca="false">SUM(I482:T482)</f>
        <v>3</v>
      </c>
    </row>
    <row r="483" customFormat="false" ht="15" hidden="false" customHeight="false" outlineLevel="0" collapsed="false">
      <c r="A483" s="40" t="s">
        <v>1165</v>
      </c>
      <c r="B483" s="40" t="s">
        <v>156</v>
      </c>
      <c r="C483" s="40" t="s">
        <v>39</v>
      </c>
      <c r="D483" s="40" t="s">
        <v>5</v>
      </c>
      <c r="E483" s="40" t="s">
        <v>378</v>
      </c>
      <c r="F483" s="40" t="s">
        <v>157</v>
      </c>
      <c r="G483" s="40" t="s">
        <v>1166</v>
      </c>
      <c r="H483" s="40" t="s">
        <v>43</v>
      </c>
      <c r="I483" s="43" t="n">
        <v>0</v>
      </c>
      <c r="J483" s="43" t="n">
        <v>0</v>
      </c>
      <c r="K483" s="43" t="n">
        <v>0</v>
      </c>
      <c r="L483" s="43" t="n">
        <v>0</v>
      </c>
      <c r="M483" s="43" t="n">
        <v>16</v>
      </c>
      <c r="N483" s="43" t="n">
        <v>0</v>
      </c>
      <c r="O483" s="43" t="n">
        <v>0</v>
      </c>
      <c r="P483" s="43" t="n">
        <v>0</v>
      </c>
      <c r="Q483" s="43" t="n">
        <v>0</v>
      </c>
      <c r="R483" s="43" t="n">
        <v>8</v>
      </c>
      <c r="S483" s="43" t="n">
        <v>0</v>
      </c>
      <c r="T483" s="43" t="n">
        <v>0</v>
      </c>
      <c r="U483" s="42" t="n">
        <f aca="false">SUM(I483:T483)</f>
        <v>24</v>
      </c>
    </row>
    <row r="484" customFormat="false" ht="15" hidden="false" customHeight="false" outlineLevel="0" collapsed="false">
      <c r="A484" s="40" t="s">
        <v>1167</v>
      </c>
      <c r="B484" s="40" t="s">
        <v>156</v>
      </c>
      <c r="C484" s="40" t="s">
        <v>39</v>
      </c>
      <c r="D484" s="40" t="s">
        <v>5</v>
      </c>
      <c r="E484" s="40" t="s">
        <v>378</v>
      </c>
      <c r="F484" s="40" t="s">
        <v>157</v>
      </c>
      <c r="G484" s="40" t="s">
        <v>1168</v>
      </c>
      <c r="H484" s="40" t="s">
        <v>43</v>
      </c>
      <c r="I484" s="43" t="n">
        <v>0</v>
      </c>
      <c r="J484" s="43" t="n">
        <v>0</v>
      </c>
      <c r="K484" s="43" t="n">
        <v>0</v>
      </c>
      <c r="L484" s="43" t="n">
        <v>16</v>
      </c>
      <c r="M484" s="43" t="n">
        <v>0</v>
      </c>
      <c r="N484" s="43" t="n">
        <v>0</v>
      </c>
      <c r="O484" s="43" t="n">
        <v>0</v>
      </c>
      <c r="P484" s="43" t="n">
        <v>0</v>
      </c>
      <c r="Q484" s="43" t="n">
        <v>0</v>
      </c>
      <c r="R484" s="43" t="n">
        <v>0</v>
      </c>
      <c r="S484" s="43" t="n">
        <v>0</v>
      </c>
      <c r="T484" s="43" t="n">
        <v>0</v>
      </c>
      <c r="U484" s="42" t="n">
        <f aca="false">SUM(I484:T484)</f>
        <v>16</v>
      </c>
    </row>
    <row r="485" customFormat="false" ht="15" hidden="false" customHeight="false" outlineLevel="0" collapsed="false">
      <c r="A485" s="40" t="s">
        <v>1169</v>
      </c>
      <c r="B485" s="40" t="s">
        <v>156</v>
      </c>
      <c r="C485" s="40" t="s">
        <v>39</v>
      </c>
      <c r="D485" s="40" t="s">
        <v>5</v>
      </c>
      <c r="E485" s="40" t="s">
        <v>378</v>
      </c>
      <c r="F485" s="40" t="s">
        <v>157</v>
      </c>
      <c r="G485" s="40" t="s">
        <v>1170</v>
      </c>
      <c r="H485" s="40" t="s">
        <v>43</v>
      </c>
      <c r="I485" s="43" t="n">
        <v>0</v>
      </c>
      <c r="J485" s="43" t="n">
        <v>0</v>
      </c>
      <c r="K485" s="43" t="n">
        <v>0</v>
      </c>
      <c r="L485" s="43" t="n">
        <v>0</v>
      </c>
      <c r="M485" s="43" t="n">
        <v>16</v>
      </c>
      <c r="N485" s="43" t="n">
        <v>0</v>
      </c>
      <c r="O485" s="43" t="n">
        <v>0</v>
      </c>
      <c r="P485" s="43" t="n">
        <v>0</v>
      </c>
      <c r="Q485" s="43" t="n">
        <v>0</v>
      </c>
      <c r="R485" s="43" t="n">
        <v>8</v>
      </c>
      <c r="S485" s="43" t="n">
        <v>0</v>
      </c>
      <c r="T485" s="43" t="n">
        <v>0</v>
      </c>
      <c r="U485" s="42" t="n">
        <f aca="false">SUM(I485:T485)</f>
        <v>24</v>
      </c>
    </row>
    <row r="486" customFormat="false" ht="15" hidden="false" customHeight="false" outlineLevel="0" collapsed="false">
      <c r="A486" s="40" t="s">
        <v>1171</v>
      </c>
      <c r="B486" s="40" t="s">
        <v>156</v>
      </c>
      <c r="C486" s="40" t="s">
        <v>39</v>
      </c>
      <c r="D486" s="40" t="s">
        <v>5</v>
      </c>
      <c r="E486" s="40" t="s">
        <v>378</v>
      </c>
      <c r="F486" s="40" t="s">
        <v>157</v>
      </c>
      <c r="G486" s="40" t="s">
        <v>407</v>
      </c>
      <c r="H486" s="40" t="s">
        <v>43</v>
      </c>
      <c r="I486" s="43" t="n">
        <v>0</v>
      </c>
      <c r="J486" s="43" t="n">
        <v>0</v>
      </c>
      <c r="K486" s="43" t="n">
        <v>0</v>
      </c>
      <c r="L486" s="43" t="n">
        <v>0</v>
      </c>
      <c r="M486" s="43" t="n">
        <v>4</v>
      </c>
      <c r="N486" s="43" t="n">
        <v>0</v>
      </c>
      <c r="O486" s="43" t="n">
        <v>0</v>
      </c>
      <c r="P486" s="43" t="n">
        <v>0</v>
      </c>
      <c r="Q486" s="43" t="n">
        <v>0</v>
      </c>
      <c r="R486" s="43" t="n">
        <v>0</v>
      </c>
      <c r="S486" s="43" t="n">
        <v>0</v>
      </c>
      <c r="T486" s="43" t="n">
        <v>0</v>
      </c>
      <c r="U486" s="42" t="n">
        <f aca="false">SUM(I486:T486)</f>
        <v>4</v>
      </c>
    </row>
    <row r="487" customFormat="false" ht="15" hidden="false" customHeight="false" outlineLevel="0" collapsed="false">
      <c r="A487" s="40" t="s">
        <v>1172</v>
      </c>
      <c r="B487" s="40" t="s">
        <v>156</v>
      </c>
      <c r="C487" s="40" t="s">
        <v>39</v>
      </c>
      <c r="D487" s="40" t="s">
        <v>5</v>
      </c>
      <c r="E487" s="40" t="s">
        <v>378</v>
      </c>
      <c r="F487" s="40" t="s">
        <v>157</v>
      </c>
      <c r="G487" s="40" t="s">
        <v>411</v>
      </c>
      <c r="H487" s="40" t="s">
        <v>43</v>
      </c>
      <c r="I487" s="43" t="n">
        <v>0</v>
      </c>
      <c r="J487" s="43" t="n">
        <v>0</v>
      </c>
      <c r="K487" s="43" t="n">
        <v>0</v>
      </c>
      <c r="L487" s="43" t="n">
        <v>0</v>
      </c>
      <c r="M487" s="43" t="n">
        <v>3</v>
      </c>
      <c r="N487" s="43" t="n">
        <v>0</v>
      </c>
      <c r="O487" s="43" t="n">
        <v>0</v>
      </c>
      <c r="P487" s="43" t="n">
        <v>0</v>
      </c>
      <c r="Q487" s="43" t="n">
        <v>0</v>
      </c>
      <c r="R487" s="43" t="n">
        <v>0</v>
      </c>
      <c r="S487" s="43" t="n">
        <v>0</v>
      </c>
      <c r="T487" s="43" t="n">
        <v>0</v>
      </c>
      <c r="U487" s="42" t="n">
        <f aca="false">SUM(I487:T487)</f>
        <v>3</v>
      </c>
    </row>
    <row r="488" customFormat="false" ht="23.85" hidden="false" customHeight="false" outlineLevel="0" collapsed="false">
      <c r="A488" s="40" t="s">
        <v>1173</v>
      </c>
      <c r="B488" s="40" t="s">
        <v>207</v>
      </c>
      <c r="C488" s="40" t="s">
        <v>39</v>
      </c>
      <c r="D488" s="40" t="s">
        <v>6</v>
      </c>
      <c r="E488" s="40" t="s">
        <v>379</v>
      </c>
      <c r="F488" s="40" t="s">
        <v>208</v>
      </c>
      <c r="G488" s="40" t="s">
        <v>1174</v>
      </c>
      <c r="H488" s="40" t="s">
        <v>45</v>
      </c>
      <c r="I488" s="43" t="n">
        <v>0</v>
      </c>
      <c r="J488" s="43" t="n">
        <v>0</v>
      </c>
      <c r="K488" s="43" t="n">
        <v>0</v>
      </c>
      <c r="L488" s="43" t="n">
        <v>0</v>
      </c>
      <c r="M488" s="43" t="n">
        <v>0</v>
      </c>
      <c r="N488" s="43" t="n">
        <v>0</v>
      </c>
      <c r="O488" s="43" t="n">
        <v>0</v>
      </c>
      <c r="P488" s="43" t="n">
        <v>0</v>
      </c>
      <c r="Q488" s="43" t="n">
        <v>0</v>
      </c>
      <c r="R488" s="43" t="n">
        <v>49</v>
      </c>
      <c r="S488" s="43" t="n">
        <v>0</v>
      </c>
      <c r="T488" s="43" t="n">
        <v>0</v>
      </c>
      <c r="U488" s="42" t="n">
        <f aca="false">SUM(I488:T488)</f>
        <v>49</v>
      </c>
    </row>
    <row r="489" customFormat="false" ht="23.85" hidden="false" customHeight="false" outlineLevel="0" collapsed="false">
      <c r="A489" s="40" t="s">
        <v>1175</v>
      </c>
      <c r="B489" s="40" t="s">
        <v>207</v>
      </c>
      <c r="C489" s="40" t="s">
        <v>39</v>
      </c>
      <c r="D489" s="40" t="s">
        <v>6</v>
      </c>
      <c r="E489" s="40" t="s">
        <v>379</v>
      </c>
      <c r="F489" s="40" t="s">
        <v>208</v>
      </c>
      <c r="G489" s="40" t="s">
        <v>1176</v>
      </c>
      <c r="H489" s="40" t="s">
        <v>45</v>
      </c>
      <c r="I489" s="43" t="n">
        <v>0</v>
      </c>
      <c r="J489" s="43" t="n">
        <v>0</v>
      </c>
      <c r="K489" s="43" t="n">
        <v>0</v>
      </c>
      <c r="L489" s="43" t="n">
        <v>0</v>
      </c>
      <c r="M489" s="43" t="n">
        <v>0</v>
      </c>
      <c r="N489" s="43" t="n">
        <v>0</v>
      </c>
      <c r="O489" s="43" t="n">
        <v>73</v>
      </c>
      <c r="P489" s="43" t="n">
        <v>0</v>
      </c>
      <c r="Q489" s="43" t="n">
        <v>0</v>
      </c>
      <c r="R489" s="43" t="n">
        <v>0</v>
      </c>
      <c r="S489" s="43" t="n">
        <v>0</v>
      </c>
      <c r="T489" s="43" t="n">
        <v>0</v>
      </c>
      <c r="U489" s="42" t="n">
        <f aca="false">SUM(I489:T489)</f>
        <v>73</v>
      </c>
    </row>
    <row r="490" customFormat="false" ht="23.85" hidden="false" customHeight="false" outlineLevel="0" collapsed="false">
      <c r="A490" s="40" t="s">
        <v>1177</v>
      </c>
      <c r="B490" s="40" t="s">
        <v>207</v>
      </c>
      <c r="C490" s="40" t="s">
        <v>39</v>
      </c>
      <c r="D490" s="40" t="s">
        <v>6</v>
      </c>
      <c r="E490" s="40" t="s">
        <v>379</v>
      </c>
      <c r="F490" s="40" t="s">
        <v>208</v>
      </c>
      <c r="G490" s="40" t="s">
        <v>1178</v>
      </c>
      <c r="H490" s="40" t="s">
        <v>45</v>
      </c>
      <c r="I490" s="43" t="n">
        <v>0</v>
      </c>
      <c r="J490" s="43" t="n">
        <v>0</v>
      </c>
      <c r="K490" s="43" t="n">
        <v>0</v>
      </c>
      <c r="L490" s="43" t="n">
        <v>0</v>
      </c>
      <c r="M490" s="43" t="n">
        <v>0</v>
      </c>
      <c r="N490" s="43" t="n">
        <v>98</v>
      </c>
      <c r="O490" s="43" t="n">
        <v>0</v>
      </c>
      <c r="P490" s="43" t="n">
        <v>0</v>
      </c>
      <c r="Q490" s="43" t="n">
        <v>0</v>
      </c>
      <c r="R490" s="43" t="n">
        <v>0</v>
      </c>
      <c r="S490" s="43" t="n">
        <v>0</v>
      </c>
      <c r="T490" s="43" t="n">
        <v>0</v>
      </c>
      <c r="U490" s="42" t="n">
        <f aca="false">SUM(I490:T490)</f>
        <v>98</v>
      </c>
    </row>
    <row r="491" customFormat="false" ht="23.85" hidden="false" customHeight="false" outlineLevel="0" collapsed="false">
      <c r="A491" s="40" t="s">
        <v>1179</v>
      </c>
      <c r="B491" s="40" t="s">
        <v>207</v>
      </c>
      <c r="C491" s="40" t="s">
        <v>39</v>
      </c>
      <c r="D491" s="40" t="s">
        <v>6</v>
      </c>
      <c r="E491" s="40" t="s">
        <v>379</v>
      </c>
      <c r="F491" s="40" t="s">
        <v>208</v>
      </c>
      <c r="G491" s="40" t="s">
        <v>1180</v>
      </c>
      <c r="H491" s="40" t="s">
        <v>45</v>
      </c>
      <c r="I491" s="43" t="n">
        <v>0</v>
      </c>
      <c r="J491" s="43" t="n">
        <v>0</v>
      </c>
      <c r="K491" s="43" t="n">
        <v>0</v>
      </c>
      <c r="L491" s="43" t="n">
        <v>0</v>
      </c>
      <c r="M491" s="43" t="n">
        <v>0</v>
      </c>
      <c r="N491" s="43" t="n">
        <v>49</v>
      </c>
      <c r="O491" s="43" t="n">
        <v>0</v>
      </c>
      <c r="P491" s="43" t="n">
        <v>0</v>
      </c>
      <c r="Q491" s="43" t="n">
        <v>24</v>
      </c>
      <c r="R491" s="43" t="n">
        <v>0</v>
      </c>
      <c r="S491" s="43" t="n">
        <v>0</v>
      </c>
      <c r="T491" s="43" t="n">
        <v>0</v>
      </c>
      <c r="U491" s="42" t="n">
        <f aca="false">SUM(I491:T491)</f>
        <v>73</v>
      </c>
    </row>
    <row r="492" customFormat="false" ht="23.85" hidden="false" customHeight="false" outlineLevel="0" collapsed="false">
      <c r="A492" s="40" t="s">
        <v>1181</v>
      </c>
      <c r="B492" s="40" t="s">
        <v>207</v>
      </c>
      <c r="C492" s="40" t="s">
        <v>39</v>
      </c>
      <c r="D492" s="40" t="s">
        <v>6</v>
      </c>
      <c r="E492" s="40" t="s">
        <v>379</v>
      </c>
      <c r="F492" s="40" t="s">
        <v>208</v>
      </c>
      <c r="G492" s="40" t="s">
        <v>1182</v>
      </c>
      <c r="H492" s="40" t="s">
        <v>45</v>
      </c>
      <c r="I492" s="43" t="n">
        <v>0</v>
      </c>
      <c r="J492" s="43" t="n">
        <v>0</v>
      </c>
      <c r="K492" s="43" t="n">
        <v>0</v>
      </c>
      <c r="L492" s="43" t="n">
        <v>0</v>
      </c>
      <c r="M492" s="43" t="n">
        <v>0</v>
      </c>
      <c r="N492" s="43" t="n">
        <v>37</v>
      </c>
      <c r="O492" s="43" t="n">
        <v>24</v>
      </c>
      <c r="P492" s="43" t="n">
        <v>0</v>
      </c>
      <c r="Q492" s="43" t="n">
        <v>0</v>
      </c>
      <c r="R492" s="43" t="n">
        <v>0</v>
      </c>
      <c r="S492" s="43" t="n">
        <v>0</v>
      </c>
      <c r="T492" s="43" t="n">
        <v>0</v>
      </c>
      <c r="U492" s="42" t="n">
        <f aca="false">SUM(I492:T492)</f>
        <v>61</v>
      </c>
    </row>
    <row r="493" customFormat="false" ht="23.85" hidden="false" customHeight="false" outlineLevel="0" collapsed="false">
      <c r="A493" s="40" t="s">
        <v>1183</v>
      </c>
      <c r="B493" s="40" t="s">
        <v>207</v>
      </c>
      <c r="C493" s="40" t="s">
        <v>39</v>
      </c>
      <c r="D493" s="40" t="s">
        <v>6</v>
      </c>
      <c r="E493" s="40" t="s">
        <v>379</v>
      </c>
      <c r="F493" s="40" t="s">
        <v>208</v>
      </c>
      <c r="G493" s="40" t="s">
        <v>1184</v>
      </c>
      <c r="H493" s="40" t="s">
        <v>45</v>
      </c>
      <c r="I493" s="43" t="n">
        <v>0</v>
      </c>
      <c r="J493" s="43" t="n">
        <v>0</v>
      </c>
      <c r="K493" s="43" t="n">
        <v>0</v>
      </c>
      <c r="L493" s="43" t="n">
        <v>0</v>
      </c>
      <c r="M493" s="43" t="n">
        <v>0</v>
      </c>
      <c r="N493" s="43" t="n">
        <v>37</v>
      </c>
      <c r="O493" s="43" t="n">
        <v>0</v>
      </c>
      <c r="P493" s="43" t="n">
        <v>0</v>
      </c>
      <c r="Q493" s="43" t="n">
        <v>24</v>
      </c>
      <c r="R493" s="43" t="n">
        <v>0</v>
      </c>
      <c r="S493" s="43" t="n">
        <v>0</v>
      </c>
      <c r="T493" s="43" t="n">
        <v>0</v>
      </c>
      <c r="U493" s="42" t="n">
        <f aca="false">SUM(I493:T493)</f>
        <v>61</v>
      </c>
    </row>
    <row r="494" customFormat="false" ht="23.85" hidden="false" customHeight="false" outlineLevel="0" collapsed="false">
      <c r="A494" s="40" t="s">
        <v>1185</v>
      </c>
      <c r="B494" s="40" t="s">
        <v>207</v>
      </c>
      <c r="C494" s="40" t="s">
        <v>39</v>
      </c>
      <c r="D494" s="40" t="s">
        <v>6</v>
      </c>
      <c r="E494" s="40" t="s">
        <v>379</v>
      </c>
      <c r="F494" s="40" t="s">
        <v>208</v>
      </c>
      <c r="G494" s="40" t="s">
        <v>1186</v>
      </c>
      <c r="H494" s="40" t="s">
        <v>45</v>
      </c>
      <c r="I494" s="43" t="n">
        <v>0</v>
      </c>
      <c r="J494" s="43" t="n">
        <v>0</v>
      </c>
      <c r="K494" s="43" t="n">
        <v>0</v>
      </c>
      <c r="L494" s="43" t="n">
        <v>0</v>
      </c>
      <c r="M494" s="43" t="n">
        <v>0</v>
      </c>
      <c r="N494" s="43" t="n">
        <v>24</v>
      </c>
      <c r="O494" s="43" t="n">
        <v>24</v>
      </c>
      <c r="P494" s="43" t="n">
        <v>0</v>
      </c>
      <c r="Q494" s="43" t="n">
        <v>0</v>
      </c>
      <c r="R494" s="43" t="n">
        <v>24</v>
      </c>
      <c r="S494" s="43" t="n">
        <v>98</v>
      </c>
      <c r="T494" s="43" t="n">
        <v>0</v>
      </c>
      <c r="U494" s="42" t="n">
        <f aca="false">SUM(I494:T494)</f>
        <v>170</v>
      </c>
    </row>
    <row r="495" customFormat="false" ht="23.85" hidden="false" customHeight="false" outlineLevel="0" collapsed="false">
      <c r="A495" s="40" t="s">
        <v>1187</v>
      </c>
      <c r="B495" s="40" t="s">
        <v>207</v>
      </c>
      <c r="C495" s="40" t="s">
        <v>39</v>
      </c>
      <c r="D495" s="40" t="s">
        <v>6</v>
      </c>
      <c r="E495" s="40" t="s">
        <v>379</v>
      </c>
      <c r="F495" s="40" t="s">
        <v>208</v>
      </c>
      <c r="G495" s="40" t="s">
        <v>407</v>
      </c>
      <c r="H495" s="40" t="s">
        <v>45</v>
      </c>
      <c r="I495" s="43" t="n">
        <v>0</v>
      </c>
      <c r="J495" s="43" t="n">
        <v>0</v>
      </c>
      <c r="K495" s="43" t="n">
        <v>0</v>
      </c>
      <c r="L495" s="43" t="n">
        <v>0</v>
      </c>
      <c r="M495" s="43" t="n">
        <v>35</v>
      </c>
      <c r="N495" s="43" t="n">
        <v>0</v>
      </c>
      <c r="O495" s="43" t="n">
        <v>0</v>
      </c>
      <c r="P495" s="43" t="n">
        <v>0</v>
      </c>
      <c r="Q495" s="43" t="n">
        <v>0</v>
      </c>
      <c r="R495" s="43" t="n">
        <v>0</v>
      </c>
      <c r="S495" s="43" t="n">
        <v>0</v>
      </c>
      <c r="T495" s="43" t="n">
        <v>0</v>
      </c>
      <c r="U495" s="42" t="n">
        <f aca="false">SUM(I495:T495)</f>
        <v>35</v>
      </c>
    </row>
    <row r="496" customFormat="false" ht="23.85" hidden="false" customHeight="false" outlineLevel="0" collapsed="false">
      <c r="A496" s="40" t="s">
        <v>1188</v>
      </c>
      <c r="B496" s="40" t="s">
        <v>207</v>
      </c>
      <c r="C496" s="40" t="s">
        <v>39</v>
      </c>
      <c r="D496" s="40" t="s">
        <v>6</v>
      </c>
      <c r="E496" s="40" t="s">
        <v>379</v>
      </c>
      <c r="F496" s="40" t="s">
        <v>208</v>
      </c>
      <c r="G496" s="40" t="s">
        <v>409</v>
      </c>
      <c r="H496" s="40" t="s">
        <v>45</v>
      </c>
      <c r="I496" s="43" t="n">
        <v>0</v>
      </c>
      <c r="J496" s="43" t="n">
        <v>0</v>
      </c>
      <c r="K496" s="43" t="n">
        <v>24</v>
      </c>
      <c r="L496" s="43" t="n">
        <v>0</v>
      </c>
      <c r="M496" s="43" t="n">
        <v>0</v>
      </c>
      <c r="N496" s="43" t="n">
        <v>0</v>
      </c>
      <c r="O496" s="43" t="n">
        <v>0</v>
      </c>
      <c r="P496" s="43" t="n">
        <v>0</v>
      </c>
      <c r="Q496" s="43" t="n">
        <v>0</v>
      </c>
      <c r="R496" s="43" t="n">
        <v>0</v>
      </c>
      <c r="S496" s="43" t="n">
        <v>0</v>
      </c>
      <c r="T496" s="43" t="n">
        <v>0</v>
      </c>
      <c r="U496" s="42" t="n">
        <f aca="false">SUM(I496:T496)</f>
        <v>24</v>
      </c>
    </row>
    <row r="497" customFormat="false" ht="23.85" hidden="false" customHeight="false" outlineLevel="0" collapsed="false">
      <c r="A497" s="40" t="s">
        <v>1189</v>
      </c>
      <c r="B497" s="40" t="s">
        <v>207</v>
      </c>
      <c r="C497" s="40" t="s">
        <v>39</v>
      </c>
      <c r="D497" s="40" t="s">
        <v>6</v>
      </c>
      <c r="E497" s="40" t="s">
        <v>379</v>
      </c>
      <c r="F497" s="40" t="s">
        <v>208</v>
      </c>
      <c r="G497" s="40" t="s">
        <v>411</v>
      </c>
      <c r="H497" s="40" t="s">
        <v>45</v>
      </c>
      <c r="I497" s="43" t="n">
        <v>0</v>
      </c>
      <c r="J497" s="43" t="n">
        <v>0</v>
      </c>
      <c r="K497" s="43" t="n">
        <v>0</v>
      </c>
      <c r="L497" s="43" t="n">
        <v>0</v>
      </c>
      <c r="M497" s="43" t="n">
        <v>0</v>
      </c>
      <c r="N497" s="43" t="n">
        <v>24</v>
      </c>
      <c r="O497" s="43" t="n">
        <v>0</v>
      </c>
      <c r="P497" s="43" t="n">
        <v>0</v>
      </c>
      <c r="Q497" s="43" t="n">
        <v>0</v>
      </c>
      <c r="R497" s="43" t="n">
        <v>0</v>
      </c>
      <c r="S497" s="43" t="n">
        <v>0</v>
      </c>
      <c r="T497" s="43" t="n">
        <v>0</v>
      </c>
      <c r="U497" s="42" t="n">
        <f aca="false">SUM(I497:T497)</f>
        <v>24</v>
      </c>
    </row>
    <row r="498" customFormat="false" ht="23.85" hidden="false" customHeight="false" outlineLevel="0" collapsed="false">
      <c r="A498" s="40" t="s">
        <v>1190</v>
      </c>
      <c r="B498" s="40" t="s">
        <v>207</v>
      </c>
      <c r="C498" s="40" t="s">
        <v>39</v>
      </c>
      <c r="D498" s="40" t="s">
        <v>6</v>
      </c>
      <c r="E498" s="40" t="s">
        <v>379</v>
      </c>
      <c r="F498" s="40" t="s">
        <v>208</v>
      </c>
      <c r="G498" s="40" t="s">
        <v>413</v>
      </c>
      <c r="H498" s="40" t="s">
        <v>45</v>
      </c>
      <c r="I498" s="43" t="n">
        <v>0</v>
      </c>
      <c r="J498" s="43" t="n">
        <v>0</v>
      </c>
      <c r="K498" s="43" t="n">
        <v>0</v>
      </c>
      <c r="L498" s="43" t="n">
        <v>0</v>
      </c>
      <c r="M498" s="43" t="n">
        <v>0</v>
      </c>
      <c r="N498" s="43" t="n">
        <v>47</v>
      </c>
      <c r="O498" s="43" t="n">
        <v>0</v>
      </c>
      <c r="P498" s="43" t="n">
        <v>0</v>
      </c>
      <c r="Q498" s="43" t="n">
        <v>0</v>
      </c>
      <c r="R498" s="43" t="n">
        <v>0</v>
      </c>
      <c r="S498" s="43" t="n">
        <v>0</v>
      </c>
      <c r="T498" s="43" t="n">
        <v>0</v>
      </c>
      <c r="U498" s="42" t="n">
        <f aca="false">SUM(I498:T498)</f>
        <v>47</v>
      </c>
    </row>
    <row r="499" customFormat="false" ht="15" hidden="false" customHeight="false" outlineLevel="0" collapsed="false">
      <c r="A499" s="40" t="s">
        <v>1191</v>
      </c>
      <c r="B499" s="40" t="s">
        <v>210</v>
      </c>
      <c r="C499" s="40" t="s">
        <v>39</v>
      </c>
      <c r="D499" s="40" t="s">
        <v>6</v>
      </c>
      <c r="E499" s="40" t="s">
        <v>379</v>
      </c>
      <c r="F499" s="40" t="s">
        <v>211</v>
      </c>
      <c r="G499" s="40" t="s">
        <v>1192</v>
      </c>
      <c r="H499" s="40" t="s">
        <v>45</v>
      </c>
      <c r="I499" s="43" t="n">
        <v>0</v>
      </c>
      <c r="J499" s="43" t="n">
        <v>0</v>
      </c>
      <c r="K499" s="43" t="n">
        <v>0</v>
      </c>
      <c r="L499" s="43" t="n">
        <v>0</v>
      </c>
      <c r="M499" s="43" t="n">
        <v>0</v>
      </c>
      <c r="N499" s="43" t="n">
        <v>0</v>
      </c>
      <c r="O499" s="43" t="n">
        <v>24</v>
      </c>
      <c r="P499" s="43" t="n">
        <v>0</v>
      </c>
      <c r="Q499" s="43" t="n">
        <v>0</v>
      </c>
      <c r="R499" s="43" t="n">
        <v>37</v>
      </c>
      <c r="S499" s="43" t="n">
        <v>0</v>
      </c>
      <c r="T499" s="43" t="n">
        <v>0</v>
      </c>
      <c r="U499" s="42" t="n">
        <f aca="false">SUM(I499:T499)</f>
        <v>61</v>
      </c>
    </row>
    <row r="500" customFormat="false" ht="15" hidden="false" customHeight="false" outlineLevel="0" collapsed="false">
      <c r="A500" s="40" t="s">
        <v>1193</v>
      </c>
      <c r="B500" s="40" t="s">
        <v>210</v>
      </c>
      <c r="C500" s="40" t="s">
        <v>39</v>
      </c>
      <c r="D500" s="40" t="s">
        <v>6</v>
      </c>
      <c r="E500" s="40" t="s">
        <v>379</v>
      </c>
      <c r="F500" s="40" t="s">
        <v>211</v>
      </c>
      <c r="G500" s="40" t="s">
        <v>1194</v>
      </c>
      <c r="H500" s="40" t="s">
        <v>45</v>
      </c>
      <c r="I500" s="43" t="n">
        <v>0</v>
      </c>
      <c r="J500" s="43" t="n">
        <v>0</v>
      </c>
      <c r="K500" s="43" t="n">
        <v>0</v>
      </c>
      <c r="L500" s="43" t="n">
        <v>0</v>
      </c>
      <c r="M500" s="43" t="n">
        <v>0</v>
      </c>
      <c r="N500" s="43" t="n">
        <v>73</v>
      </c>
      <c r="O500" s="43" t="n">
        <v>0</v>
      </c>
      <c r="P500" s="43" t="n">
        <v>0</v>
      </c>
      <c r="Q500" s="43" t="n">
        <v>0</v>
      </c>
      <c r="R500" s="43" t="n">
        <v>0</v>
      </c>
      <c r="S500" s="43" t="n">
        <v>0</v>
      </c>
      <c r="T500" s="43" t="n">
        <v>0</v>
      </c>
      <c r="U500" s="42" t="n">
        <f aca="false">SUM(I500:T500)</f>
        <v>73</v>
      </c>
    </row>
    <row r="501" customFormat="false" ht="15" hidden="false" customHeight="false" outlineLevel="0" collapsed="false">
      <c r="A501" s="40" t="s">
        <v>1195</v>
      </c>
      <c r="B501" s="40" t="s">
        <v>210</v>
      </c>
      <c r="C501" s="40" t="s">
        <v>39</v>
      </c>
      <c r="D501" s="40" t="s">
        <v>6</v>
      </c>
      <c r="E501" s="40" t="s">
        <v>379</v>
      </c>
      <c r="F501" s="40" t="s">
        <v>211</v>
      </c>
      <c r="G501" s="40" t="s">
        <v>1196</v>
      </c>
      <c r="H501" s="40" t="s">
        <v>45</v>
      </c>
      <c r="I501" s="43" t="n">
        <v>0</v>
      </c>
      <c r="J501" s="43" t="n">
        <v>0</v>
      </c>
      <c r="K501" s="43" t="n">
        <v>0</v>
      </c>
      <c r="L501" s="43" t="n">
        <v>0</v>
      </c>
      <c r="M501" s="43" t="n">
        <v>0</v>
      </c>
      <c r="N501" s="43" t="n">
        <v>37</v>
      </c>
      <c r="O501" s="43" t="n">
        <v>24</v>
      </c>
      <c r="P501" s="43" t="n">
        <v>0</v>
      </c>
      <c r="Q501" s="43" t="n">
        <v>0</v>
      </c>
      <c r="R501" s="43" t="n">
        <v>0</v>
      </c>
      <c r="S501" s="43" t="n">
        <v>0</v>
      </c>
      <c r="T501" s="43" t="n">
        <v>0</v>
      </c>
      <c r="U501" s="42" t="n">
        <f aca="false">SUM(I501:T501)</f>
        <v>61</v>
      </c>
    </row>
    <row r="502" customFormat="false" ht="15" hidden="false" customHeight="false" outlineLevel="0" collapsed="false">
      <c r="A502" s="40" t="s">
        <v>1197</v>
      </c>
      <c r="B502" s="40" t="s">
        <v>210</v>
      </c>
      <c r="C502" s="40" t="s">
        <v>39</v>
      </c>
      <c r="D502" s="40" t="s">
        <v>6</v>
      </c>
      <c r="E502" s="40" t="s">
        <v>379</v>
      </c>
      <c r="F502" s="40" t="s">
        <v>211</v>
      </c>
      <c r="G502" s="40" t="s">
        <v>1198</v>
      </c>
      <c r="H502" s="40" t="s">
        <v>45</v>
      </c>
      <c r="I502" s="43" t="n">
        <v>0</v>
      </c>
      <c r="J502" s="43" t="n">
        <v>0</v>
      </c>
      <c r="K502" s="43" t="n">
        <v>0</v>
      </c>
      <c r="L502" s="43" t="n">
        <v>0</v>
      </c>
      <c r="M502" s="43" t="n">
        <v>0</v>
      </c>
      <c r="N502" s="43" t="n">
        <v>24</v>
      </c>
      <c r="O502" s="43" t="n">
        <v>0</v>
      </c>
      <c r="P502" s="43" t="n">
        <v>0</v>
      </c>
      <c r="Q502" s="43" t="n">
        <v>24</v>
      </c>
      <c r="R502" s="43" t="n">
        <v>0</v>
      </c>
      <c r="S502" s="43" t="n">
        <v>0</v>
      </c>
      <c r="T502" s="43" t="n">
        <v>0</v>
      </c>
      <c r="U502" s="42" t="n">
        <f aca="false">SUM(I502:T502)</f>
        <v>48</v>
      </c>
    </row>
    <row r="503" customFormat="false" ht="15" hidden="false" customHeight="false" outlineLevel="0" collapsed="false">
      <c r="A503" s="40" t="s">
        <v>1199</v>
      </c>
      <c r="B503" s="40" t="s">
        <v>210</v>
      </c>
      <c r="C503" s="40" t="s">
        <v>39</v>
      </c>
      <c r="D503" s="40" t="s">
        <v>6</v>
      </c>
      <c r="E503" s="40" t="s">
        <v>379</v>
      </c>
      <c r="F503" s="40" t="s">
        <v>211</v>
      </c>
      <c r="G503" s="40" t="s">
        <v>1200</v>
      </c>
      <c r="H503" s="40" t="s">
        <v>45</v>
      </c>
      <c r="I503" s="43" t="n">
        <v>0</v>
      </c>
      <c r="J503" s="43" t="n">
        <v>0</v>
      </c>
      <c r="K503" s="43" t="n">
        <v>0</v>
      </c>
      <c r="L503" s="43" t="n">
        <v>0</v>
      </c>
      <c r="M503" s="43" t="n">
        <v>0</v>
      </c>
      <c r="N503" s="43" t="n">
        <v>37</v>
      </c>
      <c r="O503" s="43" t="n">
        <v>0</v>
      </c>
      <c r="P503" s="43" t="n">
        <v>0</v>
      </c>
      <c r="Q503" s="43" t="n">
        <v>24</v>
      </c>
      <c r="R503" s="43" t="n">
        <v>0</v>
      </c>
      <c r="S503" s="43" t="n">
        <v>0</v>
      </c>
      <c r="T503" s="43" t="n">
        <v>0</v>
      </c>
      <c r="U503" s="42" t="n">
        <f aca="false">SUM(I503:T503)</f>
        <v>61</v>
      </c>
    </row>
    <row r="504" customFormat="false" ht="15" hidden="false" customHeight="false" outlineLevel="0" collapsed="false">
      <c r="A504" s="40" t="s">
        <v>1201</v>
      </c>
      <c r="B504" s="40" t="s">
        <v>210</v>
      </c>
      <c r="C504" s="40" t="s">
        <v>39</v>
      </c>
      <c r="D504" s="40" t="s">
        <v>6</v>
      </c>
      <c r="E504" s="40" t="s">
        <v>379</v>
      </c>
      <c r="F504" s="40" t="s">
        <v>211</v>
      </c>
      <c r="G504" s="40" t="s">
        <v>1202</v>
      </c>
      <c r="H504" s="40" t="s">
        <v>45</v>
      </c>
      <c r="I504" s="43" t="n">
        <v>0</v>
      </c>
      <c r="J504" s="43" t="n">
        <v>0</v>
      </c>
      <c r="K504" s="43" t="n">
        <v>0</v>
      </c>
      <c r="L504" s="43" t="n">
        <v>0</v>
      </c>
      <c r="M504" s="43" t="n">
        <v>0</v>
      </c>
      <c r="N504" s="43" t="n">
        <v>24</v>
      </c>
      <c r="O504" s="43" t="n">
        <v>0</v>
      </c>
      <c r="P504" s="43" t="n">
        <v>0</v>
      </c>
      <c r="Q504" s="43" t="n">
        <v>0</v>
      </c>
      <c r="R504" s="43" t="n">
        <v>37</v>
      </c>
      <c r="S504" s="43" t="n">
        <v>98</v>
      </c>
      <c r="T504" s="43" t="n">
        <v>0</v>
      </c>
      <c r="U504" s="42" t="n">
        <f aca="false">SUM(I504:T504)</f>
        <v>159</v>
      </c>
    </row>
    <row r="505" customFormat="false" ht="15" hidden="false" customHeight="false" outlineLevel="0" collapsed="false">
      <c r="A505" s="40" t="s">
        <v>1203</v>
      </c>
      <c r="B505" s="40" t="s">
        <v>210</v>
      </c>
      <c r="C505" s="40" t="s">
        <v>39</v>
      </c>
      <c r="D505" s="40" t="s">
        <v>6</v>
      </c>
      <c r="E505" s="40" t="s">
        <v>379</v>
      </c>
      <c r="F505" s="40" t="s">
        <v>211</v>
      </c>
      <c r="G505" s="40" t="s">
        <v>407</v>
      </c>
      <c r="H505" s="40" t="s">
        <v>45</v>
      </c>
      <c r="I505" s="43" t="n">
        <v>0</v>
      </c>
      <c r="J505" s="43" t="n">
        <v>0</v>
      </c>
      <c r="K505" s="43" t="n">
        <v>0</v>
      </c>
      <c r="L505" s="43" t="n">
        <v>0</v>
      </c>
      <c r="M505" s="43" t="n">
        <v>28</v>
      </c>
      <c r="N505" s="43" t="n">
        <v>0</v>
      </c>
      <c r="O505" s="43" t="n">
        <v>0</v>
      </c>
      <c r="P505" s="43" t="n">
        <v>0</v>
      </c>
      <c r="Q505" s="43" t="n">
        <v>0</v>
      </c>
      <c r="R505" s="43" t="n">
        <v>0</v>
      </c>
      <c r="S505" s="43" t="n">
        <v>0</v>
      </c>
      <c r="T505" s="43" t="n">
        <v>0</v>
      </c>
      <c r="U505" s="42" t="n">
        <f aca="false">SUM(I505:T505)</f>
        <v>28</v>
      </c>
    </row>
    <row r="506" customFormat="false" ht="15" hidden="false" customHeight="false" outlineLevel="0" collapsed="false">
      <c r="A506" s="40" t="s">
        <v>1204</v>
      </c>
      <c r="B506" s="40" t="s">
        <v>210</v>
      </c>
      <c r="C506" s="40" t="s">
        <v>39</v>
      </c>
      <c r="D506" s="40" t="s">
        <v>6</v>
      </c>
      <c r="E506" s="40" t="s">
        <v>379</v>
      </c>
      <c r="F506" s="40" t="s">
        <v>211</v>
      </c>
      <c r="G506" s="40" t="s">
        <v>409</v>
      </c>
      <c r="H506" s="40" t="s">
        <v>45</v>
      </c>
      <c r="I506" s="43" t="n">
        <v>0</v>
      </c>
      <c r="J506" s="43" t="n">
        <v>0</v>
      </c>
      <c r="K506" s="43" t="n">
        <v>19</v>
      </c>
      <c r="L506" s="43" t="n">
        <v>0</v>
      </c>
      <c r="M506" s="43" t="n">
        <v>0</v>
      </c>
      <c r="N506" s="43" t="n">
        <v>0</v>
      </c>
      <c r="O506" s="43" t="n">
        <v>0</v>
      </c>
      <c r="P506" s="43" t="n">
        <v>0</v>
      </c>
      <c r="Q506" s="43" t="n">
        <v>0</v>
      </c>
      <c r="R506" s="43" t="n">
        <v>0</v>
      </c>
      <c r="S506" s="43" t="n">
        <v>0</v>
      </c>
      <c r="T506" s="43" t="n">
        <v>0</v>
      </c>
      <c r="U506" s="42" t="n">
        <f aca="false">SUM(I506:T506)</f>
        <v>19</v>
      </c>
    </row>
    <row r="507" customFormat="false" ht="15" hidden="false" customHeight="false" outlineLevel="0" collapsed="false">
      <c r="A507" s="40" t="s">
        <v>1205</v>
      </c>
      <c r="B507" s="40" t="s">
        <v>210</v>
      </c>
      <c r="C507" s="40" t="s">
        <v>39</v>
      </c>
      <c r="D507" s="40" t="s">
        <v>6</v>
      </c>
      <c r="E507" s="40" t="s">
        <v>379</v>
      </c>
      <c r="F507" s="40" t="s">
        <v>211</v>
      </c>
      <c r="G507" s="40" t="s">
        <v>411</v>
      </c>
      <c r="H507" s="40" t="s">
        <v>45</v>
      </c>
      <c r="I507" s="43" t="n">
        <v>0</v>
      </c>
      <c r="J507" s="43" t="n">
        <v>0</v>
      </c>
      <c r="K507" s="43" t="n">
        <v>0</v>
      </c>
      <c r="L507" s="43" t="n">
        <v>0</v>
      </c>
      <c r="M507" s="43" t="n">
        <v>0</v>
      </c>
      <c r="N507" s="43" t="n">
        <v>19</v>
      </c>
      <c r="O507" s="43" t="n">
        <v>0</v>
      </c>
      <c r="P507" s="43" t="n">
        <v>0</v>
      </c>
      <c r="Q507" s="43" t="n">
        <v>0</v>
      </c>
      <c r="R507" s="43" t="n">
        <v>0</v>
      </c>
      <c r="S507" s="43" t="n">
        <v>0</v>
      </c>
      <c r="T507" s="43" t="n">
        <v>0</v>
      </c>
      <c r="U507" s="42" t="n">
        <f aca="false">SUM(I507:T507)</f>
        <v>19</v>
      </c>
    </row>
    <row r="508" customFormat="false" ht="15" hidden="false" customHeight="false" outlineLevel="0" collapsed="false">
      <c r="A508" s="40" t="s">
        <v>1206</v>
      </c>
      <c r="B508" s="40" t="s">
        <v>210</v>
      </c>
      <c r="C508" s="40" t="s">
        <v>39</v>
      </c>
      <c r="D508" s="40" t="s">
        <v>6</v>
      </c>
      <c r="E508" s="40" t="s">
        <v>379</v>
      </c>
      <c r="F508" s="40" t="s">
        <v>211</v>
      </c>
      <c r="G508" s="40" t="s">
        <v>413</v>
      </c>
      <c r="H508" s="40" t="s">
        <v>45</v>
      </c>
      <c r="I508" s="43" t="n">
        <v>0</v>
      </c>
      <c r="J508" s="43" t="n">
        <v>0</v>
      </c>
      <c r="K508" s="43" t="n">
        <v>0</v>
      </c>
      <c r="L508" s="43" t="n">
        <v>0</v>
      </c>
      <c r="M508" s="43" t="n">
        <v>0</v>
      </c>
      <c r="N508" s="43" t="n">
        <v>37</v>
      </c>
      <c r="O508" s="43" t="n">
        <v>0</v>
      </c>
      <c r="P508" s="43" t="n">
        <v>0</v>
      </c>
      <c r="Q508" s="43" t="n">
        <v>0</v>
      </c>
      <c r="R508" s="43" t="n">
        <v>0</v>
      </c>
      <c r="S508" s="43" t="n">
        <v>0</v>
      </c>
      <c r="T508" s="43" t="n">
        <v>0</v>
      </c>
      <c r="U508" s="42" t="n">
        <f aca="false">SUM(I508:T508)</f>
        <v>37</v>
      </c>
    </row>
    <row r="509" customFormat="false" ht="15" hidden="false" customHeight="false" outlineLevel="0" collapsed="false">
      <c r="A509" s="40" t="s">
        <v>1207</v>
      </c>
      <c r="B509" s="40" t="s">
        <v>213</v>
      </c>
      <c r="C509" s="40" t="s">
        <v>39</v>
      </c>
      <c r="D509" s="40" t="s">
        <v>6</v>
      </c>
      <c r="E509" s="40" t="s">
        <v>379</v>
      </c>
      <c r="F509" s="40" t="s">
        <v>214</v>
      </c>
      <c r="G509" s="40" t="s">
        <v>1208</v>
      </c>
      <c r="H509" s="40" t="s">
        <v>45</v>
      </c>
      <c r="I509" s="43" t="n">
        <v>0</v>
      </c>
      <c r="J509" s="43" t="n">
        <v>0</v>
      </c>
      <c r="K509" s="43" t="n">
        <v>0</v>
      </c>
      <c r="L509" s="43" t="n">
        <v>8</v>
      </c>
      <c r="M509" s="43" t="n">
        <v>0</v>
      </c>
      <c r="N509" s="43" t="n">
        <v>0</v>
      </c>
      <c r="O509" s="43" t="n">
        <v>0</v>
      </c>
      <c r="P509" s="43" t="n">
        <v>0</v>
      </c>
      <c r="Q509" s="43" t="n">
        <v>16</v>
      </c>
      <c r="R509" s="43" t="n">
        <v>0</v>
      </c>
      <c r="S509" s="43" t="n">
        <v>0</v>
      </c>
      <c r="T509" s="43" t="n">
        <v>0</v>
      </c>
      <c r="U509" s="42" t="n">
        <f aca="false">SUM(I509:T509)</f>
        <v>24</v>
      </c>
    </row>
    <row r="510" customFormat="false" ht="15" hidden="false" customHeight="false" outlineLevel="0" collapsed="false">
      <c r="A510" s="40" t="s">
        <v>1209</v>
      </c>
      <c r="B510" s="40" t="s">
        <v>213</v>
      </c>
      <c r="C510" s="40" t="s">
        <v>39</v>
      </c>
      <c r="D510" s="40" t="s">
        <v>6</v>
      </c>
      <c r="E510" s="40" t="s">
        <v>379</v>
      </c>
      <c r="F510" s="40" t="s">
        <v>214</v>
      </c>
      <c r="G510" s="40" t="s">
        <v>1210</v>
      </c>
      <c r="H510" s="40" t="s">
        <v>45</v>
      </c>
      <c r="I510" s="43" t="n">
        <v>0</v>
      </c>
      <c r="J510" s="43" t="n">
        <v>0</v>
      </c>
      <c r="K510" s="43" t="n">
        <v>0</v>
      </c>
      <c r="L510" s="43" t="n">
        <v>0</v>
      </c>
      <c r="M510" s="43" t="n">
        <v>0</v>
      </c>
      <c r="N510" s="43" t="n">
        <v>0</v>
      </c>
      <c r="O510" s="43" t="n">
        <v>0</v>
      </c>
      <c r="P510" s="43" t="n">
        <v>0</v>
      </c>
      <c r="Q510" s="43" t="n">
        <v>49</v>
      </c>
      <c r="R510" s="43" t="n">
        <v>0</v>
      </c>
      <c r="S510" s="43" t="n">
        <v>0</v>
      </c>
      <c r="T510" s="43" t="n">
        <v>0</v>
      </c>
      <c r="U510" s="42" t="n">
        <f aca="false">SUM(I510:T510)</f>
        <v>49</v>
      </c>
    </row>
    <row r="511" customFormat="false" ht="15" hidden="false" customHeight="false" outlineLevel="0" collapsed="false">
      <c r="A511" s="40" t="s">
        <v>1211</v>
      </c>
      <c r="B511" s="40" t="s">
        <v>213</v>
      </c>
      <c r="C511" s="40" t="s">
        <v>39</v>
      </c>
      <c r="D511" s="40" t="s">
        <v>6</v>
      </c>
      <c r="E511" s="40" t="s">
        <v>379</v>
      </c>
      <c r="F511" s="40" t="s">
        <v>214</v>
      </c>
      <c r="G511" s="40" t="s">
        <v>1212</v>
      </c>
      <c r="H511" s="40" t="s">
        <v>45</v>
      </c>
      <c r="I511" s="43" t="n">
        <v>0</v>
      </c>
      <c r="J511" s="43" t="n">
        <v>0</v>
      </c>
      <c r="K511" s="43" t="n">
        <v>0</v>
      </c>
      <c r="L511" s="43" t="n">
        <v>0</v>
      </c>
      <c r="M511" s="43" t="n">
        <v>0</v>
      </c>
      <c r="N511" s="43" t="n">
        <v>16</v>
      </c>
      <c r="O511" s="43" t="n">
        <v>0</v>
      </c>
      <c r="P511" s="43" t="n">
        <v>0</v>
      </c>
      <c r="Q511" s="43" t="n">
        <v>16</v>
      </c>
      <c r="R511" s="43" t="n">
        <v>0</v>
      </c>
      <c r="S511" s="43" t="n">
        <v>0</v>
      </c>
      <c r="T511" s="43" t="n">
        <v>0</v>
      </c>
      <c r="U511" s="42" t="n">
        <f aca="false">SUM(I511:T511)</f>
        <v>32</v>
      </c>
    </row>
    <row r="512" customFormat="false" ht="15" hidden="false" customHeight="false" outlineLevel="0" collapsed="false">
      <c r="A512" s="40" t="s">
        <v>1213</v>
      </c>
      <c r="B512" s="40" t="s">
        <v>213</v>
      </c>
      <c r="C512" s="40" t="s">
        <v>39</v>
      </c>
      <c r="D512" s="40" t="s">
        <v>6</v>
      </c>
      <c r="E512" s="40" t="s">
        <v>379</v>
      </c>
      <c r="F512" s="40" t="s">
        <v>214</v>
      </c>
      <c r="G512" s="40" t="s">
        <v>1214</v>
      </c>
      <c r="H512" s="40" t="s">
        <v>45</v>
      </c>
      <c r="I512" s="43" t="n">
        <v>0</v>
      </c>
      <c r="J512" s="43" t="n">
        <v>0</v>
      </c>
      <c r="K512" s="43" t="n">
        <v>0</v>
      </c>
      <c r="L512" s="43" t="n">
        <v>8</v>
      </c>
      <c r="M512" s="43" t="n">
        <v>0</v>
      </c>
      <c r="N512" s="43" t="n">
        <v>0</v>
      </c>
      <c r="O512" s="43" t="n">
        <v>0</v>
      </c>
      <c r="P512" s="43" t="n">
        <v>0</v>
      </c>
      <c r="Q512" s="43" t="n">
        <v>16</v>
      </c>
      <c r="R512" s="43" t="n">
        <v>0</v>
      </c>
      <c r="S512" s="43" t="n">
        <v>0</v>
      </c>
      <c r="T512" s="43" t="n">
        <v>0</v>
      </c>
      <c r="U512" s="42" t="n">
        <f aca="false">SUM(I512:T512)</f>
        <v>24</v>
      </c>
    </row>
    <row r="513" customFormat="false" ht="15" hidden="false" customHeight="false" outlineLevel="0" collapsed="false">
      <c r="A513" s="40" t="s">
        <v>1215</v>
      </c>
      <c r="B513" s="40" t="s">
        <v>213</v>
      </c>
      <c r="C513" s="40" t="s">
        <v>39</v>
      </c>
      <c r="D513" s="40" t="s">
        <v>6</v>
      </c>
      <c r="E513" s="40" t="s">
        <v>379</v>
      </c>
      <c r="F513" s="40" t="s">
        <v>214</v>
      </c>
      <c r="G513" s="40" t="s">
        <v>1216</v>
      </c>
      <c r="H513" s="40" t="s">
        <v>45</v>
      </c>
      <c r="I513" s="43" t="n">
        <v>0</v>
      </c>
      <c r="J513" s="43" t="n">
        <v>0</v>
      </c>
      <c r="K513" s="43" t="n">
        <v>0</v>
      </c>
      <c r="L513" s="43" t="n">
        <v>0</v>
      </c>
      <c r="M513" s="43" t="n">
        <v>0</v>
      </c>
      <c r="N513" s="43" t="n">
        <v>0</v>
      </c>
      <c r="O513" s="43" t="n">
        <v>0</v>
      </c>
      <c r="P513" s="43" t="n">
        <v>0</v>
      </c>
      <c r="Q513" s="43" t="n">
        <v>0</v>
      </c>
      <c r="R513" s="43" t="n">
        <v>0</v>
      </c>
      <c r="S513" s="43" t="n">
        <v>33</v>
      </c>
      <c r="T513" s="43" t="n">
        <v>0</v>
      </c>
      <c r="U513" s="42" t="n">
        <f aca="false">SUM(I513:T513)</f>
        <v>33</v>
      </c>
    </row>
    <row r="514" customFormat="false" ht="15" hidden="false" customHeight="false" outlineLevel="0" collapsed="false">
      <c r="A514" s="40" t="s">
        <v>1217</v>
      </c>
      <c r="B514" s="40" t="s">
        <v>213</v>
      </c>
      <c r="C514" s="40" t="s">
        <v>39</v>
      </c>
      <c r="D514" s="40" t="s">
        <v>6</v>
      </c>
      <c r="E514" s="40" t="s">
        <v>379</v>
      </c>
      <c r="F514" s="40" t="s">
        <v>214</v>
      </c>
      <c r="G514" s="40" t="s">
        <v>407</v>
      </c>
      <c r="H514" s="40" t="s">
        <v>45</v>
      </c>
      <c r="I514" s="43" t="n">
        <v>0</v>
      </c>
      <c r="J514" s="43" t="n">
        <v>0</v>
      </c>
      <c r="K514" s="43" t="n">
        <v>0</v>
      </c>
      <c r="L514" s="43" t="n">
        <v>0</v>
      </c>
      <c r="M514" s="43" t="n">
        <v>10</v>
      </c>
      <c r="N514" s="43" t="n">
        <v>0</v>
      </c>
      <c r="O514" s="43" t="n">
        <v>0</v>
      </c>
      <c r="P514" s="43" t="n">
        <v>0</v>
      </c>
      <c r="Q514" s="43" t="n">
        <v>0</v>
      </c>
      <c r="R514" s="43" t="n">
        <v>0</v>
      </c>
      <c r="S514" s="43" t="n">
        <v>0</v>
      </c>
      <c r="T514" s="43" t="n">
        <v>0</v>
      </c>
      <c r="U514" s="42" t="n">
        <f aca="false">SUM(I514:T514)</f>
        <v>10</v>
      </c>
    </row>
    <row r="515" customFormat="false" ht="15" hidden="false" customHeight="false" outlineLevel="0" collapsed="false">
      <c r="A515" s="40" t="s">
        <v>1218</v>
      </c>
      <c r="B515" s="40" t="s">
        <v>213</v>
      </c>
      <c r="C515" s="40" t="s">
        <v>39</v>
      </c>
      <c r="D515" s="40" t="s">
        <v>6</v>
      </c>
      <c r="E515" s="40" t="s">
        <v>379</v>
      </c>
      <c r="F515" s="40" t="s">
        <v>214</v>
      </c>
      <c r="G515" s="40" t="s">
        <v>409</v>
      </c>
      <c r="H515" s="40" t="s">
        <v>45</v>
      </c>
      <c r="I515" s="43" t="n">
        <v>0</v>
      </c>
      <c r="J515" s="43" t="n">
        <v>0</v>
      </c>
      <c r="K515" s="43" t="n">
        <v>7</v>
      </c>
      <c r="L515" s="43" t="n">
        <v>0</v>
      </c>
      <c r="M515" s="43" t="n">
        <v>0</v>
      </c>
      <c r="N515" s="43" t="n">
        <v>0</v>
      </c>
      <c r="O515" s="43" t="n">
        <v>0</v>
      </c>
      <c r="P515" s="43" t="n">
        <v>0</v>
      </c>
      <c r="Q515" s="43" t="n">
        <v>0</v>
      </c>
      <c r="R515" s="43" t="n">
        <v>0</v>
      </c>
      <c r="S515" s="43" t="n">
        <v>0</v>
      </c>
      <c r="T515" s="43" t="n">
        <v>0</v>
      </c>
      <c r="U515" s="42" t="n">
        <f aca="false">SUM(I515:T515)</f>
        <v>7</v>
      </c>
    </row>
    <row r="516" customFormat="false" ht="15" hidden="false" customHeight="false" outlineLevel="0" collapsed="false">
      <c r="A516" s="40" t="s">
        <v>1219</v>
      </c>
      <c r="B516" s="40" t="s">
        <v>213</v>
      </c>
      <c r="C516" s="40" t="s">
        <v>39</v>
      </c>
      <c r="D516" s="40" t="s">
        <v>6</v>
      </c>
      <c r="E516" s="40" t="s">
        <v>379</v>
      </c>
      <c r="F516" s="40" t="s">
        <v>214</v>
      </c>
      <c r="G516" s="40" t="s">
        <v>411</v>
      </c>
      <c r="H516" s="40" t="s">
        <v>45</v>
      </c>
      <c r="I516" s="43" t="n">
        <v>0</v>
      </c>
      <c r="J516" s="43" t="n">
        <v>0</v>
      </c>
      <c r="K516" s="43" t="n">
        <v>0</v>
      </c>
      <c r="L516" s="43" t="n">
        <v>0</v>
      </c>
      <c r="M516" s="43" t="n">
        <v>0</v>
      </c>
      <c r="N516" s="43" t="n">
        <v>0</v>
      </c>
      <c r="O516" s="43" t="n">
        <v>0</v>
      </c>
      <c r="P516" s="43" t="n">
        <v>0</v>
      </c>
      <c r="Q516" s="43" t="n">
        <v>7</v>
      </c>
      <c r="R516" s="43" t="n">
        <v>0</v>
      </c>
      <c r="S516" s="43" t="n">
        <v>0</v>
      </c>
      <c r="T516" s="43" t="n">
        <v>0</v>
      </c>
      <c r="U516" s="42" t="n">
        <f aca="false">SUM(I516:T516)</f>
        <v>7</v>
      </c>
    </row>
    <row r="517" customFormat="false" ht="15" hidden="false" customHeight="false" outlineLevel="0" collapsed="false">
      <c r="A517" s="40" t="s">
        <v>1220</v>
      </c>
      <c r="B517" s="40" t="s">
        <v>213</v>
      </c>
      <c r="C517" s="40" t="s">
        <v>39</v>
      </c>
      <c r="D517" s="40" t="s">
        <v>6</v>
      </c>
      <c r="E517" s="40" t="s">
        <v>379</v>
      </c>
      <c r="F517" s="40" t="s">
        <v>214</v>
      </c>
      <c r="G517" s="40" t="s">
        <v>413</v>
      </c>
      <c r="H517" s="40" t="s">
        <v>45</v>
      </c>
      <c r="I517" s="43" t="n">
        <v>0</v>
      </c>
      <c r="J517" s="43" t="n">
        <v>0</v>
      </c>
      <c r="K517" s="43" t="n">
        <v>0</v>
      </c>
      <c r="L517" s="43" t="n">
        <v>0</v>
      </c>
      <c r="M517" s="43" t="n">
        <v>0</v>
      </c>
      <c r="N517" s="43" t="n">
        <v>0</v>
      </c>
      <c r="O517" s="43" t="n">
        <v>0</v>
      </c>
      <c r="P517" s="43" t="n">
        <v>0</v>
      </c>
      <c r="Q517" s="43" t="n">
        <v>13</v>
      </c>
      <c r="R517" s="43" t="n">
        <v>0</v>
      </c>
      <c r="S517" s="43" t="n">
        <v>0</v>
      </c>
      <c r="T517" s="43" t="n">
        <v>0</v>
      </c>
      <c r="U517" s="42" t="n">
        <f aca="false">SUM(I517:T517)</f>
        <v>13</v>
      </c>
    </row>
    <row r="518" customFormat="false" ht="15" hidden="false" customHeight="false" outlineLevel="0" collapsed="false">
      <c r="A518" s="40" t="s">
        <v>1221</v>
      </c>
      <c r="B518" s="40" t="s">
        <v>216</v>
      </c>
      <c r="C518" s="40" t="s">
        <v>39</v>
      </c>
      <c r="D518" s="40" t="s">
        <v>6</v>
      </c>
      <c r="E518" s="40" t="s">
        <v>379</v>
      </c>
      <c r="F518" s="40" t="s">
        <v>217</v>
      </c>
      <c r="G518" s="40" t="s">
        <v>1222</v>
      </c>
      <c r="H518" s="40" t="s">
        <v>45</v>
      </c>
      <c r="I518" s="43" t="n">
        <v>24</v>
      </c>
      <c r="J518" s="43" t="n">
        <v>0</v>
      </c>
      <c r="K518" s="43" t="n">
        <v>0</v>
      </c>
      <c r="L518" s="43" t="n">
        <v>0</v>
      </c>
      <c r="M518" s="43" t="n">
        <v>0</v>
      </c>
      <c r="N518" s="43" t="n">
        <v>0</v>
      </c>
      <c r="O518" s="43" t="n">
        <v>0</v>
      </c>
      <c r="P518" s="43" t="n">
        <v>0</v>
      </c>
      <c r="Q518" s="43" t="n">
        <v>0</v>
      </c>
      <c r="R518" s="43" t="n">
        <v>24</v>
      </c>
      <c r="S518" s="43" t="n">
        <v>0</v>
      </c>
      <c r="T518" s="43" t="n">
        <v>0</v>
      </c>
      <c r="U518" s="42" t="n">
        <f aca="false">SUM(I518:T518)</f>
        <v>48</v>
      </c>
    </row>
    <row r="519" customFormat="false" ht="15" hidden="false" customHeight="false" outlineLevel="0" collapsed="false">
      <c r="A519" s="40" t="s">
        <v>1223</v>
      </c>
      <c r="B519" s="40" t="s">
        <v>216</v>
      </c>
      <c r="C519" s="40" t="s">
        <v>39</v>
      </c>
      <c r="D519" s="40" t="s">
        <v>6</v>
      </c>
      <c r="E519" s="40" t="s">
        <v>379</v>
      </c>
      <c r="F519" s="40" t="s">
        <v>217</v>
      </c>
      <c r="G519" s="40" t="s">
        <v>1224</v>
      </c>
      <c r="H519" s="40" t="s">
        <v>45</v>
      </c>
      <c r="I519" s="43" t="n">
        <v>0</v>
      </c>
      <c r="J519" s="43" t="n">
        <v>0</v>
      </c>
      <c r="K519" s="43" t="n">
        <v>0</v>
      </c>
      <c r="L519" s="43" t="n">
        <v>0</v>
      </c>
      <c r="M519" s="43" t="n">
        <v>0</v>
      </c>
      <c r="N519" s="43" t="n">
        <v>0</v>
      </c>
      <c r="O519" s="43" t="n">
        <v>0</v>
      </c>
      <c r="P519" s="43" t="n">
        <v>0</v>
      </c>
      <c r="Q519" s="43" t="n">
        <v>0</v>
      </c>
      <c r="R519" s="43" t="n">
        <v>0</v>
      </c>
      <c r="S519" s="43" t="n">
        <v>0</v>
      </c>
      <c r="T519" s="43" t="n">
        <v>73</v>
      </c>
      <c r="U519" s="42" t="n">
        <f aca="false">SUM(I519:T519)</f>
        <v>73</v>
      </c>
    </row>
    <row r="520" customFormat="false" ht="15" hidden="false" customHeight="false" outlineLevel="0" collapsed="false">
      <c r="A520" s="40" t="s">
        <v>1225</v>
      </c>
      <c r="B520" s="40" t="s">
        <v>216</v>
      </c>
      <c r="C520" s="40" t="s">
        <v>39</v>
      </c>
      <c r="D520" s="40" t="s">
        <v>6</v>
      </c>
      <c r="E520" s="40" t="s">
        <v>379</v>
      </c>
      <c r="F520" s="40" t="s">
        <v>217</v>
      </c>
      <c r="G520" s="40" t="s">
        <v>1226</v>
      </c>
      <c r="H520" s="40" t="s">
        <v>45</v>
      </c>
      <c r="I520" s="43" t="n">
        <v>0</v>
      </c>
      <c r="J520" s="43" t="n">
        <v>0</v>
      </c>
      <c r="K520" s="43" t="n">
        <v>0</v>
      </c>
      <c r="L520" s="43" t="n">
        <v>0</v>
      </c>
      <c r="M520" s="43" t="n">
        <v>0</v>
      </c>
      <c r="N520" s="43" t="n">
        <v>49</v>
      </c>
      <c r="O520" s="43" t="n">
        <v>0</v>
      </c>
      <c r="P520" s="43" t="n">
        <v>0</v>
      </c>
      <c r="Q520" s="43" t="n">
        <v>0</v>
      </c>
      <c r="R520" s="43" t="n">
        <v>49</v>
      </c>
      <c r="S520" s="43" t="n">
        <v>0</v>
      </c>
      <c r="T520" s="43" t="n">
        <v>0</v>
      </c>
      <c r="U520" s="42" t="n">
        <f aca="false">SUM(I520:T520)</f>
        <v>98</v>
      </c>
    </row>
    <row r="521" customFormat="false" ht="15" hidden="false" customHeight="false" outlineLevel="0" collapsed="false">
      <c r="A521" s="40" t="s">
        <v>1227</v>
      </c>
      <c r="B521" s="40" t="s">
        <v>216</v>
      </c>
      <c r="C521" s="40" t="s">
        <v>39</v>
      </c>
      <c r="D521" s="40" t="s">
        <v>6</v>
      </c>
      <c r="E521" s="40" t="s">
        <v>379</v>
      </c>
      <c r="F521" s="40" t="s">
        <v>217</v>
      </c>
      <c r="G521" s="40" t="s">
        <v>1228</v>
      </c>
      <c r="H521" s="40" t="s">
        <v>45</v>
      </c>
      <c r="I521" s="43" t="n">
        <v>24</v>
      </c>
      <c r="J521" s="43" t="n">
        <v>0</v>
      </c>
      <c r="K521" s="43" t="n">
        <v>0</v>
      </c>
      <c r="L521" s="43" t="n">
        <v>0</v>
      </c>
      <c r="M521" s="43" t="n">
        <v>0</v>
      </c>
      <c r="N521" s="43" t="n">
        <v>0</v>
      </c>
      <c r="O521" s="43" t="n">
        <v>0</v>
      </c>
      <c r="P521" s="43" t="n">
        <v>0</v>
      </c>
      <c r="Q521" s="43" t="n">
        <v>0</v>
      </c>
      <c r="R521" s="43" t="n">
        <v>49</v>
      </c>
      <c r="S521" s="43" t="n">
        <v>0</v>
      </c>
      <c r="T521" s="43" t="n">
        <v>24</v>
      </c>
      <c r="U521" s="42" t="n">
        <f aca="false">SUM(I521:T521)</f>
        <v>97</v>
      </c>
    </row>
    <row r="522" customFormat="false" ht="15" hidden="false" customHeight="false" outlineLevel="0" collapsed="false">
      <c r="A522" s="40" t="s">
        <v>1229</v>
      </c>
      <c r="B522" s="40" t="s">
        <v>216</v>
      </c>
      <c r="C522" s="40" t="s">
        <v>39</v>
      </c>
      <c r="D522" s="40" t="s">
        <v>6</v>
      </c>
      <c r="E522" s="40" t="s">
        <v>379</v>
      </c>
      <c r="F522" s="40" t="s">
        <v>217</v>
      </c>
      <c r="G522" s="40" t="s">
        <v>407</v>
      </c>
      <c r="H522" s="40" t="s">
        <v>45</v>
      </c>
      <c r="I522" s="43" t="n">
        <v>0</v>
      </c>
      <c r="J522" s="43" t="n">
        <v>0</v>
      </c>
      <c r="K522" s="43" t="n">
        <v>0</v>
      </c>
      <c r="L522" s="43" t="n">
        <v>0</v>
      </c>
      <c r="M522" s="43" t="n">
        <v>0</v>
      </c>
      <c r="N522" s="43" t="n">
        <v>0</v>
      </c>
      <c r="O522" s="43" t="n">
        <v>0</v>
      </c>
      <c r="P522" s="43" t="n">
        <v>0</v>
      </c>
      <c r="Q522" s="43" t="n">
        <v>0</v>
      </c>
      <c r="R522" s="43" t="n">
        <v>19</v>
      </c>
      <c r="S522" s="43" t="n">
        <v>0</v>
      </c>
      <c r="T522" s="43" t="n">
        <v>0</v>
      </c>
      <c r="U522" s="42" t="n">
        <f aca="false">SUM(I522:T522)</f>
        <v>19</v>
      </c>
    </row>
    <row r="523" customFormat="false" ht="15" hidden="false" customHeight="false" outlineLevel="0" collapsed="false">
      <c r="A523" s="40" t="s">
        <v>1230</v>
      </c>
      <c r="B523" s="40" t="s">
        <v>216</v>
      </c>
      <c r="C523" s="40" t="s">
        <v>39</v>
      </c>
      <c r="D523" s="40" t="s">
        <v>6</v>
      </c>
      <c r="E523" s="40" t="s">
        <v>379</v>
      </c>
      <c r="F523" s="40" t="s">
        <v>217</v>
      </c>
      <c r="G523" s="40" t="s">
        <v>411</v>
      </c>
      <c r="H523" s="40" t="s">
        <v>45</v>
      </c>
      <c r="I523" s="43" t="n">
        <v>0</v>
      </c>
      <c r="J523" s="43" t="n">
        <v>0</v>
      </c>
      <c r="K523" s="43" t="n">
        <v>0</v>
      </c>
      <c r="L523" s="43" t="n">
        <v>0</v>
      </c>
      <c r="M523" s="43" t="n">
        <v>0</v>
      </c>
      <c r="N523" s="43" t="n">
        <v>0</v>
      </c>
      <c r="O523" s="43" t="n">
        <v>0</v>
      </c>
      <c r="P523" s="43" t="n">
        <v>0</v>
      </c>
      <c r="Q523" s="43" t="n">
        <v>0</v>
      </c>
      <c r="R523" s="43" t="n">
        <v>13</v>
      </c>
      <c r="S523" s="43" t="n">
        <v>0</v>
      </c>
      <c r="T523" s="43" t="n">
        <v>0</v>
      </c>
      <c r="U523" s="42" t="n">
        <f aca="false">SUM(I523:T523)</f>
        <v>13</v>
      </c>
    </row>
    <row r="524" customFormat="false" ht="15" hidden="false" customHeight="false" outlineLevel="0" collapsed="false">
      <c r="A524" s="40" t="s">
        <v>1231</v>
      </c>
      <c r="B524" s="40" t="s">
        <v>219</v>
      </c>
      <c r="C524" s="40" t="s">
        <v>39</v>
      </c>
      <c r="D524" s="40" t="s">
        <v>6</v>
      </c>
      <c r="E524" s="40" t="s">
        <v>379</v>
      </c>
      <c r="F524" s="40" t="s">
        <v>220</v>
      </c>
      <c r="G524" s="40" t="s">
        <v>1232</v>
      </c>
      <c r="H524" s="40" t="s">
        <v>45</v>
      </c>
      <c r="I524" s="43" t="n">
        <v>0</v>
      </c>
      <c r="J524" s="43" t="n">
        <v>0</v>
      </c>
      <c r="K524" s="43" t="n">
        <v>0</v>
      </c>
      <c r="L524" s="43" t="n">
        <v>0</v>
      </c>
      <c r="M524" s="43" t="n">
        <v>0</v>
      </c>
      <c r="N524" s="43" t="n">
        <v>16</v>
      </c>
      <c r="O524" s="43" t="n">
        <v>0</v>
      </c>
      <c r="P524" s="43" t="n">
        <v>0</v>
      </c>
      <c r="Q524" s="43" t="n">
        <v>0</v>
      </c>
      <c r="R524" s="43" t="n">
        <v>0</v>
      </c>
      <c r="S524" s="43" t="n">
        <v>0</v>
      </c>
      <c r="T524" s="43" t="n">
        <v>0</v>
      </c>
      <c r="U524" s="42" t="n">
        <f aca="false">SUM(I524:T524)</f>
        <v>16</v>
      </c>
    </row>
    <row r="525" customFormat="false" ht="15" hidden="false" customHeight="false" outlineLevel="0" collapsed="false">
      <c r="A525" s="40" t="s">
        <v>1233</v>
      </c>
      <c r="B525" s="40" t="s">
        <v>219</v>
      </c>
      <c r="C525" s="40" t="s">
        <v>39</v>
      </c>
      <c r="D525" s="40" t="s">
        <v>6</v>
      </c>
      <c r="E525" s="40" t="s">
        <v>379</v>
      </c>
      <c r="F525" s="40" t="s">
        <v>220</v>
      </c>
      <c r="G525" s="40" t="s">
        <v>1234</v>
      </c>
      <c r="H525" s="40" t="s">
        <v>45</v>
      </c>
      <c r="I525" s="43" t="n">
        <v>0</v>
      </c>
      <c r="J525" s="43" t="n">
        <v>0</v>
      </c>
      <c r="K525" s="43" t="n">
        <v>0</v>
      </c>
      <c r="L525" s="43" t="n">
        <v>0</v>
      </c>
      <c r="M525" s="43" t="n">
        <v>0</v>
      </c>
      <c r="N525" s="43" t="n">
        <v>0</v>
      </c>
      <c r="O525" s="43" t="n">
        <v>0</v>
      </c>
      <c r="P525" s="43" t="n">
        <v>0</v>
      </c>
      <c r="Q525" s="43" t="n">
        <v>0</v>
      </c>
      <c r="R525" s="43" t="n">
        <v>33</v>
      </c>
      <c r="S525" s="43" t="n">
        <v>0</v>
      </c>
      <c r="T525" s="43" t="n">
        <v>0</v>
      </c>
      <c r="U525" s="42" t="n">
        <f aca="false">SUM(I525:T525)</f>
        <v>33</v>
      </c>
    </row>
    <row r="526" customFormat="false" ht="15" hidden="false" customHeight="false" outlineLevel="0" collapsed="false">
      <c r="A526" s="40" t="s">
        <v>1235</v>
      </c>
      <c r="B526" s="40" t="s">
        <v>219</v>
      </c>
      <c r="C526" s="40" t="s">
        <v>39</v>
      </c>
      <c r="D526" s="40" t="s">
        <v>6</v>
      </c>
      <c r="E526" s="40" t="s">
        <v>379</v>
      </c>
      <c r="F526" s="40" t="s">
        <v>220</v>
      </c>
      <c r="G526" s="40" t="s">
        <v>1236</v>
      </c>
      <c r="H526" s="40" t="s">
        <v>45</v>
      </c>
      <c r="I526" s="43" t="n">
        <v>0</v>
      </c>
      <c r="J526" s="43" t="n">
        <v>0</v>
      </c>
      <c r="K526" s="43" t="n">
        <v>0</v>
      </c>
      <c r="L526" s="43" t="n">
        <v>0</v>
      </c>
      <c r="M526" s="43" t="n">
        <v>0</v>
      </c>
      <c r="N526" s="43" t="n">
        <v>16</v>
      </c>
      <c r="O526" s="43" t="n">
        <v>0</v>
      </c>
      <c r="P526" s="43" t="n">
        <v>0</v>
      </c>
      <c r="Q526" s="43" t="n">
        <v>0</v>
      </c>
      <c r="R526" s="43" t="n">
        <v>16</v>
      </c>
      <c r="S526" s="43" t="n">
        <v>16</v>
      </c>
      <c r="T526" s="43" t="n">
        <v>0</v>
      </c>
      <c r="U526" s="42" t="n">
        <f aca="false">SUM(I526:T526)</f>
        <v>48</v>
      </c>
    </row>
    <row r="527" customFormat="false" ht="15" hidden="false" customHeight="false" outlineLevel="0" collapsed="false">
      <c r="A527" s="40" t="s">
        <v>1237</v>
      </c>
      <c r="B527" s="40" t="s">
        <v>219</v>
      </c>
      <c r="C527" s="40" t="s">
        <v>39</v>
      </c>
      <c r="D527" s="40" t="s">
        <v>6</v>
      </c>
      <c r="E527" s="40" t="s">
        <v>379</v>
      </c>
      <c r="F527" s="40" t="s">
        <v>220</v>
      </c>
      <c r="G527" s="40" t="s">
        <v>407</v>
      </c>
      <c r="H527" s="40" t="s">
        <v>45</v>
      </c>
      <c r="I527" s="43" t="n">
        <v>0</v>
      </c>
      <c r="J527" s="43" t="n">
        <v>0</v>
      </c>
      <c r="K527" s="43" t="n">
        <v>0</v>
      </c>
      <c r="L527" s="43" t="n">
        <v>0</v>
      </c>
      <c r="M527" s="43" t="n">
        <v>0</v>
      </c>
      <c r="N527" s="43" t="n">
        <v>0</v>
      </c>
      <c r="O527" s="43" t="n">
        <v>0</v>
      </c>
      <c r="P527" s="43" t="n">
        <v>0</v>
      </c>
      <c r="Q527" s="43" t="n">
        <v>0</v>
      </c>
      <c r="R527" s="43" t="n">
        <v>6</v>
      </c>
      <c r="S527" s="43" t="n">
        <v>0</v>
      </c>
      <c r="T527" s="43" t="n">
        <v>0</v>
      </c>
      <c r="U527" s="42" t="n">
        <f aca="false">SUM(I527:T527)</f>
        <v>6</v>
      </c>
    </row>
    <row r="528" customFormat="false" ht="15" hidden="false" customHeight="false" outlineLevel="0" collapsed="false">
      <c r="A528" s="40" t="s">
        <v>1238</v>
      </c>
      <c r="B528" s="40" t="s">
        <v>219</v>
      </c>
      <c r="C528" s="40" t="s">
        <v>39</v>
      </c>
      <c r="D528" s="40" t="s">
        <v>6</v>
      </c>
      <c r="E528" s="40" t="s">
        <v>379</v>
      </c>
      <c r="F528" s="40" t="s">
        <v>220</v>
      </c>
      <c r="G528" s="40" t="s">
        <v>411</v>
      </c>
      <c r="H528" s="40" t="s">
        <v>45</v>
      </c>
      <c r="I528" s="43" t="n">
        <v>0</v>
      </c>
      <c r="J528" s="43" t="n">
        <v>0</v>
      </c>
      <c r="K528" s="43" t="n">
        <v>0</v>
      </c>
      <c r="L528" s="43" t="n">
        <v>0</v>
      </c>
      <c r="M528" s="43" t="n">
        <v>0</v>
      </c>
      <c r="N528" s="43" t="n">
        <v>0</v>
      </c>
      <c r="O528" s="43" t="n">
        <v>0</v>
      </c>
      <c r="P528" s="43" t="n">
        <v>0</v>
      </c>
      <c r="Q528" s="43" t="n">
        <v>0</v>
      </c>
      <c r="R528" s="43" t="n">
        <v>4</v>
      </c>
      <c r="S528" s="43" t="n">
        <v>0</v>
      </c>
      <c r="T528" s="43" t="n">
        <v>0</v>
      </c>
      <c r="U528" s="42" t="n">
        <f aca="false">SUM(I528:T528)</f>
        <v>4</v>
      </c>
    </row>
    <row r="529" customFormat="false" ht="15" hidden="false" customHeight="false" outlineLevel="0" collapsed="false">
      <c r="A529" s="40" t="s">
        <v>1239</v>
      </c>
      <c r="B529" s="40" t="s">
        <v>222</v>
      </c>
      <c r="C529" s="40" t="s">
        <v>39</v>
      </c>
      <c r="D529" s="40" t="s">
        <v>6</v>
      </c>
      <c r="E529" s="40" t="s">
        <v>379</v>
      </c>
      <c r="F529" s="40" t="s">
        <v>223</v>
      </c>
      <c r="G529" s="40" t="s">
        <v>1240</v>
      </c>
      <c r="H529" s="40" t="s">
        <v>45</v>
      </c>
      <c r="I529" s="43" t="n">
        <v>0</v>
      </c>
      <c r="J529" s="43" t="n">
        <v>0</v>
      </c>
      <c r="K529" s="43" t="n">
        <v>0</v>
      </c>
      <c r="L529" s="43" t="n">
        <v>0</v>
      </c>
      <c r="M529" s="43" t="n">
        <v>0</v>
      </c>
      <c r="N529" s="43" t="n">
        <v>0</v>
      </c>
      <c r="O529" s="43" t="n">
        <v>0</v>
      </c>
      <c r="P529" s="43" t="n">
        <v>0</v>
      </c>
      <c r="Q529" s="43" t="n">
        <v>0</v>
      </c>
      <c r="R529" s="43" t="n">
        <v>12</v>
      </c>
      <c r="S529" s="43" t="n">
        <v>0</v>
      </c>
      <c r="T529" s="43" t="n">
        <v>0</v>
      </c>
      <c r="U529" s="42" t="n">
        <f aca="false">SUM(I529:T529)</f>
        <v>12</v>
      </c>
    </row>
    <row r="530" customFormat="false" ht="15" hidden="false" customHeight="false" outlineLevel="0" collapsed="false">
      <c r="A530" s="40" t="s">
        <v>1241</v>
      </c>
      <c r="B530" s="40" t="s">
        <v>222</v>
      </c>
      <c r="C530" s="40" t="s">
        <v>39</v>
      </c>
      <c r="D530" s="40" t="s">
        <v>6</v>
      </c>
      <c r="E530" s="40" t="s">
        <v>379</v>
      </c>
      <c r="F530" s="40" t="s">
        <v>223</v>
      </c>
      <c r="G530" s="40" t="s">
        <v>1242</v>
      </c>
      <c r="H530" s="40" t="s">
        <v>45</v>
      </c>
      <c r="I530" s="43" t="n">
        <v>0</v>
      </c>
      <c r="J530" s="43" t="n">
        <v>0</v>
      </c>
      <c r="K530" s="43" t="n">
        <v>0</v>
      </c>
      <c r="L530" s="43" t="n">
        <v>0</v>
      </c>
      <c r="M530" s="43" t="n">
        <v>12</v>
      </c>
      <c r="N530" s="43" t="n">
        <v>0</v>
      </c>
      <c r="O530" s="43" t="n">
        <v>0</v>
      </c>
      <c r="P530" s="43" t="n">
        <v>0</v>
      </c>
      <c r="Q530" s="43" t="n">
        <v>0</v>
      </c>
      <c r="R530" s="43" t="n">
        <v>12</v>
      </c>
      <c r="S530" s="43" t="n">
        <v>0</v>
      </c>
      <c r="T530" s="43" t="n">
        <v>0</v>
      </c>
      <c r="U530" s="42" t="n">
        <f aca="false">SUM(I530:T530)</f>
        <v>24</v>
      </c>
    </row>
    <row r="531" customFormat="false" ht="15" hidden="false" customHeight="false" outlineLevel="0" collapsed="false">
      <c r="A531" s="40" t="s">
        <v>1243</v>
      </c>
      <c r="B531" s="40" t="s">
        <v>222</v>
      </c>
      <c r="C531" s="40" t="s">
        <v>39</v>
      </c>
      <c r="D531" s="40" t="s">
        <v>6</v>
      </c>
      <c r="E531" s="40" t="s">
        <v>379</v>
      </c>
      <c r="F531" s="40" t="s">
        <v>223</v>
      </c>
      <c r="G531" s="40" t="s">
        <v>1244</v>
      </c>
      <c r="H531" s="40" t="s">
        <v>45</v>
      </c>
      <c r="I531" s="43" t="n">
        <v>12</v>
      </c>
      <c r="J531" s="43" t="n">
        <v>0</v>
      </c>
      <c r="K531" s="43" t="n">
        <v>0</v>
      </c>
      <c r="L531" s="43" t="n">
        <v>0</v>
      </c>
      <c r="M531" s="43" t="n">
        <v>0</v>
      </c>
      <c r="N531" s="43" t="n">
        <v>0</v>
      </c>
      <c r="O531" s="43" t="n">
        <v>0</v>
      </c>
      <c r="P531" s="43" t="n">
        <v>0</v>
      </c>
      <c r="Q531" s="43" t="n">
        <v>0</v>
      </c>
      <c r="R531" s="43" t="n">
        <v>0</v>
      </c>
      <c r="S531" s="43" t="n">
        <v>0</v>
      </c>
      <c r="T531" s="43" t="n">
        <v>0</v>
      </c>
      <c r="U531" s="42" t="n">
        <f aca="false">SUM(I531:T531)</f>
        <v>12</v>
      </c>
    </row>
    <row r="532" customFormat="false" ht="15" hidden="false" customHeight="false" outlineLevel="0" collapsed="false">
      <c r="A532" s="40" t="s">
        <v>1245</v>
      </c>
      <c r="B532" s="40" t="s">
        <v>222</v>
      </c>
      <c r="C532" s="40" t="s">
        <v>39</v>
      </c>
      <c r="D532" s="40" t="s">
        <v>6</v>
      </c>
      <c r="E532" s="40" t="s">
        <v>379</v>
      </c>
      <c r="F532" s="40" t="s">
        <v>223</v>
      </c>
      <c r="G532" s="40" t="s">
        <v>407</v>
      </c>
      <c r="H532" s="40" t="s">
        <v>45</v>
      </c>
      <c r="I532" s="43" t="n">
        <v>0</v>
      </c>
      <c r="J532" s="43" t="n">
        <v>0</v>
      </c>
      <c r="K532" s="43" t="n">
        <v>0</v>
      </c>
      <c r="L532" s="43" t="n">
        <v>0</v>
      </c>
      <c r="M532" s="43" t="n">
        <v>0</v>
      </c>
      <c r="N532" s="43" t="n">
        <v>0</v>
      </c>
      <c r="O532" s="43" t="n">
        <v>0</v>
      </c>
      <c r="P532" s="43" t="n">
        <v>0</v>
      </c>
      <c r="Q532" s="43" t="n">
        <v>0</v>
      </c>
      <c r="R532" s="43" t="n">
        <v>3</v>
      </c>
      <c r="S532" s="43" t="n">
        <v>0</v>
      </c>
      <c r="T532" s="43" t="n">
        <v>0</v>
      </c>
      <c r="U532" s="42" t="n">
        <f aca="false">SUM(I532:T532)</f>
        <v>3</v>
      </c>
    </row>
    <row r="533" customFormat="false" ht="23.85" hidden="false" customHeight="false" outlineLevel="0" collapsed="false">
      <c r="A533" s="40" t="s">
        <v>1246</v>
      </c>
      <c r="B533" s="40" t="s">
        <v>277</v>
      </c>
      <c r="C533" s="40" t="s">
        <v>39</v>
      </c>
      <c r="D533" s="40" t="s">
        <v>7</v>
      </c>
      <c r="E533" s="40" t="s">
        <v>380</v>
      </c>
      <c r="F533" s="40" t="s">
        <v>278</v>
      </c>
      <c r="G533" s="40" t="s">
        <v>1247</v>
      </c>
      <c r="H533" s="40" t="s">
        <v>45</v>
      </c>
      <c r="I533" s="43" t="n">
        <v>0</v>
      </c>
      <c r="J533" s="43" t="n">
        <v>0</v>
      </c>
      <c r="K533" s="43" t="n">
        <v>0</v>
      </c>
      <c r="L533" s="43" t="n">
        <v>0</v>
      </c>
      <c r="M533" s="43" t="n">
        <v>0</v>
      </c>
      <c r="N533" s="43" t="n">
        <v>0</v>
      </c>
      <c r="O533" s="43" t="n">
        <v>0</v>
      </c>
      <c r="P533" s="43" t="n">
        <v>0</v>
      </c>
      <c r="Q533" s="43" t="n">
        <v>0</v>
      </c>
      <c r="R533" s="43" t="n">
        <v>49</v>
      </c>
      <c r="S533" s="43" t="n">
        <v>0</v>
      </c>
      <c r="T533" s="43" t="n">
        <v>0</v>
      </c>
      <c r="U533" s="42" t="n">
        <f aca="false">SUM(I533:T533)</f>
        <v>49</v>
      </c>
    </row>
    <row r="534" customFormat="false" ht="23.85" hidden="false" customHeight="false" outlineLevel="0" collapsed="false">
      <c r="A534" s="40" t="s">
        <v>1248</v>
      </c>
      <c r="B534" s="40" t="s">
        <v>277</v>
      </c>
      <c r="C534" s="40" t="s">
        <v>39</v>
      </c>
      <c r="D534" s="40" t="s">
        <v>7</v>
      </c>
      <c r="E534" s="40" t="s">
        <v>380</v>
      </c>
      <c r="F534" s="40" t="s">
        <v>278</v>
      </c>
      <c r="G534" s="40" t="s">
        <v>1249</v>
      </c>
      <c r="H534" s="40" t="s">
        <v>45</v>
      </c>
      <c r="I534" s="43" t="n">
        <v>0</v>
      </c>
      <c r="J534" s="43" t="n">
        <v>0</v>
      </c>
      <c r="K534" s="43" t="n">
        <v>0</v>
      </c>
      <c r="L534" s="43" t="n">
        <v>0</v>
      </c>
      <c r="M534" s="43" t="n">
        <v>0</v>
      </c>
      <c r="N534" s="43" t="n">
        <v>73</v>
      </c>
      <c r="O534" s="43" t="n">
        <v>49</v>
      </c>
      <c r="P534" s="43" t="n">
        <v>0</v>
      </c>
      <c r="Q534" s="43" t="n">
        <v>0</v>
      </c>
      <c r="R534" s="43" t="n">
        <v>0</v>
      </c>
      <c r="S534" s="43" t="n">
        <v>0</v>
      </c>
      <c r="T534" s="43" t="n">
        <v>0</v>
      </c>
      <c r="U534" s="42" t="n">
        <f aca="false">SUM(I534:T534)</f>
        <v>122</v>
      </c>
    </row>
    <row r="535" customFormat="false" ht="23.85" hidden="false" customHeight="false" outlineLevel="0" collapsed="false">
      <c r="A535" s="40" t="s">
        <v>1250</v>
      </c>
      <c r="B535" s="40" t="s">
        <v>277</v>
      </c>
      <c r="C535" s="40" t="s">
        <v>39</v>
      </c>
      <c r="D535" s="40" t="s">
        <v>7</v>
      </c>
      <c r="E535" s="40" t="s">
        <v>380</v>
      </c>
      <c r="F535" s="40" t="s">
        <v>278</v>
      </c>
      <c r="G535" s="40" t="s">
        <v>1251</v>
      </c>
      <c r="H535" s="40" t="s">
        <v>45</v>
      </c>
      <c r="I535" s="43" t="n">
        <v>0</v>
      </c>
      <c r="J535" s="43" t="n">
        <v>0</v>
      </c>
      <c r="K535" s="43" t="n">
        <v>0</v>
      </c>
      <c r="L535" s="43" t="n">
        <v>0</v>
      </c>
      <c r="M535" s="43" t="n">
        <v>0</v>
      </c>
      <c r="N535" s="43" t="n">
        <v>61</v>
      </c>
      <c r="O535" s="43" t="n">
        <v>49</v>
      </c>
      <c r="P535" s="43" t="n">
        <v>0</v>
      </c>
      <c r="Q535" s="43" t="n">
        <v>0</v>
      </c>
      <c r="R535" s="43" t="n">
        <v>0</v>
      </c>
      <c r="S535" s="43" t="n">
        <v>0</v>
      </c>
      <c r="T535" s="43" t="n">
        <v>0</v>
      </c>
      <c r="U535" s="42" t="n">
        <f aca="false">SUM(I535:T535)</f>
        <v>110</v>
      </c>
    </row>
    <row r="536" customFormat="false" ht="23.85" hidden="false" customHeight="false" outlineLevel="0" collapsed="false">
      <c r="A536" s="40" t="s">
        <v>1252</v>
      </c>
      <c r="B536" s="40" t="s">
        <v>277</v>
      </c>
      <c r="C536" s="40" t="s">
        <v>39</v>
      </c>
      <c r="D536" s="40" t="s">
        <v>7</v>
      </c>
      <c r="E536" s="40" t="s">
        <v>380</v>
      </c>
      <c r="F536" s="40" t="s">
        <v>278</v>
      </c>
      <c r="G536" s="40" t="s">
        <v>1253</v>
      </c>
      <c r="H536" s="40" t="s">
        <v>45</v>
      </c>
      <c r="I536" s="43" t="n">
        <v>0</v>
      </c>
      <c r="J536" s="43" t="n">
        <v>0</v>
      </c>
      <c r="K536" s="43" t="n">
        <v>0</v>
      </c>
      <c r="L536" s="43" t="n">
        <v>0</v>
      </c>
      <c r="M536" s="43" t="n">
        <v>0</v>
      </c>
      <c r="N536" s="43" t="n">
        <v>49</v>
      </c>
      <c r="O536" s="43" t="n">
        <v>24</v>
      </c>
      <c r="P536" s="43" t="n">
        <v>0</v>
      </c>
      <c r="Q536" s="43" t="n">
        <v>0</v>
      </c>
      <c r="R536" s="43" t="n">
        <v>0</v>
      </c>
      <c r="S536" s="43" t="n">
        <v>0</v>
      </c>
      <c r="T536" s="43" t="n">
        <v>0</v>
      </c>
      <c r="U536" s="42" t="n">
        <f aca="false">SUM(I536:T536)</f>
        <v>73</v>
      </c>
    </row>
    <row r="537" customFormat="false" ht="23.85" hidden="false" customHeight="false" outlineLevel="0" collapsed="false">
      <c r="A537" s="40" t="s">
        <v>1254</v>
      </c>
      <c r="B537" s="40" t="s">
        <v>277</v>
      </c>
      <c r="C537" s="40" t="s">
        <v>39</v>
      </c>
      <c r="D537" s="40" t="s">
        <v>7</v>
      </c>
      <c r="E537" s="40" t="s">
        <v>380</v>
      </c>
      <c r="F537" s="40" t="s">
        <v>278</v>
      </c>
      <c r="G537" s="40" t="s">
        <v>1255</v>
      </c>
      <c r="H537" s="40" t="s">
        <v>45</v>
      </c>
      <c r="I537" s="43" t="n">
        <v>0</v>
      </c>
      <c r="J537" s="43" t="n">
        <v>0</v>
      </c>
      <c r="K537" s="43" t="n">
        <v>0</v>
      </c>
      <c r="L537" s="43" t="n">
        <v>0</v>
      </c>
      <c r="M537" s="43" t="n">
        <v>0</v>
      </c>
      <c r="N537" s="43" t="n">
        <v>73</v>
      </c>
      <c r="O537" s="43" t="n">
        <v>0</v>
      </c>
      <c r="P537" s="43" t="n">
        <v>0</v>
      </c>
      <c r="Q537" s="43" t="n">
        <v>0</v>
      </c>
      <c r="R537" s="43" t="n">
        <v>0</v>
      </c>
      <c r="S537" s="43" t="n">
        <v>0</v>
      </c>
      <c r="T537" s="43" t="n">
        <v>0</v>
      </c>
      <c r="U537" s="42" t="n">
        <f aca="false">SUM(I537:T537)</f>
        <v>73</v>
      </c>
    </row>
    <row r="538" customFormat="false" ht="23.85" hidden="false" customHeight="false" outlineLevel="0" collapsed="false">
      <c r="A538" s="40" t="s">
        <v>1256</v>
      </c>
      <c r="B538" s="40" t="s">
        <v>277</v>
      </c>
      <c r="C538" s="40" t="s">
        <v>39</v>
      </c>
      <c r="D538" s="40" t="s">
        <v>7</v>
      </c>
      <c r="E538" s="40" t="s">
        <v>380</v>
      </c>
      <c r="F538" s="40" t="s">
        <v>278</v>
      </c>
      <c r="G538" s="40" t="s">
        <v>1257</v>
      </c>
      <c r="H538" s="40" t="s">
        <v>45</v>
      </c>
      <c r="I538" s="43" t="n">
        <v>0</v>
      </c>
      <c r="J538" s="43" t="n">
        <v>0</v>
      </c>
      <c r="K538" s="43" t="n">
        <v>0</v>
      </c>
      <c r="L538" s="43" t="n">
        <v>0</v>
      </c>
      <c r="M538" s="43" t="n">
        <v>0</v>
      </c>
      <c r="N538" s="43" t="n">
        <v>37</v>
      </c>
      <c r="O538" s="43" t="n">
        <v>0</v>
      </c>
      <c r="P538" s="43" t="n">
        <v>0</v>
      </c>
      <c r="Q538" s="43" t="n">
        <v>49</v>
      </c>
      <c r="R538" s="43" t="n">
        <v>0</v>
      </c>
      <c r="S538" s="43" t="n">
        <v>0</v>
      </c>
      <c r="T538" s="43" t="n">
        <v>0</v>
      </c>
      <c r="U538" s="42" t="n">
        <f aca="false">SUM(I538:T538)</f>
        <v>86</v>
      </c>
    </row>
    <row r="539" customFormat="false" ht="23.85" hidden="false" customHeight="false" outlineLevel="0" collapsed="false">
      <c r="A539" s="40" t="s">
        <v>1258</v>
      </c>
      <c r="B539" s="40" t="s">
        <v>277</v>
      </c>
      <c r="C539" s="40" t="s">
        <v>39</v>
      </c>
      <c r="D539" s="40" t="s">
        <v>7</v>
      </c>
      <c r="E539" s="40" t="s">
        <v>380</v>
      </c>
      <c r="F539" s="40" t="s">
        <v>278</v>
      </c>
      <c r="G539" s="40" t="s">
        <v>1259</v>
      </c>
      <c r="H539" s="40" t="s">
        <v>45</v>
      </c>
      <c r="I539" s="43" t="n">
        <v>0</v>
      </c>
      <c r="J539" s="43" t="n">
        <v>0</v>
      </c>
      <c r="K539" s="43" t="n">
        <v>0</v>
      </c>
      <c r="L539" s="43" t="n">
        <v>0</v>
      </c>
      <c r="M539" s="43" t="n">
        <v>0</v>
      </c>
      <c r="N539" s="43" t="n">
        <v>0</v>
      </c>
      <c r="O539" s="43" t="n">
        <v>0</v>
      </c>
      <c r="P539" s="43" t="n">
        <v>0</v>
      </c>
      <c r="Q539" s="43" t="n">
        <v>24</v>
      </c>
      <c r="R539" s="43" t="n">
        <v>0</v>
      </c>
      <c r="S539" s="43" t="n">
        <v>0</v>
      </c>
      <c r="T539" s="43" t="n">
        <v>0</v>
      </c>
      <c r="U539" s="42" t="n">
        <f aca="false">SUM(I539:T539)</f>
        <v>24</v>
      </c>
    </row>
    <row r="540" customFormat="false" ht="23.85" hidden="false" customHeight="false" outlineLevel="0" collapsed="false">
      <c r="A540" s="40" t="s">
        <v>1260</v>
      </c>
      <c r="B540" s="40" t="s">
        <v>277</v>
      </c>
      <c r="C540" s="40" t="s">
        <v>39</v>
      </c>
      <c r="D540" s="40" t="s">
        <v>7</v>
      </c>
      <c r="E540" s="40" t="s">
        <v>380</v>
      </c>
      <c r="F540" s="40" t="s">
        <v>278</v>
      </c>
      <c r="G540" s="40" t="s">
        <v>1261</v>
      </c>
      <c r="H540" s="40" t="s">
        <v>45</v>
      </c>
      <c r="I540" s="43" t="n">
        <v>0</v>
      </c>
      <c r="J540" s="43" t="n">
        <v>0</v>
      </c>
      <c r="K540" s="43" t="n">
        <v>0</v>
      </c>
      <c r="L540" s="43" t="n">
        <v>0</v>
      </c>
      <c r="M540" s="43" t="n">
        <v>0</v>
      </c>
      <c r="N540" s="43" t="n">
        <v>0</v>
      </c>
      <c r="O540" s="43" t="n">
        <v>24</v>
      </c>
      <c r="P540" s="43" t="n">
        <v>0</v>
      </c>
      <c r="Q540" s="43" t="n">
        <v>0</v>
      </c>
      <c r="R540" s="43" t="n">
        <v>49</v>
      </c>
      <c r="S540" s="43" t="n">
        <v>98</v>
      </c>
      <c r="T540" s="43" t="n">
        <v>0</v>
      </c>
      <c r="U540" s="42" t="n">
        <f aca="false">SUM(I540:T540)</f>
        <v>171</v>
      </c>
    </row>
    <row r="541" customFormat="false" ht="23.85" hidden="false" customHeight="false" outlineLevel="0" collapsed="false">
      <c r="A541" s="40" t="s">
        <v>1262</v>
      </c>
      <c r="B541" s="40" t="s">
        <v>277</v>
      </c>
      <c r="C541" s="40" t="s">
        <v>39</v>
      </c>
      <c r="D541" s="40" t="s">
        <v>7</v>
      </c>
      <c r="E541" s="40" t="s">
        <v>380</v>
      </c>
      <c r="F541" s="40" t="s">
        <v>278</v>
      </c>
      <c r="G541" s="40" t="s">
        <v>407</v>
      </c>
      <c r="H541" s="40" t="s">
        <v>45</v>
      </c>
      <c r="I541" s="43" t="n">
        <v>0</v>
      </c>
      <c r="J541" s="43" t="n">
        <v>0</v>
      </c>
      <c r="K541" s="43" t="n">
        <v>0</v>
      </c>
      <c r="L541" s="43" t="n">
        <v>0</v>
      </c>
      <c r="M541" s="43" t="n">
        <v>43</v>
      </c>
      <c r="N541" s="43" t="n">
        <v>0</v>
      </c>
      <c r="O541" s="43" t="n">
        <v>0</v>
      </c>
      <c r="P541" s="43" t="n">
        <v>0</v>
      </c>
      <c r="Q541" s="43" t="n">
        <v>0</v>
      </c>
      <c r="R541" s="43" t="n">
        <v>0</v>
      </c>
      <c r="S541" s="43" t="n">
        <v>0</v>
      </c>
      <c r="T541" s="43" t="n">
        <v>0</v>
      </c>
      <c r="U541" s="42" t="n">
        <f aca="false">SUM(I541:T541)</f>
        <v>43</v>
      </c>
    </row>
    <row r="542" customFormat="false" ht="23.85" hidden="false" customHeight="false" outlineLevel="0" collapsed="false">
      <c r="A542" s="40" t="s">
        <v>1263</v>
      </c>
      <c r="B542" s="40" t="s">
        <v>277</v>
      </c>
      <c r="C542" s="40" t="s">
        <v>39</v>
      </c>
      <c r="D542" s="40" t="s">
        <v>7</v>
      </c>
      <c r="E542" s="40" t="s">
        <v>380</v>
      </c>
      <c r="F542" s="40" t="s">
        <v>278</v>
      </c>
      <c r="G542" s="40" t="s">
        <v>409</v>
      </c>
      <c r="H542" s="40" t="s">
        <v>45</v>
      </c>
      <c r="I542" s="43" t="n">
        <v>0</v>
      </c>
      <c r="J542" s="43" t="n">
        <v>0</v>
      </c>
      <c r="K542" s="43" t="n">
        <v>28</v>
      </c>
      <c r="L542" s="43" t="n">
        <v>0</v>
      </c>
      <c r="M542" s="43" t="n">
        <v>0</v>
      </c>
      <c r="N542" s="43" t="n">
        <v>0</v>
      </c>
      <c r="O542" s="43" t="n">
        <v>0</v>
      </c>
      <c r="P542" s="43" t="n">
        <v>0</v>
      </c>
      <c r="Q542" s="43" t="n">
        <v>0</v>
      </c>
      <c r="R542" s="43" t="n">
        <v>0</v>
      </c>
      <c r="S542" s="43" t="n">
        <v>0</v>
      </c>
      <c r="T542" s="43" t="n">
        <v>0</v>
      </c>
      <c r="U542" s="42" t="n">
        <f aca="false">SUM(I542:T542)</f>
        <v>28</v>
      </c>
    </row>
    <row r="543" customFormat="false" ht="23.85" hidden="false" customHeight="false" outlineLevel="0" collapsed="false">
      <c r="A543" s="40" t="s">
        <v>1264</v>
      </c>
      <c r="B543" s="40" t="s">
        <v>277</v>
      </c>
      <c r="C543" s="40" t="s">
        <v>39</v>
      </c>
      <c r="D543" s="40" t="s">
        <v>7</v>
      </c>
      <c r="E543" s="40" t="s">
        <v>380</v>
      </c>
      <c r="F543" s="40" t="s">
        <v>278</v>
      </c>
      <c r="G543" s="40" t="s">
        <v>411</v>
      </c>
      <c r="H543" s="40" t="s">
        <v>45</v>
      </c>
      <c r="I543" s="43" t="n">
        <v>0</v>
      </c>
      <c r="J543" s="43" t="n">
        <v>0</v>
      </c>
      <c r="K543" s="43" t="n">
        <v>0</v>
      </c>
      <c r="L543" s="43" t="n">
        <v>0</v>
      </c>
      <c r="M543" s="43" t="n">
        <v>0</v>
      </c>
      <c r="N543" s="43" t="n">
        <v>28</v>
      </c>
      <c r="O543" s="43" t="n">
        <v>0</v>
      </c>
      <c r="P543" s="43" t="n">
        <v>0</v>
      </c>
      <c r="Q543" s="43" t="n">
        <v>0</v>
      </c>
      <c r="R543" s="43" t="n">
        <v>0</v>
      </c>
      <c r="S543" s="43" t="n">
        <v>0</v>
      </c>
      <c r="T543" s="43" t="n">
        <v>0</v>
      </c>
      <c r="U543" s="42" t="n">
        <f aca="false">SUM(I543:T543)</f>
        <v>28</v>
      </c>
    </row>
    <row r="544" customFormat="false" ht="23.85" hidden="false" customHeight="false" outlineLevel="0" collapsed="false">
      <c r="A544" s="40" t="s">
        <v>1265</v>
      </c>
      <c r="B544" s="40" t="s">
        <v>277</v>
      </c>
      <c r="C544" s="40" t="s">
        <v>39</v>
      </c>
      <c r="D544" s="40" t="s">
        <v>7</v>
      </c>
      <c r="E544" s="40" t="s">
        <v>380</v>
      </c>
      <c r="F544" s="40" t="s">
        <v>278</v>
      </c>
      <c r="G544" s="40" t="s">
        <v>413</v>
      </c>
      <c r="H544" s="40" t="s">
        <v>45</v>
      </c>
      <c r="I544" s="43" t="n">
        <v>0</v>
      </c>
      <c r="J544" s="43" t="n">
        <v>0</v>
      </c>
      <c r="K544" s="43" t="n">
        <v>0</v>
      </c>
      <c r="L544" s="43" t="n">
        <v>0</v>
      </c>
      <c r="M544" s="43" t="n">
        <v>0</v>
      </c>
      <c r="N544" s="43" t="n">
        <v>57</v>
      </c>
      <c r="O544" s="43" t="n">
        <v>0</v>
      </c>
      <c r="P544" s="43" t="n">
        <v>0</v>
      </c>
      <c r="Q544" s="43" t="n">
        <v>0</v>
      </c>
      <c r="R544" s="43" t="n">
        <v>0</v>
      </c>
      <c r="S544" s="43" t="n">
        <v>0</v>
      </c>
      <c r="T544" s="43" t="n">
        <v>0</v>
      </c>
      <c r="U544" s="42" t="n">
        <f aca="false">SUM(I544:T544)</f>
        <v>57</v>
      </c>
    </row>
    <row r="545" customFormat="false" ht="15" hidden="false" customHeight="false" outlineLevel="0" collapsed="false">
      <c r="A545" s="40" t="s">
        <v>1266</v>
      </c>
      <c r="B545" s="40" t="s">
        <v>280</v>
      </c>
      <c r="C545" s="40" t="s">
        <v>39</v>
      </c>
      <c r="D545" s="40" t="s">
        <v>7</v>
      </c>
      <c r="E545" s="40" t="s">
        <v>380</v>
      </c>
      <c r="F545" s="40" t="s">
        <v>281</v>
      </c>
      <c r="G545" s="40" t="s">
        <v>1267</v>
      </c>
      <c r="H545" s="40" t="s">
        <v>45</v>
      </c>
      <c r="I545" s="43" t="n">
        <v>0</v>
      </c>
      <c r="J545" s="43" t="n">
        <v>0</v>
      </c>
      <c r="K545" s="43" t="n">
        <v>0</v>
      </c>
      <c r="L545" s="43" t="n">
        <v>0</v>
      </c>
      <c r="M545" s="43" t="n">
        <v>0</v>
      </c>
      <c r="N545" s="43" t="n">
        <v>0</v>
      </c>
      <c r="O545" s="43" t="n">
        <v>0</v>
      </c>
      <c r="P545" s="43" t="n">
        <v>0</v>
      </c>
      <c r="Q545" s="43" t="n">
        <v>0</v>
      </c>
      <c r="R545" s="43" t="n">
        <v>49</v>
      </c>
      <c r="S545" s="43" t="n">
        <v>0</v>
      </c>
      <c r="T545" s="43" t="n">
        <v>0</v>
      </c>
      <c r="U545" s="42" t="n">
        <f aca="false">SUM(I545:T545)</f>
        <v>49</v>
      </c>
    </row>
    <row r="546" customFormat="false" ht="15" hidden="false" customHeight="false" outlineLevel="0" collapsed="false">
      <c r="A546" s="40" t="s">
        <v>1268</v>
      </c>
      <c r="B546" s="40" t="s">
        <v>280</v>
      </c>
      <c r="C546" s="40" t="s">
        <v>39</v>
      </c>
      <c r="D546" s="40" t="s">
        <v>7</v>
      </c>
      <c r="E546" s="40" t="s">
        <v>380</v>
      </c>
      <c r="F546" s="40" t="s">
        <v>281</v>
      </c>
      <c r="G546" s="40" t="s">
        <v>1269</v>
      </c>
      <c r="H546" s="40" t="s">
        <v>45</v>
      </c>
      <c r="I546" s="43" t="n">
        <v>0</v>
      </c>
      <c r="J546" s="43" t="n">
        <v>0</v>
      </c>
      <c r="K546" s="43" t="n">
        <v>0</v>
      </c>
      <c r="L546" s="43" t="n">
        <v>0</v>
      </c>
      <c r="M546" s="43" t="n">
        <v>0</v>
      </c>
      <c r="N546" s="43" t="n">
        <v>0</v>
      </c>
      <c r="O546" s="43" t="n">
        <v>73</v>
      </c>
      <c r="P546" s="43" t="n">
        <v>0</v>
      </c>
      <c r="Q546" s="43" t="n">
        <v>0</v>
      </c>
      <c r="R546" s="43" t="n">
        <v>0</v>
      </c>
      <c r="S546" s="43" t="n">
        <v>0</v>
      </c>
      <c r="T546" s="43" t="n">
        <v>0</v>
      </c>
      <c r="U546" s="42" t="n">
        <f aca="false">SUM(I546:T546)</f>
        <v>73</v>
      </c>
    </row>
    <row r="547" customFormat="false" ht="15" hidden="false" customHeight="false" outlineLevel="0" collapsed="false">
      <c r="A547" s="40" t="s">
        <v>1270</v>
      </c>
      <c r="B547" s="40" t="s">
        <v>280</v>
      </c>
      <c r="C547" s="40" t="s">
        <v>39</v>
      </c>
      <c r="D547" s="40" t="s">
        <v>7</v>
      </c>
      <c r="E547" s="40" t="s">
        <v>380</v>
      </c>
      <c r="F547" s="40" t="s">
        <v>281</v>
      </c>
      <c r="G547" s="40" t="s">
        <v>1271</v>
      </c>
      <c r="H547" s="40" t="s">
        <v>45</v>
      </c>
      <c r="I547" s="43" t="n">
        <v>0</v>
      </c>
      <c r="J547" s="43" t="n">
        <v>0</v>
      </c>
      <c r="K547" s="43" t="n">
        <v>0</v>
      </c>
      <c r="L547" s="43" t="n">
        <v>0</v>
      </c>
      <c r="M547" s="43" t="n">
        <v>0</v>
      </c>
      <c r="N547" s="43" t="n">
        <v>98</v>
      </c>
      <c r="O547" s="43" t="n">
        <v>0</v>
      </c>
      <c r="P547" s="43" t="n">
        <v>0</v>
      </c>
      <c r="Q547" s="43" t="n">
        <v>0</v>
      </c>
      <c r="R547" s="43" t="n">
        <v>0</v>
      </c>
      <c r="S547" s="43" t="n">
        <v>0</v>
      </c>
      <c r="T547" s="43" t="n">
        <v>0</v>
      </c>
      <c r="U547" s="42" t="n">
        <f aca="false">SUM(I547:T547)</f>
        <v>98</v>
      </c>
    </row>
    <row r="548" customFormat="false" ht="15" hidden="false" customHeight="false" outlineLevel="0" collapsed="false">
      <c r="A548" s="40" t="s">
        <v>1272</v>
      </c>
      <c r="B548" s="40" t="s">
        <v>280</v>
      </c>
      <c r="C548" s="40" t="s">
        <v>39</v>
      </c>
      <c r="D548" s="40" t="s">
        <v>7</v>
      </c>
      <c r="E548" s="40" t="s">
        <v>380</v>
      </c>
      <c r="F548" s="40" t="s">
        <v>281</v>
      </c>
      <c r="G548" s="40" t="s">
        <v>1273</v>
      </c>
      <c r="H548" s="40" t="s">
        <v>45</v>
      </c>
      <c r="I548" s="43" t="n">
        <v>0</v>
      </c>
      <c r="J548" s="43" t="n">
        <v>0</v>
      </c>
      <c r="K548" s="43" t="n">
        <v>0</v>
      </c>
      <c r="L548" s="43" t="n">
        <v>0</v>
      </c>
      <c r="M548" s="43" t="n">
        <v>0</v>
      </c>
      <c r="N548" s="43" t="n">
        <v>49</v>
      </c>
      <c r="O548" s="43" t="n">
        <v>24</v>
      </c>
      <c r="P548" s="43" t="n">
        <v>0</v>
      </c>
      <c r="Q548" s="43" t="n">
        <v>0</v>
      </c>
      <c r="R548" s="43" t="n">
        <v>0</v>
      </c>
      <c r="S548" s="43" t="n">
        <v>0</v>
      </c>
      <c r="T548" s="43" t="n">
        <v>0</v>
      </c>
      <c r="U548" s="42" t="n">
        <f aca="false">SUM(I548:T548)</f>
        <v>73</v>
      </c>
    </row>
    <row r="549" customFormat="false" ht="15" hidden="false" customHeight="false" outlineLevel="0" collapsed="false">
      <c r="A549" s="40" t="s">
        <v>1274</v>
      </c>
      <c r="B549" s="40" t="s">
        <v>280</v>
      </c>
      <c r="C549" s="40" t="s">
        <v>39</v>
      </c>
      <c r="D549" s="40" t="s">
        <v>7</v>
      </c>
      <c r="E549" s="40" t="s">
        <v>380</v>
      </c>
      <c r="F549" s="40" t="s">
        <v>281</v>
      </c>
      <c r="G549" s="40" t="s">
        <v>1275</v>
      </c>
      <c r="H549" s="40" t="s">
        <v>45</v>
      </c>
      <c r="I549" s="43" t="n">
        <v>0</v>
      </c>
      <c r="J549" s="43" t="n">
        <v>0</v>
      </c>
      <c r="K549" s="43" t="n">
        <v>0</v>
      </c>
      <c r="L549" s="43" t="n">
        <v>0</v>
      </c>
      <c r="M549" s="43" t="n">
        <v>0</v>
      </c>
      <c r="N549" s="43" t="n">
        <v>49</v>
      </c>
      <c r="O549" s="43" t="n">
        <v>0</v>
      </c>
      <c r="P549" s="43" t="n">
        <v>0</v>
      </c>
      <c r="Q549" s="43" t="n">
        <v>37</v>
      </c>
      <c r="R549" s="43" t="n">
        <v>0</v>
      </c>
      <c r="S549" s="43" t="n">
        <v>0</v>
      </c>
      <c r="T549" s="43" t="n">
        <v>0</v>
      </c>
      <c r="U549" s="42" t="n">
        <f aca="false">SUM(I549:T549)</f>
        <v>86</v>
      </c>
    </row>
    <row r="550" customFormat="false" ht="15" hidden="false" customHeight="false" outlineLevel="0" collapsed="false">
      <c r="A550" s="40" t="s">
        <v>1276</v>
      </c>
      <c r="B550" s="40" t="s">
        <v>280</v>
      </c>
      <c r="C550" s="40" t="s">
        <v>39</v>
      </c>
      <c r="D550" s="40" t="s">
        <v>7</v>
      </c>
      <c r="E550" s="40" t="s">
        <v>380</v>
      </c>
      <c r="F550" s="40" t="s">
        <v>281</v>
      </c>
      <c r="G550" s="40" t="s">
        <v>1277</v>
      </c>
      <c r="H550" s="40" t="s">
        <v>45</v>
      </c>
      <c r="I550" s="43" t="n">
        <v>0</v>
      </c>
      <c r="J550" s="43" t="n">
        <v>0</v>
      </c>
      <c r="K550" s="43" t="n">
        <v>0</v>
      </c>
      <c r="L550" s="43" t="n">
        <v>0</v>
      </c>
      <c r="M550" s="43" t="n">
        <v>0</v>
      </c>
      <c r="N550" s="43" t="n">
        <v>0</v>
      </c>
      <c r="O550" s="43" t="n">
        <v>0</v>
      </c>
      <c r="P550" s="43" t="n">
        <v>0</v>
      </c>
      <c r="Q550" s="43" t="n">
        <v>12</v>
      </c>
      <c r="R550" s="43" t="n">
        <v>0</v>
      </c>
      <c r="S550" s="43" t="n">
        <v>0</v>
      </c>
      <c r="T550" s="43" t="n">
        <v>0</v>
      </c>
      <c r="U550" s="42" t="n">
        <f aca="false">SUM(I550:T550)</f>
        <v>12</v>
      </c>
    </row>
    <row r="551" customFormat="false" ht="15" hidden="false" customHeight="false" outlineLevel="0" collapsed="false">
      <c r="A551" s="40" t="s">
        <v>1278</v>
      </c>
      <c r="B551" s="40" t="s">
        <v>280</v>
      </c>
      <c r="C551" s="40" t="s">
        <v>39</v>
      </c>
      <c r="D551" s="40" t="s">
        <v>7</v>
      </c>
      <c r="E551" s="40" t="s">
        <v>380</v>
      </c>
      <c r="F551" s="40" t="s">
        <v>281</v>
      </c>
      <c r="G551" s="40" t="s">
        <v>1279</v>
      </c>
      <c r="H551" s="40" t="s">
        <v>45</v>
      </c>
      <c r="I551" s="43" t="n">
        <v>0</v>
      </c>
      <c r="J551" s="43" t="n">
        <v>0</v>
      </c>
      <c r="K551" s="43" t="n">
        <v>0</v>
      </c>
      <c r="L551" s="43" t="n">
        <v>0</v>
      </c>
      <c r="M551" s="43" t="n">
        <v>0</v>
      </c>
      <c r="N551" s="43" t="n">
        <v>49</v>
      </c>
      <c r="O551" s="43" t="n">
        <v>24</v>
      </c>
      <c r="P551" s="43" t="n">
        <v>0</v>
      </c>
      <c r="Q551" s="43" t="n">
        <v>0</v>
      </c>
      <c r="R551" s="43" t="n">
        <v>49</v>
      </c>
      <c r="S551" s="43" t="n">
        <v>98</v>
      </c>
      <c r="T551" s="43" t="n">
        <v>0</v>
      </c>
      <c r="U551" s="42" t="n">
        <f aca="false">SUM(I551:T551)</f>
        <v>220</v>
      </c>
    </row>
    <row r="552" customFormat="false" ht="15" hidden="false" customHeight="false" outlineLevel="0" collapsed="false">
      <c r="A552" s="40" t="s">
        <v>1280</v>
      </c>
      <c r="B552" s="40" t="s">
        <v>280</v>
      </c>
      <c r="C552" s="40" t="s">
        <v>39</v>
      </c>
      <c r="D552" s="40" t="s">
        <v>7</v>
      </c>
      <c r="E552" s="40" t="s">
        <v>380</v>
      </c>
      <c r="F552" s="40" t="s">
        <v>281</v>
      </c>
      <c r="G552" s="40" t="s">
        <v>407</v>
      </c>
      <c r="H552" s="40" t="s">
        <v>45</v>
      </c>
      <c r="I552" s="43" t="n">
        <v>0</v>
      </c>
      <c r="J552" s="43" t="n">
        <v>0</v>
      </c>
      <c r="K552" s="43" t="n">
        <v>0</v>
      </c>
      <c r="L552" s="43" t="n">
        <v>0</v>
      </c>
      <c r="M552" s="43" t="n">
        <v>37</v>
      </c>
      <c r="N552" s="43" t="n">
        <v>0</v>
      </c>
      <c r="O552" s="43" t="n">
        <v>0</v>
      </c>
      <c r="P552" s="43" t="n">
        <v>0</v>
      </c>
      <c r="Q552" s="43" t="n">
        <v>0</v>
      </c>
      <c r="R552" s="43" t="n">
        <v>0</v>
      </c>
      <c r="S552" s="43" t="n">
        <v>0</v>
      </c>
      <c r="T552" s="43" t="n">
        <v>0</v>
      </c>
      <c r="U552" s="42" t="n">
        <f aca="false">SUM(I552:T552)</f>
        <v>37</v>
      </c>
    </row>
    <row r="553" customFormat="false" ht="15" hidden="false" customHeight="false" outlineLevel="0" collapsed="false">
      <c r="A553" s="40" t="s">
        <v>1281</v>
      </c>
      <c r="B553" s="40" t="s">
        <v>280</v>
      </c>
      <c r="C553" s="40" t="s">
        <v>39</v>
      </c>
      <c r="D553" s="40" t="s">
        <v>7</v>
      </c>
      <c r="E553" s="40" t="s">
        <v>380</v>
      </c>
      <c r="F553" s="40" t="s">
        <v>281</v>
      </c>
      <c r="G553" s="40" t="s">
        <v>409</v>
      </c>
      <c r="H553" s="40" t="s">
        <v>45</v>
      </c>
      <c r="I553" s="43" t="n">
        <v>0</v>
      </c>
      <c r="J553" s="43" t="n">
        <v>0</v>
      </c>
      <c r="K553" s="43" t="n">
        <v>24</v>
      </c>
      <c r="L553" s="43" t="n">
        <v>0</v>
      </c>
      <c r="M553" s="43" t="n">
        <v>0</v>
      </c>
      <c r="N553" s="43" t="n">
        <v>0</v>
      </c>
      <c r="O553" s="43" t="n">
        <v>0</v>
      </c>
      <c r="P553" s="43" t="n">
        <v>0</v>
      </c>
      <c r="Q553" s="43" t="n">
        <v>0</v>
      </c>
      <c r="R553" s="43" t="n">
        <v>0</v>
      </c>
      <c r="S553" s="43" t="n">
        <v>0</v>
      </c>
      <c r="T553" s="43" t="n">
        <v>0</v>
      </c>
      <c r="U553" s="42" t="n">
        <f aca="false">SUM(I553:T553)</f>
        <v>24</v>
      </c>
    </row>
    <row r="554" customFormat="false" ht="15" hidden="false" customHeight="false" outlineLevel="0" collapsed="false">
      <c r="A554" s="40" t="s">
        <v>1282</v>
      </c>
      <c r="B554" s="40" t="s">
        <v>280</v>
      </c>
      <c r="C554" s="40" t="s">
        <v>39</v>
      </c>
      <c r="D554" s="40" t="s">
        <v>7</v>
      </c>
      <c r="E554" s="40" t="s">
        <v>380</v>
      </c>
      <c r="F554" s="40" t="s">
        <v>281</v>
      </c>
      <c r="G554" s="40" t="s">
        <v>411</v>
      </c>
      <c r="H554" s="40" t="s">
        <v>45</v>
      </c>
      <c r="I554" s="43" t="n">
        <v>0</v>
      </c>
      <c r="J554" s="43" t="n">
        <v>0</v>
      </c>
      <c r="K554" s="43" t="n">
        <v>0</v>
      </c>
      <c r="L554" s="43" t="n">
        <v>0</v>
      </c>
      <c r="M554" s="43" t="n">
        <v>0</v>
      </c>
      <c r="N554" s="43" t="n">
        <v>24</v>
      </c>
      <c r="O554" s="43" t="n">
        <v>0</v>
      </c>
      <c r="P554" s="43" t="n">
        <v>0</v>
      </c>
      <c r="Q554" s="43" t="n">
        <v>0</v>
      </c>
      <c r="R554" s="43" t="n">
        <v>0</v>
      </c>
      <c r="S554" s="43" t="n">
        <v>0</v>
      </c>
      <c r="T554" s="43" t="n">
        <v>0</v>
      </c>
      <c r="U554" s="42" t="n">
        <f aca="false">SUM(I554:T554)</f>
        <v>24</v>
      </c>
    </row>
    <row r="555" customFormat="false" ht="15" hidden="false" customHeight="false" outlineLevel="0" collapsed="false">
      <c r="A555" s="40" t="s">
        <v>1283</v>
      </c>
      <c r="B555" s="40" t="s">
        <v>280</v>
      </c>
      <c r="C555" s="40" t="s">
        <v>39</v>
      </c>
      <c r="D555" s="40" t="s">
        <v>7</v>
      </c>
      <c r="E555" s="40" t="s">
        <v>380</v>
      </c>
      <c r="F555" s="40" t="s">
        <v>281</v>
      </c>
      <c r="G555" s="40" t="s">
        <v>413</v>
      </c>
      <c r="H555" s="40" t="s">
        <v>45</v>
      </c>
      <c r="I555" s="43" t="n">
        <v>0</v>
      </c>
      <c r="J555" s="43" t="n">
        <v>0</v>
      </c>
      <c r="K555" s="43" t="n">
        <v>0</v>
      </c>
      <c r="L555" s="43" t="n">
        <v>0</v>
      </c>
      <c r="M555" s="43" t="n">
        <v>0</v>
      </c>
      <c r="N555" s="43" t="n">
        <v>49</v>
      </c>
      <c r="O555" s="43" t="n">
        <v>0</v>
      </c>
      <c r="P555" s="43" t="n">
        <v>0</v>
      </c>
      <c r="Q555" s="43" t="n">
        <v>0</v>
      </c>
      <c r="R555" s="43" t="n">
        <v>0</v>
      </c>
      <c r="S555" s="43" t="n">
        <v>0</v>
      </c>
      <c r="T555" s="43" t="n">
        <v>0</v>
      </c>
      <c r="U555" s="42" t="n">
        <f aca="false">SUM(I555:T555)</f>
        <v>49</v>
      </c>
    </row>
    <row r="556" customFormat="false" ht="15" hidden="false" customHeight="false" outlineLevel="0" collapsed="false">
      <c r="A556" s="40" t="s">
        <v>1284</v>
      </c>
      <c r="B556" s="40" t="s">
        <v>283</v>
      </c>
      <c r="C556" s="40" t="s">
        <v>39</v>
      </c>
      <c r="D556" s="40" t="s">
        <v>7</v>
      </c>
      <c r="E556" s="40" t="s">
        <v>380</v>
      </c>
      <c r="F556" s="40" t="s">
        <v>284</v>
      </c>
      <c r="G556" s="40" t="s">
        <v>1285</v>
      </c>
      <c r="H556" s="40" t="s">
        <v>45</v>
      </c>
      <c r="I556" s="43" t="n">
        <v>0</v>
      </c>
      <c r="J556" s="43" t="n">
        <v>0</v>
      </c>
      <c r="K556" s="43" t="n">
        <v>0</v>
      </c>
      <c r="L556" s="43" t="n">
        <v>0</v>
      </c>
      <c r="M556" s="43" t="n">
        <v>0</v>
      </c>
      <c r="N556" s="43" t="n">
        <v>0</v>
      </c>
      <c r="O556" s="43" t="n">
        <v>0</v>
      </c>
      <c r="P556" s="43" t="n">
        <v>0</v>
      </c>
      <c r="Q556" s="43" t="n">
        <v>0</v>
      </c>
      <c r="R556" s="43" t="n">
        <v>49</v>
      </c>
      <c r="S556" s="43" t="n">
        <v>0</v>
      </c>
      <c r="T556" s="43" t="n">
        <v>0</v>
      </c>
      <c r="U556" s="42" t="n">
        <f aca="false">SUM(I556:T556)</f>
        <v>49</v>
      </c>
    </row>
    <row r="557" customFormat="false" ht="15" hidden="false" customHeight="false" outlineLevel="0" collapsed="false">
      <c r="A557" s="40" t="s">
        <v>1286</v>
      </c>
      <c r="B557" s="40" t="s">
        <v>283</v>
      </c>
      <c r="C557" s="40" t="s">
        <v>39</v>
      </c>
      <c r="D557" s="40" t="s">
        <v>7</v>
      </c>
      <c r="E557" s="40" t="s">
        <v>380</v>
      </c>
      <c r="F557" s="40" t="s">
        <v>284</v>
      </c>
      <c r="G557" s="40" t="s">
        <v>1287</v>
      </c>
      <c r="H557" s="40" t="s">
        <v>45</v>
      </c>
      <c r="I557" s="43" t="n">
        <v>0</v>
      </c>
      <c r="J557" s="43" t="n">
        <v>0</v>
      </c>
      <c r="K557" s="43" t="n">
        <v>0</v>
      </c>
      <c r="L557" s="43" t="n">
        <v>0</v>
      </c>
      <c r="M557" s="43" t="n">
        <v>0</v>
      </c>
      <c r="N557" s="43" t="n">
        <v>73</v>
      </c>
      <c r="O557" s="43" t="n">
        <v>73</v>
      </c>
      <c r="P557" s="43" t="n">
        <v>0</v>
      </c>
      <c r="Q557" s="43" t="n">
        <v>0</v>
      </c>
      <c r="R557" s="43" t="n">
        <v>0</v>
      </c>
      <c r="S557" s="43" t="n">
        <v>0</v>
      </c>
      <c r="T557" s="43" t="n">
        <v>0</v>
      </c>
      <c r="U557" s="42" t="n">
        <f aca="false">SUM(I557:T557)</f>
        <v>146</v>
      </c>
    </row>
    <row r="558" customFormat="false" ht="15" hidden="false" customHeight="false" outlineLevel="0" collapsed="false">
      <c r="A558" s="40" t="s">
        <v>1288</v>
      </c>
      <c r="B558" s="40" t="s">
        <v>283</v>
      </c>
      <c r="C558" s="40" t="s">
        <v>39</v>
      </c>
      <c r="D558" s="40" t="s">
        <v>7</v>
      </c>
      <c r="E558" s="40" t="s">
        <v>380</v>
      </c>
      <c r="F558" s="40" t="s">
        <v>284</v>
      </c>
      <c r="G558" s="40" t="s">
        <v>1289</v>
      </c>
      <c r="H558" s="40" t="s">
        <v>45</v>
      </c>
      <c r="I558" s="43" t="n">
        <v>0</v>
      </c>
      <c r="J558" s="43" t="n">
        <v>0</v>
      </c>
      <c r="K558" s="43" t="n">
        <v>0</v>
      </c>
      <c r="L558" s="43" t="n">
        <v>0</v>
      </c>
      <c r="M558" s="43" t="n">
        <v>0</v>
      </c>
      <c r="N558" s="43" t="n">
        <v>73</v>
      </c>
      <c r="O558" s="43" t="n">
        <v>24</v>
      </c>
      <c r="P558" s="43" t="n">
        <v>0</v>
      </c>
      <c r="Q558" s="43" t="n">
        <v>0</v>
      </c>
      <c r="R558" s="43" t="n">
        <v>0</v>
      </c>
      <c r="S558" s="43" t="n">
        <v>0</v>
      </c>
      <c r="T558" s="43" t="n">
        <v>0</v>
      </c>
      <c r="U558" s="42" t="n">
        <f aca="false">SUM(I558:T558)</f>
        <v>97</v>
      </c>
    </row>
    <row r="559" customFormat="false" ht="15" hidden="false" customHeight="false" outlineLevel="0" collapsed="false">
      <c r="A559" s="40" t="s">
        <v>1290</v>
      </c>
      <c r="B559" s="40" t="s">
        <v>283</v>
      </c>
      <c r="C559" s="40" t="s">
        <v>39</v>
      </c>
      <c r="D559" s="40" t="s">
        <v>7</v>
      </c>
      <c r="E559" s="40" t="s">
        <v>380</v>
      </c>
      <c r="F559" s="40" t="s">
        <v>284</v>
      </c>
      <c r="G559" s="40" t="s">
        <v>1291</v>
      </c>
      <c r="H559" s="40" t="s">
        <v>45</v>
      </c>
      <c r="I559" s="43" t="n">
        <v>0</v>
      </c>
      <c r="J559" s="43" t="n">
        <v>0</v>
      </c>
      <c r="K559" s="43" t="n">
        <v>0</v>
      </c>
      <c r="L559" s="43" t="n">
        <v>0</v>
      </c>
      <c r="M559" s="43" t="n">
        <v>0</v>
      </c>
      <c r="N559" s="43" t="n">
        <v>49</v>
      </c>
      <c r="O559" s="43" t="n">
        <v>0</v>
      </c>
      <c r="P559" s="43" t="n">
        <v>0</v>
      </c>
      <c r="Q559" s="43" t="n">
        <v>24</v>
      </c>
      <c r="R559" s="43" t="n">
        <v>0</v>
      </c>
      <c r="S559" s="43" t="n">
        <v>0</v>
      </c>
      <c r="T559" s="43" t="n">
        <v>0</v>
      </c>
      <c r="U559" s="42" t="n">
        <f aca="false">SUM(I559:T559)</f>
        <v>73</v>
      </c>
    </row>
    <row r="560" customFormat="false" ht="15" hidden="false" customHeight="false" outlineLevel="0" collapsed="false">
      <c r="A560" s="40" t="s">
        <v>1292</v>
      </c>
      <c r="B560" s="40" t="s">
        <v>283</v>
      </c>
      <c r="C560" s="40" t="s">
        <v>39</v>
      </c>
      <c r="D560" s="40" t="s">
        <v>7</v>
      </c>
      <c r="E560" s="40" t="s">
        <v>380</v>
      </c>
      <c r="F560" s="40" t="s">
        <v>284</v>
      </c>
      <c r="G560" s="40" t="s">
        <v>1277</v>
      </c>
      <c r="H560" s="40" t="s">
        <v>45</v>
      </c>
      <c r="I560" s="43" t="n">
        <v>0</v>
      </c>
      <c r="J560" s="43" t="n">
        <v>0</v>
      </c>
      <c r="K560" s="43" t="n">
        <v>0</v>
      </c>
      <c r="L560" s="43" t="n">
        <v>0</v>
      </c>
      <c r="M560" s="43" t="n">
        <v>0</v>
      </c>
      <c r="N560" s="43" t="n">
        <v>0</v>
      </c>
      <c r="O560" s="43" t="n">
        <v>0</v>
      </c>
      <c r="P560" s="43" t="n">
        <v>0</v>
      </c>
      <c r="Q560" s="43" t="n">
        <v>24</v>
      </c>
      <c r="R560" s="43" t="n">
        <v>0</v>
      </c>
      <c r="S560" s="43" t="n">
        <v>0</v>
      </c>
      <c r="T560" s="43" t="n">
        <v>0</v>
      </c>
      <c r="U560" s="42" t="n">
        <f aca="false">SUM(I560:T560)</f>
        <v>24</v>
      </c>
    </row>
    <row r="561" customFormat="false" ht="15" hidden="false" customHeight="false" outlineLevel="0" collapsed="false">
      <c r="A561" s="40" t="s">
        <v>1293</v>
      </c>
      <c r="B561" s="40" t="s">
        <v>283</v>
      </c>
      <c r="C561" s="40" t="s">
        <v>39</v>
      </c>
      <c r="D561" s="40" t="s">
        <v>7</v>
      </c>
      <c r="E561" s="40" t="s">
        <v>380</v>
      </c>
      <c r="F561" s="40" t="s">
        <v>284</v>
      </c>
      <c r="G561" s="40" t="s">
        <v>1294</v>
      </c>
      <c r="H561" s="40" t="s">
        <v>45</v>
      </c>
      <c r="I561" s="43" t="n">
        <v>0</v>
      </c>
      <c r="J561" s="43" t="n">
        <v>0</v>
      </c>
      <c r="K561" s="43" t="n">
        <v>0</v>
      </c>
      <c r="L561" s="43" t="n">
        <v>0</v>
      </c>
      <c r="M561" s="43" t="n">
        <v>0</v>
      </c>
      <c r="N561" s="43" t="n">
        <v>49</v>
      </c>
      <c r="O561" s="43" t="n">
        <v>24</v>
      </c>
      <c r="P561" s="43" t="n">
        <v>0</v>
      </c>
      <c r="Q561" s="43" t="n">
        <v>0</v>
      </c>
      <c r="R561" s="43" t="n">
        <v>49</v>
      </c>
      <c r="S561" s="43" t="n">
        <v>98</v>
      </c>
      <c r="T561" s="43" t="n">
        <v>0</v>
      </c>
      <c r="U561" s="42" t="n">
        <f aca="false">SUM(I561:T561)</f>
        <v>220</v>
      </c>
    </row>
    <row r="562" customFormat="false" ht="15" hidden="false" customHeight="false" outlineLevel="0" collapsed="false">
      <c r="A562" s="40" t="s">
        <v>1295</v>
      </c>
      <c r="B562" s="40" t="s">
        <v>283</v>
      </c>
      <c r="C562" s="40" t="s">
        <v>39</v>
      </c>
      <c r="D562" s="40" t="s">
        <v>7</v>
      </c>
      <c r="E562" s="40" t="s">
        <v>380</v>
      </c>
      <c r="F562" s="40" t="s">
        <v>284</v>
      </c>
      <c r="G562" s="40" t="s">
        <v>407</v>
      </c>
      <c r="H562" s="40" t="s">
        <v>45</v>
      </c>
      <c r="I562" s="43" t="n">
        <v>0</v>
      </c>
      <c r="J562" s="43" t="n">
        <v>0</v>
      </c>
      <c r="K562" s="43" t="n">
        <v>0</v>
      </c>
      <c r="L562" s="43" t="n">
        <v>0</v>
      </c>
      <c r="M562" s="43" t="n">
        <v>37</v>
      </c>
      <c r="N562" s="43" t="n">
        <v>0</v>
      </c>
      <c r="O562" s="43" t="n">
        <v>0</v>
      </c>
      <c r="P562" s="43" t="n">
        <v>0</v>
      </c>
      <c r="Q562" s="43" t="n">
        <v>0</v>
      </c>
      <c r="R562" s="43" t="n">
        <v>0</v>
      </c>
      <c r="S562" s="43" t="n">
        <v>0</v>
      </c>
      <c r="T562" s="43" t="n">
        <v>0</v>
      </c>
      <c r="U562" s="42" t="n">
        <f aca="false">SUM(I562:T562)</f>
        <v>37</v>
      </c>
    </row>
    <row r="563" customFormat="false" ht="15" hidden="false" customHeight="false" outlineLevel="0" collapsed="false">
      <c r="A563" s="40" t="s">
        <v>1296</v>
      </c>
      <c r="B563" s="40" t="s">
        <v>283</v>
      </c>
      <c r="C563" s="40" t="s">
        <v>39</v>
      </c>
      <c r="D563" s="40" t="s">
        <v>7</v>
      </c>
      <c r="E563" s="40" t="s">
        <v>380</v>
      </c>
      <c r="F563" s="40" t="s">
        <v>284</v>
      </c>
      <c r="G563" s="40" t="s">
        <v>409</v>
      </c>
      <c r="H563" s="40" t="s">
        <v>45</v>
      </c>
      <c r="I563" s="43" t="n">
        <v>0</v>
      </c>
      <c r="J563" s="43" t="n">
        <v>0</v>
      </c>
      <c r="K563" s="43" t="n">
        <v>24</v>
      </c>
      <c r="L563" s="43" t="n">
        <v>0</v>
      </c>
      <c r="M563" s="43" t="n">
        <v>0</v>
      </c>
      <c r="N563" s="43" t="n">
        <v>0</v>
      </c>
      <c r="O563" s="43" t="n">
        <v>0</v>
      </c>
      <c r="P563" s="43" t="n">
        <v>0</v>
      </c>
      <c r="Q563" s="43" t="n">
        <v>0</v>
      </c>
      <c r="R563" s="43" t="n">
        <v>0</v>
      </c>
      <c r="S563" s="43" t="n">
        <v>0</v>
      </c>
      <c r="T563" s="43" t="n">
        <v>0</v>
      </c>
      <c r="U563" s="42" t="n">
        <f aca="false">SUM(I563:T563)</f>
        <v>24</v>
      </c>
    </row>
    <row r="564" customFormat="false" ht="15" hidden="false" customHeight="false" outlineLevel="0" collapsed="false">
      <c r="A564" s="40" t="s">
        <v>1297</v>
      </c>
      <c r="B564" s="40" t="s">
        <v>283</v>
      </c>
      <c r="C564" s="40" t="s">
        <v>39</v>
      </c>
      <c r="D564" s="40" t="s">
        <v>7</v>
      </c>
      <c r="E564" s="40" t="s">
        <v>380</v>
      </c>
      <c r="F564" s="40" t="s">
        <v>284</v>
      </c>
      <c r="G564" s="40" t="s">
        <v>411</v>
      </c>
      <c r="H564" s="40" t="s">
        <v>45</v>
      </c>
      <c r="I564" s="43" t="n">
        <v>0</v>
      </c>
      <c r="J564" s="43" t="n">
        <v>0</v>
      </c>
      <c r="K564" s="43" t="n">
        <v>0</v>
      </c>
      <c r="L564" s="43" t="n">
        <v>0</v>
      </c>
      <c r="M564" s="43" t="n">
        <v>0</v>
      </c>
      <c r="N564" s="43" t="n">
        <v>24</v>
      </c>
      <c r="O564" s="43" t="n">
        <v>0</v>
      </c>
      <c r="P564" s="43" t="n">
        <v>0</v>
      </c>
      <c r="Q564" s="43" t="n">
        <v>0</v>
      </c>
      <c r="R564" s="43" t="n">
        <v>0</v>
      </c>
      <c r="S564" s="43" t="n">
        <v>0</v>
      </c>
      <c r="T564" s="43" t="n">
        <v>0</v>
      </c>
      <c r="U564" s="42" t="n">
        <f aca="false">SUM(I564:T564)</f>
        <v>24</v>
      </c>
    </row>
    <row r="565" customFormat="false" ht="15" hidden="false" customHeight="false" outlineLevel="0" collapsed="false">
      <c r="A565" s="40" t="s">
        <v>1298</v>
      </c>
      <c r="B565" s="40" t="s">
        <v>283</v>
      </c>
      <c r="C565" s="40" t="s">
        <v>39</v>
      </c>
      <c r="D565" s="40" t="s">
        <v>7</v>
      </c>
      <c r="E565" s="40" t="s">
        <v>380</v>
      </c>
      <c r="F565" s="40" t="s">
        <v>284</v>
      </c>
      <c r="G565" s="40" t="s">
        <v>413</v>
      </c>
      <c r="H565" s="40" t="s">
        <v>45</v>
      </c>
      <c r="I565" s="43" t="n">
        <v>0</v>
      </c>
      <c r="J565" s="43" t="n">
        <v>0</v>
      </c>
      <c r="K565" s="43" t="n">
        <v>0</v>
      </c>
      <c r="L565" s="43" t="n">
        <v>0</v>
      </c>
      <c r="M565" s="43" t="n">
        <v>0</v>
      </c>
      <c r="N565" s="43" t="n">
        <v>49</v>
      </c>
      <c r="O565" s="43" t="n">
        <v>0</v>
      </c>
      <c r="P565" s="43" t="n">
        <v>0</v>
      </c>
      <c r="Q565" s="43" t="n">
        <v>0</v>
      </c>
      <c r="R565" s="43" t="n">
        <v>0</v>
      </c>
      <c r="S565" s="43" t="n">
        <v>0</v>
      </c>
      <c r="T565" s="43" t="n">
        <v>0</v>
      </c>
      <c r="U565" s="42" t="n">
        <f aca="false">SUM(I565:T565)</f>
        <v>49</v>
      </c>
    </row>
    <row r="566" customFormat="false" ht="15" hidden="false" customHeight="false" outlineLevel="0" collapsed="false">
      <c r="A566" s="40" t="s">
        <v>1299</v>
      </c>
      <c r="B566" s="40" t="s">
        <v>286</v>
      </c>
      <c r="C566" s="40" t="s">
        <v>39</v>
      </c>
      <c r="D566" s="40" t="s">
        <v>7</v>
      </c>
      <c r="E566" s="40" t="s">
        <v>380</v>
      </c>
      <c r="F566" s="40" t="s">
        <v>287</v>
      </c>
      <c r="G566" s="40" t="s">
        <v>1300</v>
      </c>
      <c r="H566" s="40" t="s">
        <v>43</v>
      </c>
      <c r="I566" s="43" t="n">
        <v>0</v>
      </c>
      <c r="J566" s="43" t="n">
        <v>0</v>
      </c>
      <c r="K566" s="43" t="n">
        <v>0</v>
      </c>
      <c r="L566" s="43" t="n">
        <v>0</v>
      </c>
      <c r="M566" s="43" t="n">
        <v>49</v>
      </c>
      <c r="N566" s="43" t="n">
        <v>0</v>
      </c>
      <c r="O566" s="43" t="n">
        <v>0</v>
      </c>
      <c r="P566" s="43" t="n">
        <v>0</v>
      </c>
      <c r="Q566" s="43" t="n">
        <v>0</v>
      </c>
      <c r="R566" s="43" t="n">
        <v>0</v>
      </c>
      <c r="S566" s="43" t="n">
        <v>0</v>
      </c>
      <c r="T566" s="43" t="n">
        <v>0</v>
      </c>
      <c r="U566" s="42" t="n">
        <f aca="false">SUM(I566:T566)</f>
        <v>49</v>
      </c>
    </row>
    <row r="567" customFormat="false" ht="15" hidden="false" customHeight="false" outlineLevel="0" collapsed="false">
      <c r="A567" s="40" t="s">
        <v>1301</v>
      </c>
      <c r="B567" s="40" t="s">
        <v>286</v>
      </c>
      <c r="C567" s="40" t="s">
        <v>39</v>
      </c>
      <c r="D567" s="40" t="s">
        <v>7</v>
      </c>
      <c r="E567" s="40" t="s">
        <v>380</v>
      </c>
      <c r="F567" s="40" t="s">
        <v>287</v>
      </c>
      <c r="G567" s="40" t="s">
        <v>1302</v>
      </c>
      <c r="H567" s="40" t="s">
        <v>43</v>
      </c>
      <c r="I567" s="43" t="n">
        <v>0</v>
      </c>
      <c r="J567" s="43" t="n">
        <v>0</v>
      </c>
      <c r="K567" s="43" t="n">
        <v>0</v>
      </c>
      <c r="L567" s="43" t="n">
        <v>0</v>
      </c>
      <c r="M567" s="43" t="n">
        <v>0</v>
      </c>
      <c r="N567" s="43" t="n">
        <v>98</v>
      </c>
      <c r="O567" s="43" t="n">
        <v>0</v>
      </c>
      <c r="P567" s="43" t="n">
        <v>0</v>
      </c>
      <c r="Q567" s="43" t="n">
        <v>0</v>
      </c>
      <c r="R567" s="43" t="n">
        <v>0</v>
      </c>
      <c r="S567" s="43" t="n">
        <v>0</v>
      </c>
      <c r="T567" s="43" t="n">
        <v>0</v>
      </c>
      <c r="U567" s="42" t="n">
        <f aca="false">SUM(I567:T567)</f>
        <v>98</v>
      </c>
    </row>
    <row r="568" customFormat="false" ht="15" hidden="false" customHeight="false" outlineLevel="0" collapsed="false">
      <c r="A568" s="40" t="s">
        <v>1303</v>
      </c>
      <c r="B568" s="40" t="s">
        <v>286</v>
      </c>
      <c r="C568" s="40" t="s">
        <v>39</v>
      </c>
      <c r="D568" s="40" t="s">
        <v>7</v>
      </c>
      <c r="E568" s="40" t="s">
        <v>380</v>
      </c>
      <c r="F568" s="40" t="s">
        <v>287</v>
      </c>
      <c r="G568" s="40" t="s">
        <v>1304</v>
      </c>
      <c r="H568" s="40" t="s">
        <v>43</v>
      </c>
      <c r="I568" s="43" t="n">
        <v>0</v>
      </c>
      <c r="J568" s="43" t="n">
        <v>0</v>
      </c>
      <c r="K568" s="43" t="n">
        <v>0</v>
      </c>
      <c r="L568" s="43" t="n">
        <v>0</v>
      </c>
      <c r="M568" s="43" t="n">
        <v>0</v>
      </c>
      <c r="N568" s="43" t="n">
        <v>73</v>
      </c>
      <c r="O568" s="43" t="n">
        <v>0</v>
      </c>
      <c r="P568" s="43" t="n">
        <v>0</v>
      </c>
      <c r="Q568" s="43" t="n">
        <v>0</v>
      </c>
      <c r="R568" s="43" t="n">
        <v>0</v>
      </c>
      <c r="S568" s="43" t="n">
        <v>0</v>
      </c>
      <c r="T568" s="43" t="n">
        <v>0</v>
      </c>
      <c r="U568" s="42" t="n">
        <f aca="false">SUM(I568:T568)</f>
        <v>73</v>
      </c>
    </row>
    <row r="569" customFormat="false" ht="15" hidden="false" customHeight="false" outlineLevel="0" collapsed="false">
      <c r="A569" s="40" t="s">
        <v>1305</v>
      </c>
      <c r="B569" s="40" t="s">
        <v>286</v>
      </c>
      <c r="C569" s="40" t="s">
        <v>39</v>
      </c>
      <c r="D569" s="40" t="s">
        <v>7</v>
      </c>
      <c r="E569" s="40" t="s">
        <v>380</v>
      </c>
      <c r="F569" s="40" t="s">
        <v>287</v>
      </c>
      <c r="G569" s="40" t="s">
        <v>1306</v>
      </c>
      <c r="H569" s="40" t="s">
        <v>43</v>
      </c>
      <c r="I569" s="43" t="n">
        <v>0</v>
      </c>
      <c r="J569" s="43" t="n">
        <v>0</v>
      </c>
      <c r="K569" s="43" t="n">
        <v>0</v>
      </c>
      <c r="L569" s="43" t="n">
        <v>0</v>
      </c>
      <c r="M569" s="43" t="n">
        <v>24</v>
      </c>
      <c r="N569" s="43" t="n">
        <v>49</v>
      </c>
      <c r="O569" s="43" t="n">
        <v>0</v>
      </c>
      <c r="P569" s="43" t="n">
        <v>0</v>
      </c>
      <c r="Q569" s="43" t="n">
        <v>0</v>
      </c>
      <c r="R569" s="43" t="n">
        <v>0</v>
      </c>
      <c r="S569" s="43" t="n">
        <v>0</v>
      </c>
      <c r="T569" s="43" t="n">
        <v>0</v>
      </c>
      <c r="U569" s="42" t="n">
        <f aca="false">SUM(I569:T569)</f>
        <v>73</v>
      </c>
    </row>
    <row r="570" customFormat="false" ht="15" hidden="false" customHeight="false" outlineLevel="0" collapsed="false">
      <c r="A570" s="40" t="s">
        <v>1307</v>
      </c>
      <c r="B570" s="40" t="s">
        <v>286</v>
      </c>
      <c r="C570" s="40" t="s">
        <v>39</v>
      </c>
      <c r="D570" s="40" t="s">
        <v>7</v>
      </c>
      <c r="E570" s="40" t="s">
        <v>380</v>
      </c>
      <c r="F570" s="40" t="s">
        <v>287</v>
      </c>
      <c r="G570" s="40" t="s">
        <v>1308</v>
      </c>
      <c r="H570" s="40" t="s">
        <v>43</v>
      </c>
      <c r="I570" s="43" t="n">
        <v>0</v>
      </c>
      <c r="J570" s="43" t="n">
        <v>0</v>
      </c>
      <c r="K570" s="43" t="n">
        <v>0</v>
      </c>
      <c r="L570" s="43" t="n">
        <v>0</v>
      </c>
      <c r="M570" s="43" t="n">
        <v>0</v>
      </c>
      <c r="N570" s="43" t="n">
        <v>24</v>
      </c>
      <c r="O570" s="43" t="n">
        <v>0</v>
      </c>
      <c r="P570" s="43" t="n">
        <v>0</v>
      </c>
      <c r="Q570" s="43" t="n">
        <v>0</v>
      </c>
      <c r="R570" s="43" t="n">
        <v>0</v>
      </c>
      <c r="S570" s="43" t="n">
        <v>73</v>
      </c>
      <c r="T570" s="43" t="n">
        <v>0</v>
      </c>
      <c r="U570" s="42" t="n">
        <f aca="false">SUM(I570:T570)</f>
        <v>97</v>
      </c>
    </row>
    <row r="571" customFormat="false" ht="15" hidden="false" customHeight="false" outlineLevel="0" collapsed="false">
      <c r="A571" s="40" t="s">
        <v>1309</v>
      </c>
      <c r="B571" s="40" t="s">
        <v>286</v>
      </c>
      <c r="C571" s="40" t="s">
        <v>39</v>
      </c>
      <c r="D571" s="40" t="s">
        <v>7</v>
      </c>
      <c r="E571" s="40" t="s">
        <v>380</v>
      </c>
      <c r="F571" s="40" t="s">
        <v>287</v>
      </c>
      <c r="G571" s="40" t="s">
        <v>407</v>
      </c>
      <c r="H571" s="40" t="s">
        <v>43</v>
      </c>
      <c r="I571" s="43" t="n">
        <v>0</v>
      </c>
      <c r="J571" s="43" t="n">
        <v>0</v>
      </c>
      <c r="K571" s="43" t="n">
        <v>0</v>
      </c>
      <c r="L571" s="43" t="n">
        <v>0</v>
      </c>
      <c r="M571" s="43" t="n">
        <v>24</v>
      </c>
      <c r="N571" s="43" t="n">
        <v>0</v>
      </c>
      <c r="O571" s="43" t="n">
        <v>0</v>
      </c>
      <c r="P571" s="43" t="n">
        <v>0</v>
      </c>
      <c r="Q571" s="43" t="n">
        <v>0</v>
      </c>
      <c r="R571" s="43" t="n">
        <v>0</v>
      </c>
      <c r="S571" s="43" t="n">
        <v>0</v>
      </c>
      <c r="T571" s="43" t="n">
        <v>0</v>
      </c>
      <c r="U571" s="42" t="n">
        <f aca="false">SUM(I571:T571)</f>
        <v>24</v>
      </c>
    </row>
    <row r="572" customFormat="false" ht="15" hidden="false" customHeight="false" outlineLevel="0" collapsed="false">
      <c r="A572" s="40" t="s">
        <v>1310</v>
      </c>
      <c r="B572" s="40" t="s">
        <v>286</v>
      </c>
      <c r="C572" s="40" t="s">
        <v>39</v>
      </c>
      <c r="D572" s="40" t="s">
        <v>7</v>
      </c>
      <c r="E572" s="40" t="s">
        <v>380</v>
      </c>
      <c r="F572" s="40" t="s">
        <v>287</v>
      </c>
      <c r="G572" s="40" t="s">
        <v>409</v>
      </c>
      <c r="H572" s="40" t="s">
        <v>43</v>
      </c>
      <c r="I572" s="43" t="n">
        <v>0</v>
      </c>
      <c r="J572" s="43" t="n">
        <v>0</v>
      </c>
      <c r="K572" s="43" t="n">
        <v>16</v>
      </c>
      <c r="L572" s="43" t="n">
        <v>0</v>
      </c>
      <c r="M572" s="43" t="n">
        <v>0</v>
      </c>
      <c r="N572" s="43" t="n">
        <v>0</v>
      </c>
      <c r="O572" s="43" t="n">
        <v>0</v>
      </c>
      <c r="P572" s="43" t="n">
        <v>0</v>
      </c>
      <c r="Q572" s="43" t="n">
        <v>0</v>
      </c>
      <c r="R572" s="43" t="n">
        <v>0</v>
      </c>
      <c r="S572" s="43" t="n">
        <v>0</v>
      </c>
      <c r="T572" s="43" t="n">
        <v>0</v>
      </c>
      <c r="U572" s="42" t="n">
        <f aca="false">SUM(I572:T572)</f>
        <v>16</v>
      </c>
    </row>
    <row r="573" customFormat="false" ht="15" hidden="false" customHeight="false" outlineLevel="0" collapsed="false">
      <c r="A573" s="40" t="s">
        <v>1311</v>
      </c>
      <c r="B573" s="40" t="s">
        <v>286</v>
      </c>
      <c r="C573" s="40" t="s">
        <v>39</v>
      </c>
      <c r="D573" s="40" t="s">
        <v>7</v>
      </c>
      <c r="E573" s="40" t="s">
        <v>380</v>
      </c>
      <c r="F573" s="40" t="s">
        <v>287</v>
      </c>
      <c r="G573" s="40" t="s">
        <v>411</v>
      </c>
      <c r="H573" s="40" t="s">
        <v>43</v>
      </c>
      <c r="I573" s="43" t="n">
        <v>0</v>
      </c>
      <c r="J573" s="43" t="n">
        <v>0</v>
      </c>
      <c r="K573" s="43" t="n">
        <v>0</v>
      </c>
      <c r="L573" s="43" t="n">
        <v>0</v>
      </c>
      <c r="M573" s="43" t="n">
        <v>0</v>
      </c>
      <c r="N573" s="43" t="n">
        <v>16</v>
      </c>
      <c r="O573" s="43" t="n">
        <v>0</v>
      </c>
      <c r="P573" s="43" t="n">
        <v>0</v>
      </c>
      <c r="Q573" s="43" t="n">
        <v>0</v>
      </c>
      <c r="R573" s="43" t="n">
        <v>0</v>
      </c>
      <c r="S573" s="43" t="n">
        <v>0</v>
      </c>
      <c r="T573" s="43" t="n">
        <v>0</v>
      </c>
      <c r="U573" s="42" t="n">
        <f aca="false">SUM(I573:T573)</f>
        <v>16</v>
      </c>
    </row>
    <row r="574" customFormat="false" ht="15" hidden="false" customHeight="false" outlineLevel="0" collapsed="false">
      <c r="A574" s="40" t="s">
        <v>1312</v>
      </c>
      <c r="B574" s="40" t="s">
        <v>286</v>
      </c>
      <c r="C574" s="40" t="s">
        <v>39</v>
      </c>
      <c r="D574" s="40" t="s">
        <v>7</v>
      </c>
      <c r="E574" s="40" t="s">
        <v>380</v>
      </c>
      <c r="F574" s="40" t="s">
        <v>287</v>
      </c>
      <c r="G574" s="40" t="s">
        <v>413</v>
      </c>
      <c r="H574" s="40" t="s">
        <v>43</v>
      </c>
      <c r="I574" s="43" t="n">
        <v>0</v>
      </c>
      <c r="J574" s="43" t="n">
        <v>0</v>
      </c>
      <c r="K574" s="43" t="n">
        <v>0</v>
      </c>
      <c r="L574" s="43" t="n">
        <v>0</v>
      </c>
      <c r="M574" s="43" t="n">
        <v>0</v>
      </c>
      <c r="N574" s="43" t="n">
        <v>31</v>
      </c>
      <c r="O574" s="43" t="n">
        <v>0</v>
      </c>
      <c r="P574" s="43" t="n">
        <v>0</v>
      </c>
      <c r="Q574" s="43" t="n">
        <v>0</v>
      </c>
      <c r="R574" s="43" t="n">
        <v>0</v>
      </c>
      <c r="S574" s="43" t="n">
        <v>0</v>
      </c>
      <c r="T574" s="43" t="n">
        <v>0</v>
      </c>
      <c r="U574" s="42" t="n">
        <f aca="false">SUM(I574:T574)</f>
        <v>31</v>
      </c>
    </row>
    <row r="575" customFormat="false" ht="15" hidden="false" customHeight="false" outlineLevel="0" collapsed="false">
      <c r="A575" s="40" t="s">
        <v>1313</v>
      </c>
      <c r="B575" s="40" t="s">
        <v>289</v>
      </c>
      <c r="C575" s="40" t="s">
        <v>39</v>
      </c>
      <c r="D575" s="40" t="s">
        <v>7</v>
      </c>
      <c r="E575" s="40" t="s">
        <v>380</v>
      </c>
      <c r="F575" s="40" t="s">
        <v>290</v>
      </c>
      <c r="G575" s="40" t="s">
        <v>1314</v>
      </c>
      <c r="H575" s="40" t="s">
        <v>45</v>
      </c>
      <c r="I575" s="43" t="n">
        <v>0</v>
      </c>
      <c r="J575" s="43" t="n">
        <v>0</v>
      </c>
      <c r="K575" s="43" t="n">
        <v>0</v>
      </c>
      <c r="L575" s="43" t="n">
        <v>0</v>
      </c>
      <c r="M575" s="43" t="n">
        <v>0</v>
      </c>
      <c r="N575" s="43" t="n">
        <v>0</v>
      </c>
      <c r="O575" s="43" t="n">
        <v>0</v>
      </c>
      <c r="P575" s="43" t="n">
        <v>0</v>
      </c>
      <c r="Q575" s="43" t="n">
        <v>0</v>
      </c>
      <c r="R575" s="43" t="n">
        <v>41</v>
      </c>
      <c r="S575" s="43" t="n">
        <v>0</v>
      </c>
      <c r="T575" s="43" t="n">
        <v>0</v>
      </c>
      <c r="U575" s="42" t="n">
        <f aca="false">SUM(I575:T575)</f>
        <v>41</v>
      </c>
    </row>
    <row r="576" customFormat="false" ht="15" hidden="false" customHeight="false" outlineLevel="0" collapsed="false">
      <c r="A576" s="40" t="s">
        <v>1315</v>
      </c>
      <c r="B576" s="40" t="s">
        <v>289</v>
      </c>
      <c r="C576" s="40" t="s">
        <v>39</v>
      </c>
      <c r="D576" s="40" t="s">
        <v>7</v>
      </c>
      <c r="E576" s="40" t="s">
        <v>380</v>
      </c>
      <c r="F576" s="40" t="s">
        <v>290</v>
      </c>
      <c r="G576" s="40" t="s">
        <v>1316</v>
      </c>
      <c r="H576" s="40" t="s">
        <v>45</v>
      </c>
      <c r="I576" s="43" t="n">
        <v>0</v>
      </c>
      <c r="J576" s="43" t="n">
        <v>0</v>
      </c>
      <c r="K576" s="43" t="n">
        <v>0</v>
      </c>
      <c r="L576" s="43" t="n">
        <v>0</v>
      </c>
      <c r="M576" s="43" t="n">
        <v>0</v>
      </c>
      <c r="N576" s="43" t="n">
        <v>0</v>
      </c>
      <c r="O576" s="43" t="n">
        <v>0</v>
      </c>
      <c r="P576" s="43" t="n">
        <v>0</v>
      </c>
      <c r="Q576" s="43" t="n">
        <v>61</v>
      </c>
      <c r="R576" s="43" t="n">
        <v>0</v>
      </c>
      <c r="S576" s="43" t="n">
        <v>0</v>
      </c>
      <c r="T576" s="43" t="n">
        <v>0</v>
      </c>
      <c r="U576" s="42" t="n">
        <f aca="false">SUM(I576:T576)</f>
        <v>61</v>
      </c>
    </row>
    <row r="577" customFormat="false" ht="15" hidden="false" customHeight="false" outlineLevel="0" collapsed="false">
      <c r="A577" s="40" t="s">
        <v>1317</v>
      </c>
      <c r="B577" s="40" t="s">
        <v>289</v>
      </c>
      <c r="C577" s="40" t="s">
        <v>39</v>
      </c>
      <c r="D577" s="40" t="s">
        <v>7</v>
      </c>
      <c r="E577" s="40" t="s">
        <v>380</v>
      </c>
      <c r="F577" s="40" t="s">
        <v>290</v>
      </c>
      <c r="G577" s="40" t="s">
        <v>1318</v>
      </c>
      <c r="H577" s="40" t="s">
        <v>45</v>
      </c>
      <c r="I577" s="43" t="n">
        <v>0</v>
      </c>
      <c r="J577" s="43" t="n">
        <v>0</v>
      </c>
      <c r="K577" s="43" t="n">
        <v>0</v>
      </c>
      <c r="L577" s="43" t="n">
        <v>0</v>
      </c>
      <c r="M577" s="43" t="n">
        <v>0</v>
      </c>
      <c r="N577" s="43" t="n">
        <v>0</v>
      </c>
      <c r="O577" s="43" t="n">
        <v>0</v>
      </c>
      <c r="P577" s="43" t="n">
        <v>0</v>
      </c>
      <c r="Q577" s="43" t="n">
        <v>163</v>
      </c>
      <c r="R577" s="43" t="n">
        <v>0</v>
      </c>
      <c r="S577" s="43" t="n">
        <v>0</v>
      </c>
      <c r="T577" s="43" t="n">
        <v>0</v>
      </c>
      <c r="U577" s="42" t="n">
        <f aca="false">SUM(I577:T577)</f>
        <v>163</v>
      </c>
    </row>
    <row r="578" customFormat="false" ht="15" hidden="false" customHeight="false" outlineLevel="0" collapsed="false">
      <c r="A578" s="40" t="s">
        <v>1319</v>
      </c>
      <c r="B578" s="40" t="s">
        <v>289</v>
      </c>
      <c r="C578" s="40" t="s">
        <v>39</v>
      </c>
      <c r="D578" s="40" t="s">
        <v>7</v>
      </c>
      <c r="E578" s="40" t="s">
        <v>380</v>
      </c>
      <c r="F578" s="40" t="s">
        <v>290</v>
      </c>
      <c r="G578" s="40" t="s">
        <v>1320</v>
      </c>
      <c r="H578" s="40" t="s">
        <v>45</v>
      </c>
      <c r="I578" s="43" t="n">
        <v>0</v>
      </c>
      <c r="J578" s="43" t="n">
        <v>0</v>
      </c>
      <c r="K578" s="43" t="n">
        <v>0</v>
      </c>
      <c r="L578" s="43" t="n">
        <v>0</v>
      </c>
      <c r="M578" s="43" t="n">
        <v>0</v>
      </c>
      <c r="N578" s="43" t="n">
        <v>0</v>
      </c>
      <c r="O578" s="43" t="n">
        <v>0</v>
      </c>
      <c r="P578" s="43" t="n">
        <v>0</v>
      </c>
      <c r="Q578" s="43" t="n">
        <v>122</v>
      </c>
      <c r="R578" s="43" t="n">
        <v>0</v>
      </c>
      <c r="S578" s="43" t="n">
        <v>0</v>
      </c>
      <c r="T578" s="43" t="n">
        <v>0</v>
      </c>
      <c r="U578" s="42" t="n">
        <f aca="false">SUM(I578:T578)</f>
        <v>122</v>
      </c>
    </row>
    <row r="579" customFormat="false" ht="15" hidden="false" customHeight="false" outlineLevel="0" collapsed="false">
      <c r="A579" s="40" t="s">
        <v>1321</v>
      </c>
      <c r="B579" s="40" t="s">
        <v>289</v>
      </c>
      <c r="C579" s="40" t="s">
        <v>39</v>
      </c>
      <c r="D579" s="40" t="s">
        <v>7</v>
      </c>
      <c r="E579" s="40" t="s">
        <v>380</v>
      </c>
      <c r="F579" s="40" t="s">
        <v>290</v>
      </c>
      <c r="G579" s="40" t="s">
        <v>1322</v>
      </c>
      <c r="H579" s="40" t="s">
        <v>45</v>
      </c>
      <c r="I579" s="43" t="n">
        <v>0</v>
      </c>
      <c r="J579" s="43" t="n">
        <v>0</v>
      </c>
      <c r="K579" s="43" t="n">
        <v>0</v>
      </c>
      <c r="L579" s="43" t="n">
        <v>20</v>
      </c>
      <c r="M579" s="43" t="n">
        <v>0</v>
      </c>
      <c r="N579" s="43" t="n">
        <v>0</v>
      </c>
      <c r="O579" s="43" t="n">
        <v>0</v>
      </c>
      <c r="P579" s="43" t="n">
        <v>0</v>
      </c>
      <c r="Q579" s="43" t="n">
        <v>41</v>
      </c>
      <c r="R579" s="43" t="n">
        <v>0</v>
      </c>
      <c r="S579" s="43" t="n">
        <v>0</v>
      </c>
      <c r="T579" s="43" t="n">
        <v>0</v>
      </c>
      <c r="U579" s="42" t="n">
        <f aca="false">SUM(I579:T579)</f>
        <v>61</v>
      </c>
    </row>
    <row r="580" customFormat="false" ht="15" hidden="false" customHeight="false" outlineLevel="0" collapsed="false">
      <c r="A580" s="40" t="s">
        <v>1323</v>
      </c>
      <c r="B580" s="40" t="s">
        <v>289</v>
      </c>
      <c r="C580" s="40" t="s">
        <v>39</v>
      </c>
      <c r="D580" s="40" t="s">
        <v>7</v>
      </c>
      <c r="E580" s="40" t="s">
        <v>380</v>
      </c>
      <c r="F580" s="40" t="s">
        <v>290</v>
      </c>
      <c r="G580" s="40" t="s">
        <v>1324</v>
      </c>
      <c r="H580" s="40" t="s">
        <v>45</v>
      </c>
      <c r="I580" s="43" t="n">
        <v>0</v>
      </c>
      <c r="J580" s="43" t="n">
        <v>0</v>
      </c>
      <c r="K580" s="43" t="n">
        <v>0</v>
      </c>
      <c r="L580" s="43" t="n">
        <v>0</v>
      </c>
      <c r="M580" s="43" t="n">
        <v>0</v>
      </c>
      <c r="N580" s="43" t="n">
        <v>0</v>
      </c>
      <c r="O580" s="43" t="n">
        <v>0</v>
      </c>
      <c r="P580" s="43" t="n">
        <v>0</v>
      </c>
      <c r="Q580" s="43" t="n">
        <v>20</v>
      </c>
      <c r="R580" s="43" t="n">
        <v>20</v>
      </c>
      <c r="S580" s="43" t="n">
        <v>0</v>
      </c>
      <c r="T580" s="43" t="n">
        <v>0</v>
      </c>
      <c r="U580" s="42" t="n">
        <f aca="false">SUM(I580:T580)</f>
        <v>40</v>
      </c>
    </row>
    <row r="581" customFormat="false" ht="15" hidden="false" customHeight="false" outlineLevel="0" collapsed="false">
      <c r="A581" s="40" t="s">
        <v>1325</v>
      </c>
      <c r="B581" s="40" t="s">
        <v>289</v>
      </c>
      <c r="C581" s="40" t="s">
        <v>39</v>
      </c>
      <c r="D581" s="40" t="s">
        <v>7</v>
      </c>
      <c r="E581" s="40" t="s">
        <v>380</v>
      </c>
      <c r="F581" s="40" t="s">
        <v>290</v>
      </c>
      <c r="G581" s="40" t="s">
        <v>1326</v>
      </c>
      <c r="H581" s="40" t="s">
        <v>45</v>
      </c>
      <c r="I581" s="43" t="n">
        <v>0</v>
      </c>
      <c r="J581" s="43" t="n">
        <v>0</v>
      </c>
      <c r="K581" s="43" t="n">
        <v>0</v>
      </c>
      <c r="L581" s="43" t="n">
        <v>0</v>
      </c>
      <c r="M581" s="43" t="n">
        <v>0</v>
      </c>
      <c r="N581" s="43" t="n">
        <v>0</v>
      </c>
      <c r="O581" s="43" t="n">
        <v>0</v>
      </c>
      <c r="P581" s="43" t="n">
        <v>0</v>
      </c>
      <c r="Q581" s="43" t="n">
        <v>0</v>
      </c>
      <c r="R581" s="43" t="n">
        <v>0</v>
      </c>
      <c r="S581" s="43" t="n">
        <v>102</v>
      </c>
      <c r="T581" s="43" t="n">
        <v>0</v>
      </c>
      <c r="U581" s="42" t="n">
        <f aca="false">SUM(I581:T581)</f>
        <v>102</v>
      </c>
    </row>
    <row r="582" customFormat="false" ht="15" hidden="false" customHeight="false" outlineLevel="0" collapsed="false">
      <c r="A582" s="40" t="s">
        <v>1327</v>
      </c>
      <c r="B582" s="40" t="s">
        <v>289</v>
      </c>
      <c r="C582" s="40" t="s">
        <v>39</v>
      </c>
      <c r="D582" s="40" t="s">
        <v>7</v>
      </c>
      <c r="E582" s="40" t="s">
        <v>380</v>
      </c>
      <c r="F582" s="40" t="s">
        <v>290</v>
      </c>
      <c r="G582" s="40" t="s">
        <v>407</v>
      </c>
      <c r="H582" s="40" t="s">
        <v>45</v>
      </c>
      <c r="I582" s="43" t="n">
        <v>0</v>
      </c>
      <c r="J582" s="43" t="n">
        <v>0</v>
      </c>
      <c r="K582" s="43" t="n">
        <v>0</v>
      </c>
      <c r="L582" s="43" t="n">
        <v>0</v>
      </c>
      <c r="M582" s="43" t="n">
        <v>35</v>
      </c>
      <c r="N582" s="43" t="n">
        <v>0</v>
      </c>
      <c r="O582" s="43" t="n">
        <v>0</v>
      </c>
      <c r="P582" s="43" t="n">
        <v>0</v>
      </c>
      <c r="Q582" s="43" t="n">
        <v>0</v>
      </c>
      <c r="R582" s="43" t="n">
        <v>0</v>
      </c>
      <c r="S582" s="43" t="n">
        <v>0</v>
      </c>
      <c r="T582" s="43" t="n">
        <v>0</v>
      </c>
      <c r="U582" s="42" t="n">
        <f aca="false">SUM(I582:T582)</f>
        <v>35</v>
      </c>
    </row>
    <row r="583" customFormat="false" ht="15" hidden="false" customHeight="false" outlineLevel="0" collapsed="false">
      <c r="A583" s="40" t="s">
        <v>1328</v>
      </c>
      <c r="B583" s="40" t="s">
        <v>289</v>
      </c>
      <c r="C583" s="40" t="s">
        <v>39</v>
      </c>
      <c r="D583" s="40" t="s">
        <v>7</v>
      </c>
      <c r="E583" s="40" t="s">
        <v>380</v>
      </c>
      <c r="F583" s="40" t="s">
        <v>290</v>
      </c>
      <c r="G583" s="40" t="s">
        <v>409</v>
      </c>
      <c r="H583" s="40" t="s">
        <v>45</v>
      </c>
      <c r="I583" s="43" t="n">
        <v>0</v>
      </c>
      <c r="J583" s="43" t="n">
        <v>0</v>
      </c>
      <c r="K583" s="43" t="n">
        <v>24</v>
      </c>
      <c r="L583" s="43" t="n">
        <v>0</v>
      </c>
      <c r="M583" s="43" t="n">
        <v>0</v>
      </c>
      <c r="N583" s="43" t="n">
        <v>0</v>
      </c>
      <c r="O583" s="43" t="n">
        <v>0</v>
      </c>
      <c r="P583" s="43" t="n">
        <v>0</v>
      </c>
      <c r="Q583" s="43" t="n">
        <v>0</v>
      </c>
      <c r="R583" s="43" t="n">
        <v>0</v>
      </c>
      <c r="S583" s="43" t="n">
        <v>0</v>
      </c>
      <c r="T583" s="43" t="n">
        <v>0</v>
      </c>
      <c r="U583" s="42" t="n">
        <f aca="false">SUM(I583:T583)</f>
        <v>24</v>
      </c>
    </row>
    <row r="584" customFormat="false" ht="15" hidden="false" customHeight="false" outlineLevel="0" collapsed="false">
      <c r="A584" s="40" t="s">
        <v>1329</v>
      </c>
      <c r="B584" s="40" t="s">
        <v>289</v>
      </c>
      <c r="C584" s="40" t="s">
        <v>39</v>
      </c>
      <c r="D584" s="40" t="s">
        <v>7</v>
      </c>
      <c r="E584" s="40" t="s">
        <v>380</v>
      </c>
      <c r="F584" s="40" t="s">
        <v>290</v>
      </c>
      <c r="G584" s="40" t="s">
        <v>411</v>
      </c>
      <c r="H584" s="40" t="s">
        <v>45</v>
      </c>
      <c r="I584" s="43" t="n">
        <v>0</v>
      </c>
      <c r="J584" s="43" t="n">
        <v>0</v>
      </c>
      <c r="K584" s="43" t="n">
        <v>0</v>
      </c>
      <c r="L584" s="43" t="n">
        <v>0</v>
      </c>
      <c r="M584" s="43" t="n">
        <v>0</v>
      </c>
      <c r="N584" s="43" t="n">
        <v>0</v>
      </c>
      <c r="O584" s="43" t="n">
        <v>0</v>
      </c>
      <c r="P584" s="43" t="n">
        <v>0</v>
      </c>
      <c r="Q584" s="43" t="n">
        <v>24</v>
      </c>
      <c r="R584" s="43" t="n">
        <v>0</v>
      </c>
      <c r="S584" s="43" t="n">
        <v>0</v>
      </c>
      <c r="T584" s="43" t="n">
        <v>0</v>
      </c>
      <c r="U584" s="42" t="n">
        <f aca="false">SUM(I584:T584)</f>
        <v>24</v>
      </c>
    </row>
    <row r="585" customFormat="false" ht="15" hidden="false" customHeight="false" outlineLevel="0" collapsed="false">
      <c r="A585" s="40" t="s">
        <v>1330</v>
      </c>
      <c r="B585" s="40" t="s">
        <v>289</v>
      </c>
      <c r="C585" s="40" t="s">
        <v>39</v>
      </c>
      <c r="D585" s="40" t="s">
        <v>7</v>
      </c>
      <c r="E585" s="40" t="s">
        <v>380</v>
      </c>
      <c r="F585" s="40" t="s">
        <v>290</v>
      </c>
      <c r="G585" s="40" t="s">
        <v>413</v>
      </c>
      <c r="H585" s="40" t="s">
        <v>45</v>
      </c>
      <c r="I585" s="43" t="n">
        <v>0</v>
      </c>
      <c r="J585" s="43" t="n">
        <v>0</v>
      </c>
      <c r="K585" s="43" t="n">
        <v>0</v>
      </c>
      <c r="L585" s="43" t="n">
        <v>0</v>
      </c>
      <c r="M585" s="43" t="n">
        <v>0</v>
      </c>
      <c r="N585" s="43" t="n">
        <v>0</v>
      </c>
      <c r="O585" s="43" t="n">
        <v>0</v>
      </c>
      <c r="P585" s="43" t="n">
        <v>0</v>
      </c>
      <c r="Q585" s="43" t="n">
        <v>47</v>
      </c>
      <c r="R585" s="43" t="n">
        <v>0</v>
      </c>
      <c r="S585" s="43" t="n">
        <v>0</v>
      </c>
      <c r="T585" s="43" t="n">
        <v>0</v>
      </c>
      <c r="U585" s="42" t="n">
        <f aca="false">SUM(I585:T585)</f>
        <v>47</v>
      </c>
    </row>
    <row r="586" customFormat="false" ht="15" hidden="false" customHeight="false" outlineLevel="0" collapsed="false">
      <c r="A586" s="40" t="s">
        <v>1331</v>
      </c>
      <c r="B586" s="40" t="s">
        <v>292</v>
      </c>
      <c r="C586" s="40" t="s">
        <v>39</v>
      </c>
      <c r="D586" s="40" t="s">
        <v>7</v>
      </c>
      <c r="E586" s="40" t="s">
        <v>380</v>
      </c>
      <c r="F586" s="40" t="s">
        <v>293</v>
      </c>
      <c r="G586" s="40" t="s">
        <v>1332</v>
      </c>
      <c r="H586" s="40" t="s">
        <v>45</v>
      </c>
      <c r="I586" s="43" t="n">
        <v>33</v>
      </c>
      <c r="J586" s="43" t="n">
        <v>0</v>
      </c>
      <c r="K586" s="43" t="n">
        <v>0</v>
      </c>
      <c r="L586" s="43" t="n">
        <v>0</v>
      </c>
      <c r="M586" s="43" t="n">
        <v>0</v>
      </c>
      <c r="N586" s="43" t="n">
        <v>0</v>
      </c>
      <c r="O586" s="43" t="n">
        <v>0</v>
      </c>
      <c r="P586" s="43" t="n">
        <v>0</v>
      </c>
      <c r="Q586" s="43" t="n">
        <v>0</v>
      </c>
      <c r="R586" s="43" t="n">
        <v>33</v>
      </c>
      <c r="S586" s="43" t="n">
        <v>0</v>
      </c>
      <c r="T586" s="43" t="n">
        <v>0</v>
      </c>
      <c r="U586" s="42" t="n">
        <f aca="false">SUM(I586:T586)</f>
        <v>66</v>
      </c>
    </row>
    <row r="587" customFormat="false" ht="15" hidden="false" customHeight="false" outlineLevel="0" collapsed="false">
      <c r="A587" s="40" t="s">
        <v>1333</v>
      </c>
      <c r="B587" s="40" t="s">
        <v>292</v>
      </c>
      <c r="C587" s="40" t="s">
        <v>39</v>
      </c>
      <c r="D587" s="40" t="s">
        <v>7</v>
      </c>
      <c r="E587" s="40" t="s">
        <v>380</v>
      </c>
      <c r="F587" s="40" t="s">
        <v>293</v>
      </c>
      <c r="G587" s="40" t="s">
        <v>1334</v>
      </c>
      <c r="H587" s="40" t="s">
        <v>45</v>
      </c>
      <c r="I587" s="43" t="n">
        <v>0</v>
      </c>
      <c r="J587" s="43" t="n">
        <v>0</v>
      </c>
      <c r="K587" s="43" t="n">
        <v>0</v>
      </c>
      <c r="L587" s="43" t="n">
        <v>0</v>
      </c>
      <c r="M587" s="43" t="n">
        <v>0</v>
      </c>
      <c r="N587" s="43" t="n">
        <v>0</v>
      </c>
      <c r="O587" s="43" t="n">
        <v>0</v>
      </c>
      <c r="P587" s="43" t="n">
        <v>0</v>
      </c>
      <c r="Q587" s="43" t="n">
        <v>0</v>
      </c>
      <c r="R587" s="43" t="n">
        <v>65</v>
      </c>
      <c r="S587" s="43" t="n">
        <v>0</v>
      </c>
      <c r="T587" s="43" t="n">
        <v>0</v>
      </c>
      <c r="U587" s="42" t="n">
        <f aca="false">SUM(I587:T587)</f>
        <v>65</v>
      </c>
    </row>
    <row r="588" customFormat="false" ht="15" hidden="false" customHeight="false" outlineLevel="0" collapsed="false">
      <c r="A588" s="40" t="s">
        <v>1335</v>
      </c>
      <c r="B588" s="40" t="s">
        <v>292</v>
      </c>
      <c r="C588" s="40" t="s">
        <v>39</v>
      </c>
      <c r="D588" s="40" t="s">
        <v>7</v>
      </c>
      <c r="E588" s="40" t="s">
        <v>380</v>
      </c>
      <c r="F588" s="40" t="s">
        <v>293</v>
      </c>
      <c r="G588" s="40" t="s">
        <v>1336</v>
      </c>
      <c r="H588" s="40" t="s">
        <v>45</v>
      </c>
      <c r="I588" s="43" t="n">
        <v>0</v>
      </c>
      <c r="J588" s="43" t="n">
        <v>0</v>
      </c>
      <c r="K588" s="43" t="n">
        <v>0</v>
      </c>
      <c r="L588" s="43" t="n">
        <v>0</v>
      </c>
      <c r="M588" s="43" t="n">
        <v>0</v>
      </c>
      <c r="N588" s="43" t="n">
        <v>0</v>
      </c>
      <c r="O588" s="43" t="n">
        <v>0</v>
      </c>
      <c r="P588" s="43" t="n">
        <v>0</v>
      </c>
      <c r="Q588" s="43" t="n">
        <v>0</v>
      </c>
      <c r="R588" s="43" t="n">
        <v>0</v>
      </c>
      <c r="S588" s="43" t="n">
        <v>0</v>
      </c>
      <c r="T588" s="43" t="n">
        <v>130</v>
      </c>
      <c r="U588" s="42" t="n">
        <f aca="false">SUM(I588:T588)</f>
        <v>130</v>
      </c>
    </row>
    <row r="589" customFormat="false" ht="15" hidden="false" customHeight="false" outlineLevel="0" collapsed="false">
      <c r="A589" s="40" t="s">
        <v>1337</v>
      </c>
      <c r="B589" s="40" t="s">
        <v>292</v>
      </c>
      <c r="C589" s="40" t="s">
        <v>39</v>
      </c>
      <c r="D589" s="40" t="s">
        <v>7</v>
      </c>
      <c r="E589" s="40" t="s">
        <v>380</v>
      </c>
      <c r="F589" s="40" t="s">
        <v>293</v>
      </c>
      <c r="G589" s="40" t="s">
        <v>1338</v>
      </c>
      <c r="H589" s="40" t="s">
        <v>45</v>
      </c>
      <c r="I589" s="43" t="n">
        <v>0</v>
      </c>
      <c r="J589" s="43" t="n">
        <v>0</v>
      </c>
      <c r="K589" s="43" t="n">
        <v>0</v>
      </c>
      <c r="L589" s="43" t="n">
        <v>0</v>
      </c>
      <c r="M589" s="43" t="n">
        <v>0</v>
      </c>
      <c r="N589" s="43" t="n">
        <v>65</v>
      </c>
      <c r="O589" s="43" t="n">
        <v>0</v>
      </c>
      <c r="P589" s="43" t="n">
        <v>0</v>
      </c>
      <c r="Q589" s="43" t="n">
        <v>0</v>
      </c>
      <c r="R589" s="43" t="n">
        <v>33</v>
      </c>
      <c r="S589" s="43" t="n">
        <v>0</v>
      </c>
      <c r="T589" s="43" t="n">
        <v>33</v>
      </c>
      <c r="U589" s="42" t="n">
        <f aca="false">SUM(I589:T589)</f>
        <v>131</v>
      </c>
    </row>
    <row r="590" customFormat="false" ht="15" hidden="false" customHeight="false" outlineLevel="0" collapsed="false">
      <c r="A590" s="40" t="s">
        <v>1339</v>
      </c>
      <c r="B590" s="40" t="s">
        <v>292</v>
      </c>
      <c r="C590" s="40" t="s">
        <v>39</v>
      </c>
      <c r="D590" s="40" t="s">
        <v>7</v>
      </c>
      <c r="E590" s="40" t="s">
        <v>380</v>
      </c>
      <c r="F590" s="40" t="s">
        <v>293</v>
      </c>
      <c r="G590" s="40" t="s">
        <v>1340</v>
      </c>
      <c r="H590" s="40" t="s">
        <v>45</v>
      </c>
      <c r="I590" s="43" t="n">
        <v>33</v>
      </c>
      <c r="J590" s="43" t="n">
        <v>0</v>
      </c>
      <c r="K590" s="43" t="n">
        <v>0</v>
      </c>
      <c r="L590" s="43" t="n">
        <v>0</v>
      </c>
      <c r="M590" s="43" t="n">
        <v>0</v>
      </c>
      <c r="N590" s="43" t="n">
        <v>0</v>
      </c>
      <c r="O590" s="43" t="n">
        <v>0</v>
      </c>
      <c r="P590" s="43" t="n">
        <v>0</v>
      </c>
      <c r="Q590" s="43" t="n">
        <v>0</v>
      </c>
      <c r="R590" s="43" t="n">
        <v>0</v>
      </c>
      <c r="S590" s="43" t="n">
        <v>0</v>
      </c>
      <c r="T590" s="43" t="n">
        <v>33</v>
      </c>
      <c r="U590" s="42" t="n">
        <f aca="false">SUM(I590:T590)</f>
        <v>66</v>
      </c>
    </row>
    <row r="591" customFormat="false" ht="15" hidden="false" customHeight="false" outlineLevel="0" collapsed="false">
      <c r="A591" s="40" t="s">
        <v>1341</v>
      </c>
      <c r="B591" s="40" t="s">
        <v>292</v>
      </c>
      <c r="C591" s="40" t="s">
        <v>39</v>
      </c>
      <c r="D591" s="40" t="s">
        <v>7</v>
      </c>
      <c r="E591" s="40" t="s">
        <v>380</v>
      </c>
      <c r="F591" s="40" t="s">
        <v>293</v>
      </c>
      <c r="G591" s="40" t="s">
        <v>407</v>
      </c>
      <c r="H591" s="40" t="s">
        <v>45</v>
      </c>
      <c r="I591" s="43" t="n">
        <v>0</v>
      </c>
      <c r="J591" s="43" t="n">
        <v>0</v>
      </c>
      <c r="K591" s="43" t="n">
        <v>0</v>
      </c>
      <c r="L591" s="43" t="n">
        <v>0</v>
      </c>
      <c r="M591" s="43" t="n">
        <v>0</v>
      </c>
      <c r="N591" s="43" t="n">
        <v>0</v>
      </c>
      <c r="O591" s="43" t="n">
        <v>0</v>
      </c>
      <c r="P591" s="43" t="n">
        <v>0</v>
      </c>
      <c r="Q591" s="43" t="n">
        <v>0</v>
      </c>
      <c r="R591" s="43" t="n">
        <v>27</v>
      </c>
      <c r="S591" s="43" t="n">
        <v>0</v>
      </c>
      <c r="T591" s="43" t="n">
        <v>0</v>
      </c>
      <c r="U591" s="42" t="n">
        <f aca="false">SUM(I591:T591)</f>
        <v>27</v>
      </c>
    </row>
    <row r="592" customFormat="false" ht="15" hidden="false" customHeight="false" outlineLevel="0" collapsed="false">
      <c r="A592" s="40" t="s">
        <v>1342</v>
      </c>
      <c r="B592" s="40" t="s">
        <v>292</v>
      </c>
      <c r="C592" s="40" t="s">
        <v>39</v>
      </c>
      <c r="D592" s="40" t="s">
        <v>7</v>
      </c>
      <c r="E592" s="40" t="s">
        <v>380</v>
      </c>
      <c r="F592" s="40" t="s">
        <v>293</v>
      </c>
      <c r="G592" s="40" t="s">
        <v>411</v>
      </c>
      <c r="H592" s="40" t="s">
        <v>45</v>
      </c>
      <c r="I592" s="43" t="n">
        <v>0</v>
      </c>
      <c r="J592" s="43" t="n">
        <v>0</v>
      </c>
      <c r="K592" s="43" t="n">
        <v>0</v>
      </c>
      <c r="L592" s="43" t="n">
        <v>0</v>
      </c>
      <c r="M592" s="43" t="n">
        <v>0</v>
      </c>
      <c r="N592" s="43" t="n">
        <v>0</v>
      </c>
      <c r="O592" s="43" t="n">
        <v>0</v>
      </c>
      <c r="P592" s="43" t="n">
        <v>0</v>
      </c>
      <c r="Q592" s="43" t="n">
        <v>0</v>
      </c>
      <c r="R592" s="43" t="n">
        <v>0</v>
      </c>
      <c r="S592" s="43" t="n">
        <v>0</v>
      </c>
      <c r="T592" s="43" t="n">
        <v>18</v>
      </c>
      <c r="U592" s="42" t="n">
        <f aca="false">SUM(I592:T592)</f>
        <v>18</v>
      </c>
    </row>
    <row r="593" customFormat="false" ht="23.85" hidden="false" customHeight="false" outlineLevel="0" collapsed="false">
      <c r="A593" s="40" t="s">
        <v>1343</v>
      </c>
      <c r="B593" s="40" t="s">
        <v>342</v>
      </c>
      <c r="C593" s="40" t="s">
        <v>39</v>
      </c>
      <c r="D593" s="40" t="s">
        <v>8</v>
      </c>
      <c r="E593" s="40" t="s">
        <v>381</v>
      </c>
      <c r="F593" s="40" t="s">
        <v>343</v>
      </c>
      <c r="G593" s="40" t="s">
        <v>1344</v>
      </c>
      <c r="H593" s="40" t="s">
        <v>45</v>
      </c>
      <c r="I593" s="43" t="n">
        <v>0</v>
      </c>
      <c r="J593" s="43" t="n">
        <v>0</v>
      </c>
      <c r="K593" s="43" t="n">
        <v>0</v>
      </c>
      <c r="L593" s="43" t="n">
        <v>0</v>
      </c>
      <c r="M593" s="43" t="n">
        <v>0</v>
      </c>
      <c r="N593" s="43" t="n">
        <v>0</v>
      </c>
      <c r="O593" s="43" t="n">
        <v>0</v>
      </c>
      <c r="P593" s="43" t="n">
        <v>0</v>
      </c>
      <c r="Q593" s="43" t="n">
        <v>0</v>
      </c>
      <c r="R593" s="43" t="n">
        <v>49</v>
      </c>
      <c r="S593" s="43" t="n">
        <v>0</v>
      </c>
      <c r="T593" s="43" t="n">
        <v>0</v>
      </c>
      <c r="U593" s="42" t="n">
        <f aca="false">SUM(I593:T593)</f>
        <v>49</v>
      </c>
    </row>
    <row r="594" customFormat="false" ht="23.85" hidden="false" customHeight="false" outlineLevel="0" collapsed="false">
      <c r="A594" s="40" t="s">
        <v>1345</v>
      </c>
      <c r="B594" s="40" t="s">
        <v>342</v>
      </c>
      <c r="C594" s="40" t="s">
        <v>39</v>
      </c>
      <c r="D594" s="40" t="s">
        <v>8</v>
      </c>
      <c r="E594" s="40" t="s">
        <v>381</v>
      </c>
      <c r="F594" s="40" t="s">
        <v>343</v>
      </c>
      <c r="G594" s="40" t="s">
        <v>1346</v>
      </c>
      <c r="H594" s="40" t="s">
        <v>45</v>
      </c>
      <c r="I594" s="43" t="n">
        <v>0</v>
      </c>
      <c r="J594" s="43" t="n">
        <v>0</v>
      </c>
      <c r="K594" s="43" t="n">
        <v>0</v>
      </c>
      <c r="L594" s="43" t="n">
        <v>0</v>
      </c>
      <c r="M594" s="43" t="n">
        <v>0</v>
      </c>
      <c r="N594" s="43" t="n">
        <v>0</v>
      </c>
      <c r="O594" s="43" t="n">
        <v>73</v>
      </c>
      <c r="P594" s="43" t="n">
        <v>0</v>
      </c>
      <c r="Q594" s="43" t="n">
        <v>0</v>
      </c>
      <c r="R594" s="43" t="n">
        <v>0</v>
      </c>
      <c r="S594" s="43" t="n">
        <v>0</v>
      </c>
      <c r="T594" s="43" t="n">
        <v>0</v>
      </c>
      <c r="U594" s="42" t="n">
        <f aca="false">SUM(I594:T594)</f>
        <v>73</v>
      </c>
    </row>
    <row r="595" customFormat="false" ht="23.85" hidden="false" customHeight="false" outlineLevel="0" collapsed="false">
      <c r="A595" s="40" t="s">
        <v>1347</v>
      </c>
      <c r="B595" s="40" t="s">
        <v>342</v>
      </c>
      <c r="C595" s="40" t="s">
        <v>39</v>
      </c>
      <c r="D595" s="40" t="s">
        <v>8</v>
      </c>
      <c r="E595" s="40" t="s">
        <v>381</v>
      </c>
      <c r="F595" s="40" t="s">
        <v>343</v>
      </c>
      <c r="G595" s="40" t="s">
        <v>1348</v>
      </c>
      <c r="H595" s="40" t="s">
        <v>45</v>
      </c>
      <c r="I595" s="43" t="n">
        <v>0</v>
      </c>
      <c r="J595" s="43" t="n">
        <v>0</v>
      </c>
      <c r="K595" s="43" t="n">
        <v>0</v>
      </c>
      <c r="L595" s="43" t="n">
        <v>0</v>
      </c>
      <c r="M595" s="43" t="n">
        <v>0</v>
      </c>
      <c r="N595" s="43" t="n">
        <v>49</v>
      </c>
      <c r="O595" s="43" t="n">
        <v>24</v>
      </c>
      <c r="P595" s="43" t="n">
        <v>0</v>
      </c>
      <c r="Q595" s="43" t="n">
        <v>0</v>
      </c>
      <c r="R595" s="43" t="n">
        <v>0</v>
      </c>
      <c r="S595" s="43" t="n">
        <v>0</v>
      </c>
      <c r="T595" s="43" t="n">
        <v>0</v>
      </c>
      <c r="U595" s="42" t="n">
        <f aca="false">SUM(I595:T595)</f>
        <v>73</v>
      </c>
    </row>
    <row r="596" customFormat="false" ht="23.85" hidden="false" customHeight="false" outlineLevel="0" collapsed="false">
      <c r="A596" s="40" t="s">
        <v>1349</v>
      </c>
      <c r="B596" s="40" t="s">
        <v>342</v>
      </c>
      <c r="C596" s="40" t="s">
        <v>39</v>
      </c>
      <c r="D596" s="40" t="s">
        <v>8</v>
      </c>
      <c r="E596" s="40" t="s">
        <v>381</v>
      </c>
      <c r="F596" s="40" t="s">
        <v>343</v>
      </c>
      <c r="G596" s="40" t="s">
        <v>1350</v>
      </c>
      <c r="H596" s="40" t="s">
        <v>45</v>
      </c>
      <c r="I596" s="43" t="n">
        <v>0</v>
      </c>
      <c r="J596" s="43" t="n">
        <v>0</v>
      </c>
      <c r="K596" s="43" t="n">
        <v>0</v>
      </c>
      <c r="L596" s="43" t="n">
        <v>0</v>
      </c>
      <c r="M596" s="43" t="n">
        <v>0</v>
      </c>
      <c r="N596" s="43" t="n">
        <v>73</v>
      </c>
      <c r="O596" s="43" t="n">
        <v>0</v>
      </c>
      <c r="P596" s="43" t="n">
        <v>0</v>
      </c>
      <c r="Q596" s="43" t="n">
        <v>0</v>
      </c>
      <c r="R596" s="43" t="n">
        <v>0</v>
      </c>
      <c r="S596" s="43" t="n">
        <v>0</v>
      </c>
      <c r="T596" s="43" t="n">
        <v>0</v>
      </c>
      <c r="U596" s="42" t="n">
        <f aca="false">SUM(I596:T596)</f>
        <v>73</v>
      </c>
    </row>
    <row r="597" customFormat="false" ht="23.85" hidden="false" customHeight="false" outlineLevel="0" collapsed="false">
      <c r="A597" s="40" t="s">
        <v>1351</v>
      </c>
      <c r="B597" s="40" t="s">
        <v>342</v>
      </c>
      <c r="C597" s="40" t="s">
        <v>39</v>
      </c>
      <c r="D597" s="40" t="s">
        <v>8</v>
      </c>
      <c r="E597" s="40" t="s">
        <v>381</v>
      </c>
      <c r="F597" s="40" t="s">
        <v>343</v>
      </c>
      <c r="G597" s="40" t="s">
        <v>1352</v>
      </c>
      <c r="H597" s="40" t="s">
        <v>45</v>
      </c>
      <c r="I597" s="43" t="n">
        <v>0</v>
      </c>
      <c r="J597" s="43" t="n">
        <v>0</v>
      </c>
      <c r="K597" s="43" t="n">
        <v>0</v>
      </c>
      <c r="L597" s="43" t="n">
        <v>0</v>
      </c>
      <c r="M597" s="43" t="n">
        <v>0</v>
      </c>
      <c r="N597" s="43" t="n">
        <v>49</v>
      </c>
      <c r="O597" s="43" t="n">
        <v>0</v>
      </c>
      <c r="P597" s="43" t="n">
        <v>0</v>
      </c>
      <c r="Q597" s="43" t="n">
        <v>0</v>
      </c>
      <c r="R597" s="43" t="n">
        <v>0</v>
      </c>
      <c r="S597" s="43" t="n">
        <v>0</v>
      </c>
      <c r="T597" s="43" t="n">
        <v>0</v>
      </c>
      <c r="U597" s="42" t="n">
        <f aca="false">SUM(I597:T597)</f>
        <v>49</v>
      </c>
    </row>
    <row r="598" customFormat="false" ht="23.85" hidden="false" customHeight="false" outlineLevel="0" collapsed="false">
      <c r="A598" s="40" t="s">
        <v>1353</v>
      </c>
      <c r="B598" s="40" t="s">
        <v>342</v>
      </c>
      <c r="C598" s="40" t="s">
        <v>39</v>
      </c>
      <c r="D598" s="40" t="s">
        <v>8</v>
      </c>
      <c r="E598" s="40" t="s">
        <v>381</v>
      </c>
      <c r="F598" s="40" t="s">
        <v>343</v>
      </c>
      <c r="G598" s="40" t="s">
        <v>1354</v>
      </c>
      <c r="H598" s="40" t="s">
        <v>45</v>
      </c>
      <c r="I598" s="43" t="n">
        <v>0</v>
      </c>
      <c r="J598" s="43" t="n">
        <v>0</v>
      </c>
      <c r="K598" s="43" t="n">
        <v>0</v>
      </c>
      <c r="L598" s="43" t="n">
        <v>0</v>
      </c>
      <c r="M598" s="43" t="n">
        <v>0</v>
      </c>
      <c r="N598" s="43" t="n">
        <v>24</v>
      </c>
      <c r="O598" s="43" t="n">
        <v>24</v>
      </c>
      <c r="P598" s="43" t="n">
        <v>0</v>
      </c>
      <c r="Q598" s="43" t="n">
        <v>0</v>
      </c>
      <c r="R598" s="43" t="n">
        <v>49</v>
      </c>
      <c r="S598" s="43" t="n">
        <v>73</v>
      </c>
      <c r="T598" s="43" t="n">
        <v>0</v>
      </c>
      <c r="U598" s="42" t="n">
        <f aca="false">SUM(I598:T598)</f>
        <v>170</v>
      </c>
    </row>
    <row r="599" customFormat="false" ht="23.85" hidden="false" customHeight="false" outlineLevel="0" collapsed="false">
      <c r="A599" s="40" t="s">
        <v>1355</v>
      </c>
      <c r="B599" s="40" t="s">
        <v>342</v>
      </c>
      <c r="C599" s="40" t="s">
        <v>39</v>
      </c>
      <c r="D599" s="40" t="s">
        <v>8</v>
      </c>
      <c r="E599" s="40" t="s">
        <v>381</v>
      </c>
      <c r="F599" s="40" t="s">
        <v>343</v>
      </c>
      <c r="G599" s="40" t="s">
        <v>407</v>
      </c>
      <c r="H599" s="40" t="s">
        <v>45</v>
      </c>
      <c r="I599" s="43" t="n">
        <v>0</v>
      </c>
      <c r="J599" s="43" t="n">
        <v>0</v>
      </c>
      <c r="K599" s="43" t="n">
        <v>0</v>
      </c>
      <c r="L599" s="43" t="n">
        <v>0</v>
      </c>
      <c r="M599" s="43" t="n">
        <v>29</v>
      </c>
      <c r="N599" s="43" t="n">
        <v>0</v>
      </c>
      <c r="O599" s="43" t="n">
        <v>0</v>
      </c>
      <c r="P599" s="43" t="n">
        <v>0</v>
      </c>
      <c r="Q599" s="43" t="n">
        <v>0</v>
      </c>
      <c r="R599" s="43" t="n">
        <v>0</v>
      </c>
      <c r="S599" s="43" t="n">
        <v>0</v>
      </c>
      <c r="T599" s="43" t="n">
        <v>0</v>
      </c>
      <c r="U599" s="42" t="n">
        <f aca="false">SUM(I599:T599)</f>
        <v>29</v>
      </c>
    </row>
    <row r="600" customFormat="false" ht="23.85" hidden="false" customHeight="false" outlineLevel="0" collapsed="false">
      <c r="A600" s="40" t="s">
        <v>1356</v>
      </c>
      <c r="B600" s="40" t="s">
        <v>342</v>
      </c>
      <c r="C600" s="40" t="s">
        <v>39</v>
      </c>
      <c r="D600" s="40" t="s">
        <v>8</v>
      </c>
      <c r="E600" s="40" t="s">
        <v>381</v>
      </c>
      <c r="F600" s="40" t="s">
        <v>343</v>
      </c>
      <c r="G600" s="40" t="s">
        <v>409</v>
      </c>
      <c r="H600" s="40" t="s">
        <v>45</v>
      </c>
      <c r="I600" s="43" t="n">
        <v>0</v>
      </c>
      <c r="J600" s="43" t="n">
        <v>0</v>
      </c>
      <c r="K600" s="43" t="n">
        <v>20</v>
      </c>
      <c r="L600" s="43" t="n">
        <v>0</v>
      </c>
      <c r="M600" s="43" t="n">
        <v>0</v>
      </c>
      <c r="N600" s="43" t="n">
        <v>0</v>
      </c>
      <c r="O600" s="43" t="n">
        <v>0</v>
      </c>
      <c r="P600" s="43" t="n">
        <v>0</v>
      </c>
      <c r="Q600" s="43" t="n">
        <v>0</v>
      </c>
      <c r="R600" s="43" t="n">
        <v>0</v>
      </c>
      <c r="S600" s="43" t="n">
        <v>0</v>
      </c>
      <c r="T600" s="43" t="n">
        <v>0</v>
      </c>
      <c r="U600" s="42" t="n">
        <f aca="false">SUM(I600:T600)</f>
        <v>20</v>
      </c>
    </row>
    <row r="601" customFormat="false" ht="23.85" hidden="false" customHeight="false" outlineLevel="0" collapsed="false">
      <c r="A601" s="40" t="s">
        <v>1357</v>
      </c>
      <c r="B601" s="40" t="s">
        <v>342</v>
      </c>
      <c r="C601" s="40" t="s">
        <v>39</v>
      </c>
      <c r="D601" s="40" t="s">
        <v>8</v>
      </c>
      <c r="E601" s="40" t="s">
        <v>381</v>
      </c>
      <c r="F601" s="40" t="s">
        <v>343</v>
      </c>
      <c r="G601" s="40" t="s">
        <v>411</v>
      </c>
      <c r="H601" s="40" t="s">
        <v>45</v>
      </c>
      <c r="I601" s="43" t="n">
        <v>0</v>
      </c>
      <c r="J601" s="43" t="n">
        <v>0</v>
      </c>
      <c r="K601" s="43" t="n">
        <v>0</v>
      </c>
      <c r="L601" s="43" t="n">
        <v>0</v>
      </c>
      <c r="M601" s="43" t="n">
        <v>0</v>
      </c>
      <c r="N601" s="43" t="n">
        <v>20</v>
      </c>
      <c r="O601" s="43" t="n">
        <v>0</v>
      </c>
      <c r="P601" s="43" t="n">
        <v>0</v>
      </c>
      <c r="Q601" s="43" t="n">
        <v>0</v>
      </c>
      <c r="R601" s="43" t="n">
        <v>0</v>
      </c>
      <c r="S601" s="43" t="n">
        <v>0</v>
      </c>
      <c r="T601" s="43" t="n">
        <v>0</v>
      </c>
      <c r="U601" s="42" t="n">
        <f aca="false">SUM(I601:T601)</f>
        <v>20</v>
      </c>
    </row>
    <row r="602" customFormat="false" ht="23.85" hidden="false" customHeight="false" outlineLevel="0" collapsed="false">
      <c r="A602" s="40" t="s">
        <v>1358</v>
      </c>
      <c r="B602" s="40" t="s">
        <v>342</v>
      </c>
      <c r="C602" s="40" t="s">
        <v>39</v>
      </c>
      <c r="D602" s="40" t="s">
        <v>8</v>
      </c>
      <c r="E602" s="40" t="s">
        <v>381</v>
      </c>
      <c r="F602" s="40" t="s">
        <v>343</v>
      </c>
      <c r="G602" s="40" t="s">
        <v>413</v>
      </c>
      <c r="H602" s="40" t="s">
        <v>45</v>
      </c>
      <c r="I602" s="43" t="n">
        <v>0</v>
      </c>
      <c r="J602" s="43" t="n">
        <v>0</v>
      </c>
      <c r="K602" s="43" t="n">
        <v>0</v>
      </c>
      <c r="L602" s="43" t="n">
        <v>0</v>
      </c>
      <c r="M602" s="43" t="n">
        <v>0</v>
      </c>
      <c r="N602" s="43" t="n">
        <v>39</v>
      </c>
      <c r="O602" s="43" t="n">
        <v>0</v>
      </c>
      <c r="P602" s="43" t="n">
        <v>0</v>
      </c>
      <c r="Q602" s="43" t="n">
        <v>0</v>
      </c>
      <c r="R602" s="43" t="n">
        <v>0</v>
      </c>
      <c r="S602" s="43" t="n">
        <v>0</v>
      </c>
      <c r="T602" s="43" t="n">
        <v>0</v>
      </c>
      <c r="U602" s="42" t="n">
        <f aca="false">SUM(I602:T602)</f>
        <v>39</v>
      </c>
    </row>
    <row r="603" customFormat="false" ht="15" hidden="false" customHeight="false" outlineLevel="0" collapsed="false">
      <c r="A603" s="40" t="s">
        <v>1359</v>
      </c>
      <c r="B603" s="40" t="s">
        <v>345</v>
      </c>
      <c r="C603" s="40" t="s">
        <v>39</v>
      </c>
      <c r="D603" s="40" t="s">
        <v>8</v>
      </c>
      <c r="E603" s="40" t="s">
        <v>381</v>
      </c>
      <c r="F603" s="40" t="s">
        <v>346</v>
      </c>
      <c r="G603" s="40" t="s">
        <v>1360</v>
      </c>
      <c r="H603" s="40" t="s">
        <v>42</v>
      </c>
      <c r="I603" s="43" t="n">
        <v>0</v>
      </c>
      <c r="J603" s="43" t="n">
        <v>0</v>
      </c>
      <c r="K603" s="43" t="n">
        <v>0</v>
      </c>
      <c r="L603" s="43" t="n">
        <v>10</v>
      </c>
      <c r="M603" s="43" t="n">
        <v>0</v>
      </c>
      <c r="N603" s="43" t="n">
        <v>0</v>
      </c>
      <c r="O603" s="43" t="n">
        <v>0</v>
      </c>
      <c r="P603" s="43" t="n">
        <v>0</v>
      </c>
      <c r="Q603" s="43" t="n">
        <v>20</v>
      </c>
      <c r="R603" s="43" t="n">
        <v>0</v>
      </c>
      <c r="S603" s="43" t="n">
        <v>0</v>
      </c>
      <c r="T603" s="43" t="n">
        <v>0</v>
      </c>
      <c r="U603" s="42" t="n">
        <f aca="false">SUM(I603:T603)</f>
        <v>30</v>
      </c>
    </row>
    <row r="604" customFormat="false" ht="15" hidden="false" customHeight="false" outlineLevel="0" collapsed="false">
      <c r="A604" s="40" t="s">
        <v>1361</v>
      </c>
      <c r="B604" s="40" t="s">
        <v>345</v>
      </c>
      <c r="C604" s="40" t="s">
        <v>39</v>
      </c>
      <c r="D604" s="40" t="s">
        <v>8</v>
      </c>
      <c r="E604" s="40" t="s">
        <v>381</v>
      </c>
      <c r="F604" s="40" t="s">
        <v>346</v>
      </c>
      <c r="G604" s="40" t="s">
        <v>1362</v>
      </c>
      <c r="H604" s="40" t="s">
        <v>42</v>
      </c>
      <c r="I604" s="43" t="n">
        <v>0</v>
      </c>
      <c r="J604" s="43" t="n">
        <v>0</v>
      </c>
      <c r="K604" s="43" t="n">
        <v>0</v>
      </c>
      <c r="L604" s="43" t="n">
        <v>0</v>
      </c>
      <c r="M604" s="43" t="n">
        <v>0</v>
      </c>
      <c r="N604" s="43" t="n">
        <v>0</v>
      </c>
      <c r="O604" s="43" t="n">
        <v>0</v>
      </c>
      <c r="P604" s="43" t="n">
        <v>0</v>
      </c>
      <c r="Q604" s="43" t="n">
        <v>81</v>
      </c>
      <c r="R604" s="43" t="n">
        <v>0</v>
      </c>
      <c r="S604" s="43" t="n">
        <v>0</v>
      </c>
      <c r="T604" s="43" t="n">
        <v>0</v>
      </c>
      <c r="U604" s="42" t="n">
        <f aca="false">SUM(I604:T604)</f>
        <v>81</v>
      </c>
    </row>
    <row r="605" customFormat="false" ht="15" hidden="false" customHeight="false" outlineLevel="0" collapsed="false">
      <c r="A605" s="40" t="s">
        <v>1363</v>
      </c>
      <c r="B605" s="40" t="s">
        <v>345</v>
      </c>
      <c r="C605" s="40" t="s">
        <v>39</v>
      </c>
      <c r="D605" s="40" t="s">
        <v>8</v>
      </c>
      <c r="E605" s="40" t="s">
        <v>381</v>
      </c>
      <c r="F605" s="40" t="s">
        <v>346</v>
      </c>
      <c r="G605" s="40" t="s">
        <v>1364</v>
      </c>
      <c r="H605" s="40" t="s">
        <v>42</v>
      </c>
      <c r="I605" s="43" t="n">
        <v>0</v>
      </c>
      <c r="J605" s="43" t="n">
        <v>0</v>
      </c>
      <c r="K605" s="43" t="n">
        <v>26</v>
      </c>
      <c r="L605" s="43" t="n">
        <v>20</v>
      </c>
      <c r="M605" s="43" t="n">
        <v>0</v>
      </c>
      <c r="N605" s="43" t="n">
        <v>0</v>
      </c>
      <c r="O605" s="43" t="n">
        <v>0</v>
      </c>
      <c r="P605" s="43" t="n">
        <v>0</v>
      </c>
      <c r="Q605" s="43" t="n">
        <v>0</v>
      </c>
      <c r="R605" s="43" t="n">
        <v>0</v>
      </c>
      <c r="S605" s="43" t="n">
        <v>0</v>
      </c>
      <c r="T605" s="43" t="n">
        <v>0</v>
      </c>
      <c r="U605" s="42" t="n">
        <f aca="false">SUM(I605:T605)</f>
        <v>46</v>
      </c>
    </row>
    <row r="606" customFormat="false" ht="15" hidden="false" customHeight="false" outlineLevel="0" collapsed="false">
      <c r="A606" s="40" t="s">
        <v>1365</v>
      </c>
      <c r="B606" s="40" t="s">
        <v>345</v>
      </c>
      <c r="C606" s="40" t="s">
        <v>39</v>
      </c>
      <c r="D606" s="40" t="s">
        <v>8</v>
      </c>
      <c r="E606" s="40" t="s">
        <v>381</v>
      </c>
      <c r="F606" s="40" t="s">
        <v>346</v>
      </c>
      <c r="G606" s="40" t="s">
        <v>1366</v>
      </c>
      <c r="H606" s="40" t="s">
        <v>42</v>
      </c>
      <c r="I606" s="43" t="n">
        <v>0</v>
      </c>
      <c r="J606" s="43" t="n">
        <v>0</v>
      </c>
      <c r="K606" s="43" t="n">
        <v>0</v>
      </c>
      <c r="L606" s="43" t="n">
        <v>31</v>
      </c>
      <c r="M606" s="43" t="n">
        <v>0</v>
      </c>
      <c r="N606" s="43" t="n">
        <v>0</v>
      </c>
      <c r="O606" s="43" t="n">
        <v>0</v>
      </c>
      <c r="P606" s="43" t="n">
        <v>0</v>
      </c>
      <c r="Q606" s="43" t="n">
        <v>0</v>
      </c>
      <c r="R606" s="43" t="n">
        <v>0</v>
      </c>
      <c r="S606" s="43" t="n">
        <v>0</v>
      </c>
      <c r="T606" s="43" t="n">
        <v>0</v>
      </c>
      <c r="U606" s="42" t="n">
        <f aca="false">SUM(I606:T606)</f>
        <v>31</v>
      </c>
    </row>
    <row r="607" customFormat="false" ht="15" hidden="false" customHeight="false" outlineLevel="0" collapsed="false">
      <c r="A607" s="40" t="s">
        <v>1367</v>
      </c>
      <c r="B607" s="40" t="s">
        <v>345</v>
      </c>
      <c r="C607" s="40" t="s">
        <v>39</v>
      </c>
      <c r="D607" s="40" t="s">
        <v>8</v>
      </c>
      <c r="E607" s="40" t="s">
        <v>381</v>
      </c>
      <c r="F607" s="40" t="s">
        <v>346</v>
      </c>
      <c r="G607" s="40" t="s">
        <v>1368</v>
      </c>
      <c r="H607" s="40" t="s">
        <v>42</v>
      </c>
      <c r="I607" s="43" t="n">
        <v>0</v>
      </c>
      <c r="J607" s="43" t="n">
        <v>0</v>
      </c>
      <c r="K607" s="43" t="n">
        <v>15</v>
      </c>
      <c r="L607" s="43" t="n">
        <v>0</v>
      </c>
      <c r="M607" s="43" t="n">
        <v>0</v>
      </c>
      <c r="N607" s="43" t="n">
        <v>0</v>
      </c>
      <c r="O607" s="43" t="n">
        <v>0</v>
      </c>
      <c r="P607" s="43" t="n">
        <v>0</v>
      </c>
      <c r="Q607" s="43" t="n">
        <v>20</v>
      </c>
      <c r="R607" s="43" t="n">
        <v>0</v>
      </c>
      <c r="S607" s="43" t="n">
        <v>41</v>
      </c>
      <c r="T607" s="43" t="n">
        <v>0</v>
      </c>
      <c r="U607" s="42" t="n">
        <f aca="false">SUM(I607:T607)</f>
        <v>76</v>
      </c>
    </row>
    <row r="608" customFormat="false" ht="15" hidden="false" customHeight="false" outlineLevel="0" collapsed="false">
      <c r="A608" s="40" t="s">
        <v>1369</v>
      </c>
      <c r="B608" s="40" t="s">
        <v>345</v>
      </c>
      <c r="C608" s="40" t="s">
        <v>39</v>
      </c>
      <c r="D608" s="40" t="s">
        <v>8</v>
      </c>
      <c r="E608" s="40" t="s">
        <v>381</v>
      </c>
      <c r="F608" s="40" t="s">
        <v>346</v>
      </c>
      <c r="G608" s="40" t="s">
        <v>407</v>
      </c>
      <c r="H608" s="40" t="s">
        <v>42</v>
      </c>
      <c r="I608" s="43" t="n">
        <v>0</v>
      </c>
      <c r="J608" s="43" t="n">
        <v>16</v>
      </c>
      <c r="K608" s="43" t="n">
        <v>0</v>
      </c>
      <c r="L608" s="43" t="n">
        <v>0</v>
      </c>
      <c r="M608" s="43" t="n">
        <v>0</v>
      </c>
      <c r="N608" s="43" t="n">
        <v>0</v>
      </c>
      <c r="O608" s="43" t="n">
        <v>0</v>
      </c>
      <c r="P608" s="43" t="n">
        <v>0</v>
      </c>
      <c r="Q608" s="43" t="n">
        <v>0</v>
      </c>
      <c r="R608" s="43" t="n">
        <v>0</v>
      </c>
      <c r="S608" s="43" t="n">
        <v>0</v>
      </c>
      <c r="T608" s="43" t="n">
        <v>0</v>
      </c>
      <c r="U608" s="42" t="n">
        <f aca="false">SUM(I608:T608)</f>
        <v>16</v>
      </c>
    </row>
    <row r="609" customFormat="false" ht="15" hidden="false" customHeight="false" outlineLevel="0" collapsed="false">
      <c r="A609" s="40" t="s">
        <v>1370</v>
      </c>
      <c r="B609" s="40" t="s">
        <v>345</v>
      </c>
      <c r="C609" s="40" t="s">
        <v>39</v>
      </c>
      <c r="D609" s="40" t="s">
        <v>8</v>
      </c>
      <c r="E609" s="40" t="s">
        <v>381</v>
      </c>
      <c r="F609" s="40" t="s">
        <v>346</v>
      </c>
      <c r="G609" s="40" t="s">
        <v>409</v>
      </c>
      <c r="H609" s="40" t="s">
        <v>42</v>
      </c>
      <c r="I609" s="43" t="n">
        <v>0</v>
      </c>
      <c r="J609" s="43" t="n">
        <v>0</v>
      </c>
      <c r="K609" s="43" t="n">
        <v>11</v>
      </c>
      <c r="L609" s="43" t="n">
        <v>0</v>
      </c>
      <c r="M609" s="43" t="n">
        <v>0</v>
      </c>
      <c r="N609" s="43" t="n">
        <v>0</v>
      </c>
      <c r="O609" s="43" t="n">
        <v>0</v>
      </c>
      <c r="P609" s="43" t="n">
        <v>0</v>
      </c>
      <c r="Q609" s="43" t="n">
        <v>0</v>
      </c>
      <c r="R609" s="43" t="n">
        <v>0</v>
      </c>
      <c r="S609" s="43" t="n">
        <v>0</v>
      </c>
      <c r="T609" s="43" t="n">
        <v>0</v>
      </c>
      <c r="U609" s="42" t="n">
        <f aca="false">SUM(I609:T609)</f>
        <v>11</v>
      </c>
    </row>
    <row r="610" customFormat="false" ht="15" hidden="false" customHeight="false" outlineLevel="0" collapsed="false">
      <c r="A610" s="40" t="s">
        <v>1371</v>
      </c>
      <c r="B610" s="40" t="s">
        <v>345</v>
      </c>
      <c r="C610" s="40" t="s">
        <v>39</v>
      </c>
      <c r="D610" s="40" t="s">
        <v>8</v>
      </c>
      <c r="E610" s="40" t="s">
        <v>381</v>
      </c>
      <c r="F610" s="40" t="s">
        <v>346</v>
      </c>
      <c r="G610" s="40" t="s">
        <v>411</v>
      </c>
      <c r="H610" s="40" t="s">
        <v>42</v>
      </c>
      <c r="I610" s="43" t="n">
        <v>0</v>
      </c>
      <c r="J610" s="43" t="n">
        <v>0</v>
      </c>
      <c r="K610" s="43" t="n">
        <v>0</v>
      </c>
      <c r="L610" s="43" t="n">
        <v>0</v>
      </c>
      <c r="M610" s="43" t="n">
        <v>0</v>
      </c>
      <c r="N610" s="43" t="n">
        <v>0</v>
      </c>
      <c r="O610" s="43" t="n">
        <v>0</v>
      </c>
      <c r="P610" s="43" t="n">
        <v>0</v>
      </c>
      <c r="Q610" s="43" t="n">
        <v>11</v>
      </c>
      <c r="R610" s="43" t="n">
        <v>0</v>
      </c>
      <c r="S610" s="43" t="n">
        <v>0</v>
      </c>
      <c r="T610" s="43" t="n">
        <v>0</v>
      </c>
      <c r="U610" s="42" t="n">
        <f aca="false">SUM(I610:T610)</f>
        <v>11</v>
      </c>
    </row>
    <row r="611" customFormat="false" ht="15" hidden="false" customHeight="false" outlineLevel="0" collapsed="false">
      <c r="A611" s="40" t="s">
        <v>1372</v>
      </c>
      <c r="B611" s="40" t="s">
        <v>345</v>
      </c>
      <c r="C611" s="40" t="s">
        <v>39</v>
      </c>
      <c r="D611" s="40" t="s">
        <v>8</v>
      </c>
      <c r="E611" s="40" t="s">
        <v>381</v>
      </c>
      <c r="F611" s="40" t="s">
        <v>346</v>
      </c>
      <c r="G611" s="40" t="s">
        <v>413</v>
      </c>
      <c r="H611" s="40" t="s">
        <v>42</v>
      </c>
      <c r="I611" s="43" t="n">
        <v>0</v>
      </c>
      <c r="J611" s="43" t="n">
        <v>0</v>
      </c>
      <c r="K611" s="43" t="n">
        <v>0</v>
      </c>
      <c r="L611" s="43" t="n">
        <v>0</v>
      </c>
      <c r="M611" s="43" t="n">
        <v>0</v>
      </c>
      <c r="N611" s="43" t="n">
        <v>0</v>
      </c>
      <c r="O611" s="43" t="n">
        <v>0</v>
      </c>
      <c r="P611" s="43" t="n">
        <v>0</v>
      </c>
      <c r="Q611" s="43" t="n">
        <v>21</v>
      </c>
      <c r="R611" s="43" t="n">
        <v>0</v>
      </c>
      <c r="S611" s="43" t="n">
        <v>0</v>
      </c>
      <c r="T611" s="43" t="n">
        <v>0</v>
      </c>
      <c r="U611" s="42" t="n">
        <f aca="false">SUM(I611:T611)</f>
        <v>21</v>
      </c>
    </row>
    <row r="612" customFormat="false" ht="15" hidden="false" customHeight="false" outlineLevel="0" collapsed="false">
      <c r="A612" s="40" t="s">
        <v>1373</v>
      </c>
      <c r="B612" s="40" t="s">
        <v>348</v>
      </c>
      <c r="C612" s="40" t="s">
        <v>39</v>
      </c>
      <c r="D612" s="40" t="s">
        <v>8</v>
      </c>
      <c r="E612" s="40" t="s">
        <v>381</v>
      </c>
      <c r="F612" s="40" t="s">
        <v>349</v>
      </c>
      <c r="G612" s="40" t="s">
        <v>1374</v>
      </c>
      <c r="H612" s="40" t="s">
        <v>45</v>
      </c>
      <c r="I612" s="43" t="n">
        <v>0</v>
      </c>
      <c r="J612" s="43" t="n">
        <v>0</v>
      </c>
      <c r="K612" s="43" t="n">
        <v>0</v>
      </c>
      <c r="L612" s="43" t="n">
        <v>0</v>
      </c>
      <c r="M612" s="43" t="n">
        <v>0</v>
      </c>
      <c r="N612" s="43" t="n">
        <v>0</v>
      </c>
      <c r="O612" s="43" t="n">
        <v>0</v>
      </c>
      <c r="P612" s="43" t="n">
        <v>0</v>
      </c>
      <c r="Q612" s="43" t="n">
        <v>0</v>
      </c>
      <c r="R612" s="43" t="n">
        <v>43</v>
      </c>
      <c r="S612" s="43" t="n">
        <v>0</v>
      </c>
      <c r="T612" s="43" t="n">
        <v>0</v>
      </c>
      <c r="U612" s="42" t="n">
        <f aca="false">SUM(I612:T612)</f>
        <v>43</v>
      </c>
    </row>
    <row r="613" customFormat="false" ht="15" hidden="false" customHeight="false" outlineLevel="0" collapsed="false">
      <c r="A613" s="40" t="s">
        <v>1375</v>
      </c>
      <c r="B613" s="40" t="s">
        <v>348</v>
      </c>
      <c r="C613" s="40" t="s">
        <v>39</v>
      </c>
      <c r="D613" s="40" t="s">
        <v>8</v>
      </c>
      <c r="E613" s="40" t="s">
        <v>381</v>
      </c>
      <c r="F613" s="40" t="s">
        <v>349</v>
      </c>
      <c r="G613" s="40" t="s">
        <v>1376</v>
      </c>
      <c r="H613" s="40" t="s">
        <v>45</v>
      </c>
      <c r="I613" s="43" t="n">
        <v>0</v>
      </c>
      <c r="J613" s="43" t="n">
        <v>0</v>
      </c>
      <c r="K613" s="43" t="n">
        <v>0</v>
      </c>
      <c r="L613" s="43" t="n">
        <v>0</v>
      </c>
      <c r="M613" s="43" t="n">
        <v>0</v>
      </c>
      <c r="N613" s="43" t="n">
        <v>29</v>
      </c>
      <c r="O613" s="43" t="n">
        <v>0</v>
      </c>
      <c r="P613" s="43" t="n">
        <v>0</v>
      </c>
      <c r="Q613" s="43" t="n">
        <v>86</v>
      </c>
      <c r="R613" s="43" t="n">
        <v>0</v>
      </c>
      <c r="S613" s="43" t="n">
        <v>0</v>
      </c>
      <c r="T613" s="43" t="n">
        <v>0</v>
      </c>
      <c r="U613" s="42" t="n">
        <f aca="false">SUM(I613:T613)</f>
        <v>115</v>
      </c>
    </row>
    <row r="614" customFormat="false" ht="15" hidden="false" customHeight="false" outlineLevel="0" collapsed="false">
      <c r="A614" s="40" t="s">
        <v>1377</v>
      </c>
      <c r="B614" s="40" t="s">
        <v>348</v>
      </c>
      <c r="C614" s="40" t="s">
        <v>39</v>
      </c>
      <c r="D614" s="40" t="s">
        <v>8</v>
      </c>
      <c r="E614" s="40" t="s">
        <v>381</v>
      </c>
      <c r="F614" s="40" t="s">
        <v>349</v>
      </c>
      <c r="G614" s="40" t="s">
        <v>1378</v>
      </c>
      <c r="H614" s="40" t="s">
        <v>45</v>
      </c>
      <c r="I614" s="43" t="n">
        <v>0</v>
      </c>
      <c r="J614" s="43" t="n">
        <v>0</v>
      </c>
      <c r="K614" s="43" t="n">
        <v>0</v>
      </c>
      <c r="L614" s="43" t="n">
        <v>29</v>
      </c>
      <c r="M614" s="43" t="n">
        <v>0</v>
      </c>
      <c r="N614" s="43" t="n">
        <v>57</v>
      </c>
      <c r="O614" s="43" t="n">
        <v>0</v>
      </c>
      <c r="P614" s="43" t="n">
        <v>0</v>
      </c>
      <c r="Q614" s="43" t="n">
        <v>0</v>
      </c>
      <c r="R614" s="43" t="n">
        <v>0</v>
      </c>
      <c r="S614" s="43" t="n">
        <v>0</v>
      </c>
      <c r="T614" s="43" t="n">
        <v>0</v>
      </c>
      <c r="U614" s="42" t="n">
        <f aca="false">SUM(I614:T614)</f>
        <v>86</v>
      </c>
    </row>
    <row r="615" customFormat="false" ht="15" hidden="false" customHeight="false" outlineLevel="0" collapsed="false">
      <c r="A615" s="40" t="s">
        <v>1379</v>
      </c>
      <c r="B615" s="40" t="s">
        <v>348</v>
      </c>
      <c r="C615" s="40" t="s">
        <v>39</v>
      </c>
      <c r="D615" s="40" t="s">
        <v>8</v>
      </c>
      <c r="E615" s="40" t="s">
        <v>381</v>
      </c>
      <c r="F615" s="40" t="s">
        <v>349</v>
      </c>
      <c r="G615" s="40" t="s">
        <v>1380</v>
      </c>
      <c r="H615" s="40" t="s">
        <v>45</v>
      </c>
      <c r="I615" s="43" t="n">
        <v>0</v>
      </c>
      <c r="J615" s="43" t="n">
        <v>0</v>
      </c>
      <c r="K615" s="43" t="n">
        <v>0</v>
      </c>
      <c r="L615" s="43" t="n">
        <v>0</v>
      </c>
      <c r="M615" s="43" t="n">
        <v>0</v>
      </c>
      <c r="N615" s="43" t="n">
        <v>57</v>
      </c>
      <c r="O615" s="43" t="n">
        <v>0</v>
      </c>
      <c r="P615" s="43" t="n">
        <v>0</v>
      </c>
      <c r="Q615" s="43" t="n">
        <v>29</v>
      </c>
      <c r="R615" s="43" t="n">
        <v>0</v>
      </c>
      <c r="S615" s="43" t="n">
        <v>0</v>
      </c>
      <c r="T615" s="43" t="n">
        <v>0</v>
      </c>
      <c r="U615" s="42" t="n">
        <f aca="false">SUM(I615:T615)</f>
        <v>86</v>
      </c>
    </row>
    <row r="616" customFormat="false" ht="15" hidden="false" customHeight="false" outlineLevel="0" collapsed="false">
      <c r="A616" s="40" t="s">
        <v>1381</v>
      </c>
      <c r="B616" s="40" t="s">
        <v>348</v>
      </c>
      <c r="C616" s="40" t="s">
        <v>39</v>
      </c>
      <c r="D616" s="40" t="s">
        <v>8</v>
      </c>
      <c r="E616" s="40" t="s">
        <v>381</v>
      </c>
      <c r="F616" s="40" t="s">
        <v>349</v>
      </c>
      <c r="G616" s="40" t="s">
        <v>689</v>
      </c>
      <c r="H616" s="40" t="s">
        <v>45</v>
      </c>
      <c r="I616" s="43" t="n">
        <v>0</v>
      </c>
      <c r="J616" s="43" t="n">
        <v>0</v>
      </c>
      <c r="K616" s="43" t="n">
        <v>0</v>
      </c>
      <c r="L616" s="43" t="n">
        <v>29</v>
      </c>
      <c r="M616" s="43" t="n">
        <v>0</v>
      </c>
      <c r="N616" s="43" t="n">
        <v>0</v>
      </c>
      <c r="O616" s="43" t="n">
        <v>0</v>
      </c>
      <c r="P616" s="43" t="n">
        <v>0</v>
      </c>
      <c r="Q616" s="43" t="n">
        <v>0</v>
      </c>
      <c r="R616" s="43" t="n">
        <v>0</v>
      </c>
      <c r="S616" s="43" t="n">
        <v>0</v>
      </c>
      <c r="T616" s="43" t="n">
        <v>0</v>
      </c>
      <c r="U616" s="42" t="n">
        <f aca="false">SUM(I616:T616)</f>
        <v>29</v>
      </c>
    </row>
    <row r="617" customFormat="false" ht="15" hidden="false" customHeight="false" outlineLevel="0" collapsed="false">
      <c r="A617" s="40" t="s">
        <v>1382</v>
      </c>
      <c r="B617" s="40" t="s">
        <v>348</v>
      </c>
      <c r="C617" s="40" t="s">
        <v>39</v>
      </c>
      <c r="D617" s="40" t="s">
        <v>8</v>
      </c>
      <c r="E617" s="40" t="s">
        <v>381</v>
      </c>
      <c r="F617" s="40" t="s">
        <v>349</v>
      </c>
      <c r="G617" s="40" t="s">
        <v>1383</v>
      </c>
      <c r="H617" s="40" t="s">
        <v>45</v>
      </c>
      <c r="I617" s="43" t="n">
        <v>0</v>
      </c>
      <c r="J617" s="43" t="n">
        <v>0</v>
      </c>
      <c r="K617" s="43" t="n">
        <v>0</v>
      </c>
      <c r="L617" s="43" t="n">
        <v>0</v>
      </c>
      <c r="M617" s="43" t="n">
        <v>0</v>
      </c>
      <c r="N617" s="43" t="n">
        <v>0</v>
      </c>
      <c r="O617" s="43" t="n">
        <v>0</v>
      </c>
      <c r="P617" s="43" t="n">
        <v>0</v>
      </c>
      <c r="Q617" s="43" t="n">
        <v>0</v>
      </c>
      <c r="R617" s="43" t="n">
        <v>14</v>
      </c>
      <c r="S617" s="43" t="n">
        <v>114</v>
      </c>
      <c r="T617" s="43" t="n">
        <v>0</v>
      </c>
      <c r="U617" s="42" t="n">
        <f aca="false">SUM(I617:T617)</f>
        <v>128</v>
      </c>
    </row>
    <row r="618" customFormat="false" ht="15" hidden="false" customHeight="false" outlineLevel="0" collapsed="false">
      <c r="A618" s="40" t="s">
        <v>1384</v>
      </c>
      <c r="B618" s="40" t="s">
        <v>348</v>
      </c>
      <c r="C618" s="40" t="s">
        <v>39</v>
      </c>
      <c r="D618" s="40" t="s">
        <v>8</v>
      </c>
      <c r="E618" s="40" t="s">
        <v>381</v>
      </c>
      <c r="F618" s="40" t="s">
        <v>349</v>
      </c>
      <c r="G618" s="40" t="s">
        <v>407</v>
      </c>
      <c r="H618" s="40" t="s">
        <v>45</v>
      </c>
      <c r="I618" s="43" t="n">
        <v>0</v>
      </c>
      <c r="J618" s="43" t="n">
        <v>0</v>
      </c>
      <c r="K618" s="43" t="n">
        <v>0</v>
      </c>
      <c r="L618" s="43" t="n">
        <v>0</v>
      </c>
      <c r="M618" s="43" t="n">
        <v>29</v>
      </c>
      <c r="N618" s="43" t="n">
        <v>0</v>
      </c>
      <c r="O618" s="43" t="n">
        <v>0</v>
      </c>
      <c r="P618" s="43" t="n">
        <v>0</v>
      </c>
      <c r="Q618" s="43" t="n">
        <v>0</v>
      </c>
      <c r="R618" s="43" t="n">
        <v>0</v>
      </c>
      <c r="S618" s="43" t="n">
        <v>0</v>
      </c>
      <c r="T618" s="43" t="n">
        <v>0</v>
      </c>
      <c r="U618" s="42" t="n">
        <f aca="false">SUM(I618:T618)</f>
        <v>29</v>
      </c>
    </row>
    <row r="619" customFormat="false" ht="15" hidden="false" customHeight="false" outlineLevel="0" collapsed="false">
      <c r="A619" s="40" t="s">
        <v>1385</v>
      </c>
      <c r="B619" s="40" t="s">
        <v>348</v>
      </c>
      <c r="C619" s="40" t="s">
        <v>39</v>
      </c>
      <c r="D619" s="40" t="s">
        <v>8</v>
      </c>
      <c r="E619" s="40" t="s">
        <v>381</v>
      </c>
      <c r="F619" s="40" t="s">
        <v>349</v>
      </c>
      <c r="G619" s="40" t="s">
        <v>409</v>
      </c>
      <c r="H619" s="40" t="s">
        <v>45</v>
      </c>
      <c r="I619" s="43" t="n">
        <v>0</v>
      </c>
      <c r="J619" s="43" t="n">
        <v>0</v>
      </c>
      <c r="K619" s="43" t="n">
        <v>19</v>
      </c>
      <c r="L619" s="43" t="n">
        <v>0</v>
      </c>
      <c r="M619" s="43" t="n">
        <v>0</v>
      </c>
      <c r="N619" s="43" t="n">
        <v>0</v>
      </c>
      <c r="O619" s="43" t="n">
        <v>0</v>
      </c>
      <c r="P619" s="43" t="n">
        <v>0</v>
      </c>
      <c r="Q619" s="43" t="n">
        <v>0</v>
      </c>
      <c r="R619" s="43" t="n">
        <v>0</v>
      </c>
      <c r="S619" s="43" t="n">
        <v>0</v>
      </c>
      <c r="T619" s="43" t="n">
        <v>0</v>
      </c>
      <c r="U619" s="42" t="n">
        <f aca="false">SUM(I619:T619)</f>
        <v>19</v>
      </c>
    </row>
    <row r="620" customFormat="false" ht="15" hidden="false" customHeight="false" outlineLevel="0" collapsed="false">
      <c r="A620" s="40" t="s">
        <v>1386</v>
      </c>
      <c r="B620" s="40" t="s">
        <v>348</v>
      </c>
      <c r="C620" s="40" t="s">
        <v>39</v>
      </c>
      <c r="D620" s="40" t="s">
        <v>8</v>
      </c>
      <c r="E620" s="40" t="s">
        <v>381</v>
      </c>
      <c r="F620" s="40" t="s">
        <v>349</v>
      </c>
      <c r="G620" s="40" t="s">
        <v>411</v>
      </c>
      <c r="H620" s="40" t="s">
        <v>45</v>
      </c>
      <c r="I620" s="43" t="n">
        <v>0</v>
      </c>
      <c r="J620" s="43" t="n">
        <v>0</v>
      </c>
      <c r="K620" s="43" t="n">
        <v>0</v>
      </c>
      <c r="L620" s="43" t="n">
        <v>0</v>
      </c>
      <c r="M620" s="43" t="n">
        <v>0</v>
      </c>
      <c r="N620" s="43" t="n">
        <v>19</v>
      </c>
      <c r="O620" s="43" t="n">
        <v>0</v>
      </c>
      <c r="P620" s="43" t="n">
        <v>0</v>
      </c>
      <c r="Q620" s="43" t="n">
        <v>0</v>
      </c>
      <c r="R620" s="43" t="n">
        <v>0</v>
      </c>
      <c r="S620" s="43" t="n">
        <v>0</v>
      </c>
      <c r="T620" s="43" t="n">
        <v>0</v>
      </c>
      <c r="U620" s="42" t="n">
        <f aca="false">SUM(I620:T620)</f>
        <v>19</v>
      </c>
    </row>
    <row r="621" customFormat="false" ht="15" hidden="false" customHeight="false" outlineLevel="0" collapsed="false">
      <c r="A621" s="40" t="s">
        <v>1387</v>
      </c>
      <c r="B621" s="40" t="s">
        <v>348</v>
      </c>
      <c r="C621" s="40" t="s">
        <v>39</v>
      </c>
      <c r="D621" s="40" t="s">
        <v>8</v>
      </c>
      <c r="E621" s="40" t="s">
        <v>381</v>
      </c>
      <c r="F621" s="40" t="s">
        <v>349</v>
      </c>
      <c r="G621" s="40" t="s">
        <v>413</v>
      </c>
      <c r="H621" s="40" t="s">
        <v>45</v>
      </c>
      <c r="I621" s="43" t="n">
        <v>0</v>
      </c>
      <c r="J621" s="43" t="n">
        <v>0</v>
      </c>
      <c r="K621" s="43" t="n">
        <v>0</v>
      </c>
      <c r="L621" s="43" t="n">
        <v>0</v>
      </c>
      <c r="M621" s="43" t="n">
        <v>0</v>
      </c>
      <c r="N621" s="43" t="n">
        <v>39</v>
      </c>
      <c r="O621" s="43" t="n">
        <v>0</v>
      </c>
      <c r="P621" s="43" t="n">
        <v>0</v>
      </c>
      <c r="Q621" s="43" t="n">
        <v>0</v>
      </c>
      <c r="R621" s="43" t="n">
        <v>0</v>
      </c>
      <c r="S621" s="43" t="n">
        <v>0</v>
      </c>
      <c r="T621" s="43" t="n">
        <v>0</v>
      </c>
      <c r="U621" s="42" t="n">
        <f aca="false">SUM(I621:T621)</f>
        <v>39</v>
      </c>
    </row>
    <row r="622" customFormat="false" ht="15" hidden="false" customHeight="false" outlineLevel="0" collapsed="false">
      <c r="A622" s="40" t="s">
        <v>1388</v>
      </c>
      <c r="B622" s="40" t="s">
        <v>351</v>
      </c>
      <c r="C622" s="40" t="s">
        <v>39</v>
      </c>
      <c r="D622" s="40" t="s">
        <v>8</v>
      </c>
      <c r="E622" s="40" t="s">
        <v>381</v>
      </c>
      <c r="F622" s="40" t="s">
        <v>352</v>
      </c>
      <c r="G622" s="40" t="s">
        <v>1389</v>
      </c>
      <c r="H622" s="40" t="s">
        <v>43</v>
      </c>
      <c r="I622" s="43" t="n">
        <v>0</v>
      </c>
      <c r="J622" s="43" t="n">
        <v>0</v>
      </c>
      <c r="K622" s="43" t="n">
        <v>0</v>
      </c>
      <c r="L622" s="43" t="n">
        <v>0</v>
      </c>
      <c r="M622" s="43" t="n">
        <v>16</v>
      </c>
      <c r="N622" s="43" t="n">
        <v>16</v>
      </c>
      <c r="O622" s="43" t="n">
        <v>0</v>
      </c>
      <c r="P622" s="43" t="n">
        <v>0</v>
      </c>
      <c r="Q622" s="43" t="n">
        <v>0</v>
      </c>
      <c r="R622" s="43" t="n">
        <v>0</v>
      </c>
      <c r="S622" s="43" t="n">
        <v>0</v>
      </c>
      <c r="T622" s="43" t="n">
        <v>0</v>
      </c>
      <c r="U622" s="42" t="n">
        <f aca="false">SUM(I622:T622)</f>
        <v>32</v>
      </c>
    </row>
    <row r="623" customFormat="false" ht="15" hidden="false" customHeight="false" outlineLevel="0" collapsed="false">
      <c r="A623" s="40" t="s">
        <v>1390</v>
      </c>
      <c r="B623" s="40" t="s">
        <v>351</v>
      </c>
      <c r="C623" s="40" t="s">
        <v>39</v>
      </c>
      <c r="D623" s="40" t="s">
        <v>8</v>
      </c>
      <c r="E623" s="40" t="s">
        <v>381</v>
      </c>
      <c r="F623" s="40" t="s">
        <v>352</v>
      </c>
      <c r="G623" s="40" t="s">
        <v>1391</v>
      </c>
      <c r="H623" s="40" t="s">
        <v>43</v>
      </c>
      <c r="I623" s="43" t="n">
        <v>0</v>
      </c>
      <c r="J623" s="43" t="n">
        <v>0</v>
      </c>
      <c r="K623" s="43" t="n">
        <v>0</v>
      </c>
      <c r="L623" s="43" t="n">
        <v>0</v>
      </c>
      <c r="M623" s="43" t="n">
        <v>0</v>
      </c>
      <c r="N623" s="43" t="n">
        <v>49</v>
      </c>
      <c r="O623" s="43" t="n">
        <v>0</v>
      </c>
      <c r="P623" s="43" t="n">
        <v>0</v>
      </c>
      <c r="Q623" s="43" t="n">
        <v>0</v>
      </c>
      <c r="R623" s="43" t="n">
        <v>0</v>
      </c>
      <c r="S623" s="43" t="n">
        <v>0</v>
      </c>
      <c r="T623" s="43" t="n">
        <v>0</v>
      </c>
      <c r="U623" s="42" t="n">
        <f aca="false">SUM(I623:T623)</f>
        <v>49</v>
      </c>
    </row>
    <row r="624" customFormat="false" ht="15" hidden="false" customHeight="false" outlineLevel="0" collapsed="false">
      <c r="A624" s="40" t="s">
        <v>1392</v>
      </c>
      <c r="B624" s="40" t="s">
        <v>351</v>
      </c>
      <c r="C624" s="40" t="s">
        <v>39</v>
      </c>
      <c r="D624" s="40" t="s">
        <v>8</v>
      </c>
      <c r="E624" s="40" t="s">
        <v>381</v>
      </c>
      <c r="F624" s="40" t="s">
        <v>352</v>
      </c>
      <c r="G624" s="40" t="s">
        <v>1393</v>
      </c>
      <c r="H624" s="40" t="s">
        <v>43</v>
      </c>
      <c r="I624" s="43" t="n">
        <v>0</v>
      </c>
      <c r="J624" s="43" t="n">
        <v>0</v>
      </c>
      <c r="K624" s="43" t="n">
        <v>0</v>
      </c>
      <c r="L624" s="43" t="n">
        <v>0</v>
      </c>
      <c r="M624" s="43" t="n">
        <v>0</v>
      </c>
      <c r="N624" s="43" t="n">
        <v>33</v>
      </c>
      <c r="O624" s="43" t="n">
        <v>0</v>
      </c>
      <c r="P624" s="43" t="n">
        <v>0</v>
      </c>
      <c r="Q624" s="43" t="n">
        <v>0</v>
      </c>
      <c r="R624" s="43" t="n">
        <v>0</v>
      </c>
      <c r="S624" s="43" t="n">
        <v>0</v>
      </c>
      <c r="T624" s="43" t="n">
        <v>0</v>
      </c>
      <c r="U624" s="42" t="n">
        <f aca="false">SUM(I624:T624)</f>
        <v>33</v>
      </c>
    </row>
    <row r="625" customFormat="false" ht="15" hidden="false" customHeight="false" outlineLevel="0" collapsed="false">
      <c r="A625" s="40" t="s">
        <v>1394</v>
      </c>
      <c r="B625" s="40" t="s">
        <v>351</v>
      </c>
      <c r="C625" s="40" t="s">
        <v>39</v>
      </c>
      <c r="D625" s="40" t="s">
        <v>8</v>
      </c>
      <c r="E625" s="40" t="s">
        <v>381</v>
      </c>
      <c r="F625" s="40" t="s">
        <v>352</v>
      </c>
      <c r="G625" s="40" t="s">
        <v>1395</v>
      </c>
      <c r="H625" s="40" t="s">
        <v>43</v>
      </c>
      <c r="I625" s="43" t="n">
        <v>0</v>
      </c>
      <c r="J625" s="43" t="n">
        <v>0</v>
      </c>
      <c r="K625" s="43" t="n">
        <v>0</v>
      </c>
      <c r="L625" s="43" t="n">
        <v>0</v>
      </c>
      <c r="M625" s="43" t="n">
        <v>16</v>
      </c>
      <c r="N625" s="43" t="n">
        <v>0</v>
      </c>
      <c r="O625" s="43" t="n">
        <v>0</v>
      </c>
      <c r="P625" s="43" t="n">
        <v>0</v>
      </c>
      <c r="Q625" s="43" t="n">
        <v>0</v>
      </c>
      <c r="R625" s="43" t="n">
        <v>0</v>
      </c>
      <c r="S625" s="43" t="n">
        <v>0</v>
      </c>
      <c r="T625" s="43" t="n">
        <v>0</v>
      </c>
      <c r="U625" s="42" t="n">
        <f aca="false">SUM(I625:T625)</f>
        <v>16</v>
      </c>
    </row>
    <row r="626" customFormat="false" ht="15" hidden="false" customHeight="false" outlineLevel="0" collapsed="false">
      <c r="A626" s="40" t="s">
        <v>1396</v>
      </c>
      <c r="B626" s="40" t="s">
        <v>351</v>
      </c>
      <c r="C626" s="40" t="s">
        <v>39</v>
      </c>
      <c r="D626" s="40" t="s">
        <v>8</v>
      </c>
      <c r="E626" s="40" t="s">
        <v>381</v>
      </c>
      <c r="F626" s="40" t="s">
        <v>352</v>
      </c>
      <c r="G626" s="40" t="s">
        <v>407</v>
      </c>
      <c r="H626" s="40" t="s">
        <v>43</v>
      </c>
      <c r="I626" s="43" t="n">
        <v>0</v>
      </c>
      <c r="J626" s="43" t="n">
        <v>0</v>
      </c>
      <c r="K626" s="43" t="n">
        <v>0</v>
      </c>
      <c r="L626" s="43" t="n">
        <v>0</v>
      </c>
      <c r="M626" s="43" t="n">
        <v>8</v>
      </c>
      <c r="N626" s="43" t="n">
        <v>0</v>
      </c>
      <c r="O626" s="43" t="n">
        <v>0</v>
      </c>
      <c r="P626" s="43" t="n">
        <v>0</v>
      </c>
      <c r="Q626" s="43" t="n">
        <v>0</v>
      </c>
      <c r="R626" s="43" t="n">
        <v>0</v>
      </c>
      <c r="S626" s="43" t="n">
        <v>0</v>
      </c>
      <c r="T626" s="43" t="n">
        <v>0</v>
      </c>
      <c r="U626" s="42" t="n">
        <f aca="false">SUM(I626:T626)</f>
        <v>8</v>
      </c>
    </row>
    <row r="627" customFormat="false" ht="15" hidden="false" customHeight="false" outlineLevel="0" collapsed="false">
      <c r="A627" s="40" t="s">
        <v>1397</v>
      </c>
      <c r="B627" s="40" t="s">
        <v>351</v>
      </c>
      <c r="C627" s="40" t="s">
        <v>39</v>
      </c>
      <c r="D627" s="40" t="s">
        <v>8</v>
      </c>
      <c r="E627" s="40" t="s">
        <v>381</v>
      </c>
      <c r="F627" s="40" t="s">
        <v>352</v>
      </c>
      <c r="G627" s="40" t="s">
        <v>409</v>
      </c>
      <c r="H627" s="40" t="s">
        <v>43</v>
      </c>
      <c r="I627" s="43" t="n">
        <v>0</v>
      </c>
      <c r="J627" s="43" t="n">
        <v>0</v>
      </c>
      <c r="K627" s="43" t="n">
        <v>5</v>
      </c>
      <c r="L627" s="43" t="n">
        <v>0</v>
      </c>
      <c r="M627" s="43" t="n">
        <v>0</v>
      </c>
      <c r="N627" s="43" t="n">
        <v>0</v>
      </c>
      <c r="O627" s="43" t="n">
        <v>0</v>
      </c>
      <c r="P627" s="43" t="n">
        <v>0</v>
      </c>
      <c r="Q627" s="43" t="n">
        <v>0</v>
      </c>
      <c r="R627" s="43" t="n">
        <v>0</v>
      </c>
      <c r="S627" s="43" t="n">
        <v>0</v>
      </c>
      <c r="T627" s="43" t="n">
        <v>0</v>
      </c>
      <c r="U627" s="42" t="n">
        <f aca="false">SUM(I627:T627)</f>
        <v>5</v>
      </c>
    </row>
    <row r="628" customFormat="false" ht="15" hidden="false" customHeight="false" outlineLevel="0" collapsed="false">
      <c r="A628" s="40" t="s">
        <v>1398</v>
      </c>
      <c r="B628" s="40" t="s">
        <v>351</v>
      </c>
      <c r="C628" s="40" t="s">
        <v>39</v>
      </c>
      <c r="D628" s="40" t="s">
        <v>8</v>
      </c>
      <c r="E628" s="40" t="s">
        <v>381</v>
      </c>
      <c r="F628" s="40" t="s">
        <v>352</v>
      </c>
      <c r="G628" s="40" t="s">
        <v>411</v>
      </c>
      <c r="H628" s="40" t="s">
        <v>43</v>
      </c>
      <c r="I628" s="43" t="n">
        <v>0</v>
      </c>
      <c r="J628" s="43" t="n">
        <v>0</v>
      </c>
      <c r="K628" s="43" t="n">
        <v>0</v>
      </c>
      <c r="L628" s="43" t="n">
        <v>0</v>
      </c>
      <c r="M628" s="43" t="n">
        <v>0</v>
      </c>
      <c r="N628" s="43" t="n">
        <v>5</v>
      </c>
      <c r="O628" s="43" t="n">
        <v>0</v>
      </c>
      <c r="P628" s="43" t="n">
        <v>0</v>
      </c>
      <c r="Q628" s="43" t="n">
        <v>0</v>
      </c>
      <c r="R628" s="43" t="n">
        <v>0</v>
      </c>
      <c r="S628" s="43" t="n">
        <v>0</v>
      </c>
      <c r="T628" s="43" t="n">
        <v>0</v>
      </c>
      <c r="U628" s="42" t="n">
        <f aca="false">SUM(I628:T628)</f>
        <v>5</v>
      </c>
    </row>
    <row r="629" customFormat="false" ht="15" hidden="false" customHeight="false" outlineLevel="0" collapsed="false">
      <c r="A629" s="40" t="s">
        <v>1399</v>
      </c>
      <c r="B629" s="40" t="s">
        <v>351</v>
      </c>
      <c r="C629" s="40" t="s">
        <v>39</v>
      </c>
      <c r="D629" s="40" t="s">
        <v>8</v>
      </c>
      <c r="E629" s="40" t="s">
        <v>381</v>
      </c>
      <c r="F629" s="40" t="s">
        <v>352</v>
      </c>
      <c r="G629" s="40" t="s">
        <v>413</v>
      </c>
      <c r="H629" s="40" t="s">
        <v>43</v>
      </c>
      <c r="I629" s="43" t="n">
        <v>0</v>
      </c>
      <c r="J629" s="43" t="n">
        <v>0</v>
      </c>
      <c r="K629" s="43" t="n">
        <v>0</v>
      </c>
      <c r="L629" s="43" t="n">
        <v>0</v>
      </c>
      <c r="M629" s="43" t="n">
        <v>0</v>
      </c>
      <c r="N629" s="43" t="n">
        <v>11</v>
      </c>
      <c r="O629" s="43" t="n">
        <v>0</v>
      </c>
      <c r="P629" s="43" t="n">
        <v>0</v>
      </c>
      <c r="Q629" s="43" t="n">
        <v>0</v>
      </c>
      <c r="R629" s="43" t="n">
        <v>0</v>
      </c>
      <c r="S629" s="43" t="n">
        <v>0</v>
      </c>
      <c r="T629" s="43" t="n">
        <v>0</v>
      </c>
      <c r="U629" s="42" t="n">
        <f aca="false">SUM(I629:T629)</f>
        <v>11</v>
      </c>
    </row>
    <row r="630" customFormat="false" ht="23.85" hidden="false" customHeight="false" outlineLevel="0" collapsed="false">
      <c r="A630" s="40" t="s">
        <v>1400</v>
      </c>
      <c r="B630" s="40" t="s">
        <v>354</v>
      </c>
      <c r="C630" s="40" t="s">
        <v>39</v>
      </c>
      <c r="D630" s="40" t="s">
        <v>8</v>
      </c>
      <c r="E630" s="40" t="s">
        <v>381</v>
      </c>
      <c r="F630" s="40" t="s">
        <v>355</v>
      </c>
      <c r="G630" s="40" t="s">
        <v>1401</v>
      </c>
      <c r="H630" s="40" t="s">
        <v>45</v>
      </c>
      <c r="I630" s="43" t="n">
        <v>0</v>
      </c>
      <c r="J630" s="43" t="n">
        <v>0</v>
      </c>
      <c r="K630" s="43" t="n">
        <v>0</v>
      </c>
      <c r="L630" s="43" t="n">
        <v>0</v>
      </c>
      <c r="M630" s="43" t="n">
        <v>0</v>
      </c>
      <c r="N630" s="43" t="n">
        <v>0</v>
      </c>
      <c r="O630" s="43" t="n">
        <v>0</v>
      </c>
      <c r="P630" s="43" t="n">
        <v>0</v>
      </c>
      <c r="Q630" s="43" t="n">
        <v>0</v>
      </c>
      <c r="R630" s="43" t="n">
        <v>24</v>
      </c>
      <c r="S630" s="43" t="n">
        <v>0</v>
      </c>
      <c r="T630" s="43" t="n">
        <v>0</v>
      </c>
      <c r="U630" s="42" t="n">
        <f aca="false">SUM(I630:T630)</f>
        <v>24</v>
      </c>
    </row>
    <row r="631" customFormat="false" ht="23.85" hidden="false" customHeight="false" outlineLevel="0" collapsed="false">
      <c r="A631" s="40" t="s">
        <v>1402</v>
      </c>
      <c r="B631" s="40" t="s">
        <v>354</v>
      </c>
      <c r="C631" s="40" t="s">
        <v>39</v>
      </c>
      <c r="D631" s="40" t="s">
        <v>8</v>
      </c>
      <c r="E631" s="40" t="s">
        <v>381</v>
      </c>
      <c r="F631" s="40" t="s">
        <v>355</v>
      </c>
      <c r="G631" s="40" t="s">
        <v>1403</v>
      </c>
      <c r="H631" s="40" t="s">
        <v>45</v>
      </c>
      <c r="I631" s="43" t="n">
        <v>0</v>
      </c>
      <c r="J631" s="43" t="n">
        <v>0</v>
      </c>
      <c r="K631" s="43" t="n">
        <v>0</v>
      </c>
      <c r="L631" s="43" t="n">
        <v>0</v>
      </c>
      <c r="M631" s="43" t="n">
        <v>0</v>
      </c>
      <c r="N631" s="43" t="n">
        <v>0</v>
      </c>
      <c r="O631" s="43" t="n">
        <v>0</v>
      </c>
      <c r="P631" s="43" t="n">
        <v>0</v>
      </c>
      <c r="Q631" s="43" t="n">
        <v>24</v>
      </c>
      <c r="R631" s="43" t="n">
        <v>24</v>
      </c>
      <c r="S631" s="43" t="n">
        <v>0</v>
      </c>
      <c r="T631" s="43" t="n">
        <v>0</v>
      </c>
      <c r="U631" s="42" t="n">
        <f aca="false">SUM(I631:T631)</f>
        <v>48</v>
      </c>
    </row>
    <row r="632" customFormat="false" ht="23.85" hidden="false" customHeight="false" outlineLevel="0" collapsed="false">
      <c r="A632" s="40" t="s">
        <v>1404</v>
      </c>
      <c r="B632" s="40" t="s">
        <v>354</v>
      </c>
      <c r="C632" s="40" t="s">
        <v>39</v>
      </c>
      <c r="D632" s="40" t="s">
        <v>8</v>
      </c>
      <c r="E632" s="40" t="s">
        <v>381</v>
      </c>
      <c r="F632" s="40" t="s">
        <v>355</v>
      </c>
      <c r="G632" s="40" t="s">
        <v>1405</v>
      </c>
      <c r="H632" s="40" t="s">
        <v>45</v>
      </c>
      <c r="I632" s="43" t="n">
        <v>0</v>
      </c>
      <c r="J632" s="43" t="n">
        <v>0</v>
      </c>
      <c r="K632" s="43" t="n">
        <v>0</v>
      </c>
      <c r="L632" s="43" t="n">
        <v>0</v>
      </c>
      <c r="M632" s="43" t="n">
        <v>0</v>
      </c>
      <c r="N632" s="43" t="n">
        <v>0</v>
      </c>
      <c r="O632" s="43" t="n">
        <v>0</v>
      </c>
      <c r="P632" s="43" t="n">
        <v>0</v>
      </c>
      <c r="Q632" s="43" t="n">
        <v>0</v>
      </c>
      <c r="R632" s="43" t="n">
        <v>0</v>
      </c>
      <c r="S632" s="43" t="n">
        <v>0</v>
      </c>
      <c r="T632" s="43" t="n">
        <v>49</v>
      </c>
      <c r="U632" s="42" t="n">
        <f aca="false">SUM(I632:T632)</f>
        <v>49</v>
      </c>
    </row>
    <row r="633" customFormat="false" ht="23.85" hidden="false" customHeight="false" outlineLevel="0" collapsed="false">
      <c r="A633" s="40" t="s">
        <v>1406</v>
      </c>
      <c r="B633" s="40" t="s">
        <v>354</v>
      </c>
      <c r="C633" s="40" t="s">
        <v>39</v>
      </c>
      <c r="D633" s="40" t="s">
        <v>8</v>
      </c>
      <c r="E633" s="40" t="s">
        <v>381</v>
      </c>
      <c r="F633" s="40" t="s">
        <v>355</v>
      </c>
      <c r="G633" s="40" t="s">
        <v>1407</v>
      </c>
      <c r="H633" s="40" t="s">
        <v>45</v>
      </c>
      <c r="I633" s="43" t="n">
        <v>0</v>
      </c>
      <c r="J633" s="43" t="n">
        <v>0</v>
      </c>
      <c r="K633" s="43" t="n">
        <v>0</v>
      </c>
      <c r="L633" s="43" t="n">
        <v>0</v>
      </c>
      <c r="M633" s="43" t="n">
        <v>0</v>
      </c>
      <c r="N633" s="43" t="n">
        <v>0</v>
      </c>
      <c r="O633" s="43" t="n">
        <v>0</v>
      </c>
      <c r="P633" s="43" t="n">
        <v>0</v>
      </c>
      <c r="Q633" s="43" t="n">
        <v>0</v>
      </c>
      <c r="R633" s="43" t="n">
        <v>0</v>
      </c>
      <c r="S633" s="43" t="n">
        <v>0</v>
      </c>
      <c r="T633" s="43" t="n">
        <v>73</v>
      </c>
      <c r="U633" s="42" t="n">
        <f aca="false">SUM(I633:T633)</f>
        <v>73</v>
      </c>
    </row>
    <row r="634" customFormat="false" ht="23.85" hidden="false" customHeight="false" outlineLevel="0" collapsed="false">
      <c r="A634" s="40" t="s">
        <v>1408</v>
      </c>
      <c r="B634" s="40" t="s">
        <v>354</v>
      </c>
      <c r="C634" s="40" t="s">
        <v>39</v>
      </c>
      <c r="D634" s="40" t="s">
        <v>8</v>
      </c>
      <c r="E634" s="40" t="s">
        <v>381</v>
      </c>
      <c r="F634" s="40" t="s">
        <v>355</v>
      </c>
      <c r="G634" s="40" t="s">
        <v>1409</v>
      </c>
      <c r="H634" s="40" t="s">
        <v>45</v>
      </c>
      <c r="I634" s="43" t="n">
        <v>0</v>
      </c>
      <c r="J634" s="43" t="n">
        <v>0</v>
      </c>
      <c r="K634" s="43" t="n">
        <v>0</v>
      </c>
      <c r="L634" s="43" t="n">
        <v>0</v>
      </c>
      <c r="M634" s="43" t="n">
        <v>0</v>
      </c>
      <c r="N634" s="43" t="n">
        <v>0</v>
      </c>
      <c r="O634" s="43" t="n">
        <v>0</v>
      </c>
      <c r="P634" s="43" t="n">
        <v>0</v>
      </c>
      <c r="Q634" s="43" t="n">
        <v>0</v>
      </c>
      <c r="R634" s="43" t="n">
        <v>0</v>
      </c>
      <c r="S634" s="43" t="n">
        <v>0</v>
      </c>
      <c r="T634" s="43" t="n">
        <v>24</v>
      </c>
      <c r="U634" s="42" t="n">
        <f aca="false">SUM(I634:T634)</f>
        <v>24</v>
      </c>
    </row>
    <row r="635" customFormat="false" ht="23.85" hidden="false" customHeight="false" outlineLevel="0" collapsed="false">
      <c r="A635" s="40" t="s">
        <v>1410</v>
      </c>
      <c r="B635" s="40" t="s">
        <v>354</v>
      </c>
      <c r="C635" s="40" t="s">
        <v>39</v>
      </c>
      <c r="D635" s="40" t="s">
        <v>8</v>
      </c>
      <c r="E635" s="40" t="s">
        <v>381</v>
      </c>
      <c r="F635" s="40" t="s">
        <v>355</v>
      </c>
      <c r="G635" s="40" t="s">
        <v>407</v>
      </c>
      <c r="H635" s="40" t="s">
        <v>45</v>
      </c>
      <c r="I635" s="43" t="n">
        <v>0</v>
      </c>
      <c r="J635" s="43" t="n">
        <v>0</v>
      </c>
      <c r="K635" s="43" t="n">
        <v>0</v>
      </c>
      <c r="L635" s="43" t="n">
        <v>0</v>
      </c>
      <c r="M635" s="43" t="n">
        <v>0</v>
      </c>
      <c r="N635" s="43" t="n">
        <v>0</v>
      </c>
      <c r="O635" s="43" t="n">
        <v>0</v>
      </c>
      <c r="P635" s="43" t="n">
        <v>0</v>
      </c>
      <c r="Q635" s="43" t="n">
        <v>0</v>
      </c>
      <c r="R635" s="43" t="n">
        <v>13</v>
      </c>
      <c r="S635" s="43" t="n">
        <v>0</v>
      </c>
      <c r="T635" s="43" t="n">
        <v>0</v>
      </c>
      <c r="U635" s="42" t="n">
        <f aca="false">SUM(I635:T635)</f>
        <v>13</v>
      </c>
    </row>
    <row r="636" customFormat="false" ht="23.85" hidden="false" customHeight="false" outlineLevel="0" collapsed="false">
      <c r="A636" s="40" t="s">
        <v>1411</v>
      </c>
      <c r="B636" s="40" t="s">
        <v>354</v>
      </c>
      <c r="C636" s="40" t="s">
        <v>39</v>
      </c>
      <c r="D636" s="40" t="s">
        <v>8</v>
      </c>
      <c r="E636" s="40" t="s">
        <v>381</v>
      </c>
      <c r="F636" s="40" t="s">
        <v>355</v>
      </c>
      <c r="G636" s="40" t="s">
        <v>411</v>
      </c>
      <c r="H636" s="40" t="s">
        <v>45</v>
      </c>
      <c r="I636" s="43" t="n">
        <v>0</v>
      </c>
      <c r="J636" s="43" t="n">
        <v>0</v>
      </c>
      <c r="K636" s="43" t="n">
        <v>0</v>
      </c>
      <c r="L636" s="43" t="n">
        <v>0</v>
      </c>
      <c r="M636" s="43" t="n">
        <v>0</v>
      </c>
      <c r="N636" s="43" t="n">
        <v>0</v>
      </c>
      <c r="O636" s="43" t="n">
        <v>0</v>
      </c>
      <c r="P636" s="43" t="n">
        <v>0</v>
      </c>
      <c r="Q636" s="43" t="n">
        <v>0</v>
      </c>
      <c r="R636" s="43" t="n">
        <v>0</v>
      </c>
      <c r="S636" s="43" t="n">
        <v>0</v>
      </c>
      <c r="T636" s="43" t="n">
        <v>9</v>
      </c>
      <c r="U636" s="42" t="n">
        <f aca="false">SUM(I636:T636)</f>
        <v>9</v>
      </c>
    </row>
    <row r="637" customFormat="false" ht="15" hidden="false" customHeight="false" outlineLevel="0" collapsed="false">
      <c r="A637" s="40" t="s">
        <v>1412</v>
      </c>
      <c r="B637" s="40" t="s">
        <v>357</v>
      </c>
      <c r="C637" s="40" t="s">
        <v>39</v>
      </c>
      <c r="D637" s="40" t="s">
        <v>8</v>
      </c>
      <c r="E637" s="40" t="s">
        <v>381</v>
      </c>
      <c r="F637" s="40" t="s">
        <v>358</v>
      </c>
      <c r="G637" s="40" t="s">
        <v>1413</v>
      </c>
      <c r="H637" s="40" t="s">
        <v>45</v>
      </c>
      <c r="I637" s="43" t="n">
        <v>6</v>
      </c>
      <c r="J637" s="43" t="n">
        <v>0</v>
      </c>
      <c r="K637" s="43" t="n">
        <v>0</v>
      </c>
      <c r="L637" s="43" t="n">
        <v>0</v>
      </c>
      <c r="M637" s="43" t="n">
        <v>0</v>
      </c>
      <c r="N637" s="43" t="n">
        <v>0</v>
      </c>
      <c r="O637" s="43" t="n">
        <v>0</v>
      </c>
      <c r="P637" s="43" t="n">
        <v>0</v>
      </c>
      <c r="Q637" s="43" t="n">
        <v>0</v>
      </c>
      <c r="R637" s="43" t="n">
        <v>12</v>
      </c>
      <c r="S637" s="43" t="n">
        <v>0</v>
      </c>
      <c r="T637" s="43" t="n">
        <v>0</v>
      </c>
      <c r="U637" s="42" t="n">
        <f aca="false">SUM(I637:T637)</f>
        <v>18</v>
      </c>
    </row>
    <row r="638" customFormat="false" ht="15" hidden="false" customHeight="false" outlineLevel="0" collapsed="false">
      <c r="A638" s="40" t="s">
        <v>1414</v>
      </c>
      <c r="B638" s="40" t="s">
        <v>357</v>
      </c>
      <c r="C638" s="40" t="s">
        <v>39</v>
      </c>
      <c r="D638" s="40" t="s">
        <v>8</v>
      </c>
      <c r="E638" s="40" t="s">
        <v>381</v>
      </c>
      <c r="F638" s="40" t="s">
        <v>358</v>
      </c>
      <c r="G638" s="40" t="s">
        <v>1415</v>
      </c>
      <c r="H638" s="40" t="s">
        <v>45</v>
      </c>
      <c r="I638" s="43" t="n">
        <v>6</v>
      </c>
      <c r="J638" s="43" t="n">
        <v>0</v>
      </c>
      <c r="K638" s="43" t="n">
        <v>0</v>
      </c>
      <c r="L638" s="43" t="n">
        <v>0</v>
      </c>
      <c r="M638" s="43" t="n">
        <v>6</v>
      </c>
      <c r="N638" s="43" t="n">
        <v>0</v>
      </c>
      <c r="O638" s="43" t="n">
        <v>0</v>
      </c>
      <c r="P638" s="43" t="n">
        <v>0</v>
      </c>
      <c r="Q638" s="43" t="n">
        <v>0</v>
      </c>
      <c r="R638" s="43" t="n">
        <v>0</v>
      </c>
      <c r="S638" s="43" t="n">
        <v>0</v>
      </c>
      <c r="T638" s="43" t="n">
        <v>0</v>
      </c>
      <c r="U638" s="42" t="n">
        <f aca="false">SUM(I638:T638)</f>
        <v>12</v>
      </c>
    </row>
    <row r="639" customFormat="false" ht="15" hidden="false" customHeight="false" outlineLevel="0" collapsed="false">
      <c r="A639" s="40" t="s">
        <v>1416</v>
      </c>
      <c r="B639" s="40" t="s">
        <v>357</v>
      </c>
      <c r="C639" s="40" t="s">
        <v>39</v>
      </c>
      <c r="D639" s="40" t="s">
        <v>8</v>
      </c>
      <c r="E639" s="40" t="s">
        <v>381</v>
      </c>
      <c r="F639" s="40" t="s">
        <v>358</v>
      </c>
      <c r="G639" s="40" t="s">
        <v>1417</v>
      </c>
      <c r="H639" s="40" t="s">
        <v>45</v>
      </c>
      <c r="I639" s="43" t="n">
        <v>0</v>
      </c>
      <c r="J639" s="43" t="n">
        <v>0</v>
      </c>
      <c r="K639" s="43" t="n">
        <v>0</v>
      </c>
      <c r="L639" s="43" t="n">
        <v>0</v>
      </c>
      <c r="M639" s="43" t="n">
        <v>6</v>
      </c>
      <c r="N639" s="43" t="n">
        <v>0</v>
      </c>
      <c r="O639" s="43" t="n">
        <v>0</v>
      </c>
      <c r="P639" s="43" t="n">
        <v>0</v>
      </c>
      <c r="Q639" s="43" t="n">
        <v>0</v>
      </c>
      <c r="R639" s="43" t="n">
        <v>12</v>
      </c>
      <c r="S639" s="43" t="n">
        <v>0</v>
      </c>
      <c r="T639" s="43" t="n">
        <v>0</v>
      </c>
      <c r="U639" s="42" t="n">
        <f aca="false">SUM(I639:T639)</f>
        <v>18</v>
      </c>
    </row>
    <row r="640" customFormat="false" ht="15" hidden="false" customHeight="false" outlineLevel="0" collapsed="false">
      <c r="A640" s="40" t="s">
        <v>1418</v>
      </c>
      <c r="B640" s="40" t="s">
        <v>357</v>
      </c>
      <c r="C640" s="40" t="s">
        <v>39</v>
      </c>
      <c r="D640" s="40" t="s">
        <v>8</v>
      </c>
      <c r="E640" s="40" t="s">
        <v>381</v>
      </c>
      <c r="F640" s="40" t="s">
        <v>358</v>
      </c>
      <c r="G640" s="40" t="s">
        <v>407</v>
      </c>
      <c r="H640" s="40" t="s">
        <v>45</v>
      </c>
      <c r="I640" s="43" t="n">
        <v>0</v>
      </c>
      <c r="J640" s="43" t="n">
        <v>0</v>
      </c>
      <c r="K640" s="43" t="n">
        <v>0</v>
      </c>
      <c r="L640" s="43" t="n">
        <v>0</v>
      </c>
      <c r="M640" s="43" t="n">
        <v>0</v>
      </c>
      <c r="N640" s="43" t="n">
        <v>0</v>
      </c>
      <c r="O640" s="43" t="n">
        <v>0</v>
      </c>
      <c r="P640" s="43" t="n">
        <v>0</v>
      </c>
      <c r="Q640" s="43" t="n">
        <v>0</v>
      </c>
      <c r="R640" s="43" t="n">
        <v>3</v>
      </c>
      <c r="S640" s="43" t="n">
        <v>0</v>
      </c>
      <c r="T640" s="43" t="n">
        <v>0</v>
      </c>
      <c r="U640" s="42" t="n">
        <f aca="false">SUM(I640:T640)</f>
        <v>3</v>
      </c>
    </row>
    <row r="641" customFormat="false" ht="23.85" hidden="false" customHeight="false" outlineLevel="0" collapsed="false">
      <c r="A641" s="40" t="s">
        <v>1419</v>
      </c>
      <c r="B641" s="40" t="s">
        <v>161</v>
      </c>
      <c r="C641" s="40" t="s">
        <v>40</v>
      </c>
      <c r="D641" s="40" t="s">
        <v>5</v>
      </c>
      <c r="E641" s="40" t="s">
        <v>382</v>
      </c>
      <c r="F641" s="40" t="s">
        <v>162</v>
      </c>
      <c r="G641" s="40" t="s">
        <v>1420</v>
      </c>
      <c r="H641" s="40" t="s">
        <v>46</v>
      </c>
      <c r="I641" s="43" t="n">
        <v>73</v>
      </c>
      <c r="J641" s="43" t="n">
        <v>0</v>
      </c>
      <c r="K641" s="43" t="n">
        <v>0</v>
      </c>
      <c r="L641" s="43" t="n">
        <v>0</v>
      </c>
      <c r="M641" s="43" t="n">
        <v>0</v>
      </c>
      <c r="N641" s="43" t="n">
        <v>0</v>
      </c>
      <c r="O641" s="43" t="n">
        <v>0</v>
      </c>
      <c r="P641" s="43" t="n">
        <v>0</v>
      </c>
      <c r="Q641" s="43" t="n">
        <v>0</v>
      </c>
      <c r="R641" s="43" t="n">
        <v>0</v>
      </c>
      <c r="S641" s="43" t="n">
        <v>0</v>
      </c>
      <c r="T641" s="43" t="n">
        <v>0</v>
      </c>
      <c r="U641" s="42" t="n">
        <f aca="false">SUM(I641:T641)</f>
        <v>73</v>
      </c>
    </row>
    <row r="642" customFormat="false" ht="23.85" hidden="false" customHeight="false" outlineLevel="0" collapsed="false">
      <c r="A642" s="40" t="s">
        <v>1421</v>
      </c>
      <c r="B642" s="40" t="s">
        <v>161</v>
      </c>
      <c r="C642" s="40" t="s">
        <v>40</v>
      </c>
      <c r="D642" s="40" t="s">
        <v>5</v>
      </c>
      <c r="E642" s="40" t="s">
        <v>382</v>
      </c>
      <c r="F642" s="40" t="s">
        <v>162</v>
      </c>
      <c r="G642" s="40" t="s">
        <v>1422</v>
      </c>
      <c r="H642" s="40" t="s">
        <v>46</v>
      </c>
      <c r="I642" s="43" t="n">
        <v>122</v>
      </c>
      <c r="J642" s="43" t="n">
        <v>0</v>
      </c>
      <c r="K642" s="43" t="n">
        <v>0</v>
      </c>
      <c r="L642" s="43" t="n">
        <v>0</v>
      </c>
      <c r="M642" s="43" t="n">
        <v>0</v>
      </c>
      <c r="N642" s="43" t="n">
        <v>0</v>
      </c>
      <c r="O642" s="43" t="n">
        <v>0</v>
      </c>
      <c r="P642" s="43" t="n">
        <v>0</v>
      </c>
      <c r="Q642" s="43" t="n">
        <v>0</v>
      </c>
      <c r="R642" s="43" t="n">
        <v>0</v>
      </c>
      <c r="S642" s="43" t="n">
        <v>0</v>
      </c>
      <c r="T642" s="43" t="n">
        <v>0</v>
      </c>
      <c r="U642" s="42" t="n">
        <f aca="false">SUM(I642:T642)</f>
        <v>122</v>
      </c>
    </row>
    <row r="643" customFormat="false" ht="23.85" hidden="false" customHeight="false" outlineLevel="0" collapsed="false">
      <c r="A643" s="40" t="s">
        <v>1423</v>
      </c>
      <c r="B643" s="40" t="s">
        <v>161</v>
      </c>
      <c r="C643" s="40" t="s">
        <v>40</v>
      </c>
      <c r="D643" s="40" t="s">
        <v>5</v>
      </c>
      <c r="E643" s="40" t="s">
        <v>382</v>
      </c>
      <c r="F643" s="40" t="s">
        <v>162</v>
      </c>
      <c r="G643" s="40" t="s">
        <v>1424</v>
      </c>
      <c r="H643" s="40" t="s">
        <v>46</v>
      </c>
      <c r="I643" s="43" t="n">
        <v>73</v>
      </c>
      <c r="J643" s="43" t="n">
        <v>0</v>
      </c>
      <c r="K643" s="43" t="n">
        <v>0</v>
      </c>
      <c r="L643" s="43" t="n">
        <v>0</v>
      </c>
      <c r="M643" s="43" t="n">
        <v>0</v>
      </c>
      <c r="N643" s="43" t="n">
        <v>0</v>
      </c>
      <c r="O643" s="43" t="n">
        <v>0</v>
      </c>
      <c r="P643" s="43" t="n">
        <v>0</v>
      </c>
      <c r="Q643" s="43" t="n">
        <v>0</v>
      </c>
      <c r="R643" s="43" t="n">
        <v>0</v>
      </c>
      <c r="S643" s="43" t="n">
        <v>0</v>
      </c>
      <c r="T643" s="43" t="n">
        <v>0</v>
      </c>
      <c r="U643" s="42" t="n">
        <f aca="false">SUM(I643:T643)</f>
        <v>73</v>
      </c>
    </row>
    <row r="644" customFormat="false" ht="23.85" hidden="false" customHeight="false" outlineLevel="0" collapsed="false">
      <c r="A644" s="40" t="s">
        <v>1425</v>
      </c>
      <c r="B644" s="40" t="s">
        <v>161</v>
      </c>
      <c r="C644" s="40" t="s">
        <v>40</v>
      </c>
      <c r="D644" s="40" t="s">
        <v>5</v>
      </c>
      <c r="E644" s="40" t="s">
        <v>382</v>
      </c>
      <c r="F644" s="40" t="s">
        <v>162</v>
      </c>
      <c r="G644" s="40" t="s">
        <v>1426</v>
      </c>
      <c r="H644" s="40" t="s">
        <v>46</v>
      </c>
      <c r="I644" s="43" t="n">
        <v>0</v>
      </c>
      <c r="J644" s="43" t="n">
        <v>24</v>
      </c>
      <c r="K644" s="43" t="n">
        <v>0</v>
      </c>
      <c r="L644" s="43" t="n">
        <v>0</v>
      </c>
      <c r="M644" s="43" t="n">
        <v>24</v>
      </c>
      <c r="N644" s="43" t="n">
        <v>0</v>
      </c>
      <c r="O644" s="43" t="n">
        <v>0</v>
      </c>
      <c r="P644" s="43" t="n">
        <v>0</v>
      </c>
      <c r="Q644" s="43" t="n">
        <v>0</v>
      </c>
      <c r="R644" s="43" t="n">
        <v>0</v>
      </c>
      <c r="S644" s="43" t="n">
        <v>0</v>
      </c>
      <c r="T644" s="43" t="n">
        <v>0</v>
      </c>
      <c r="U644" s="42" t="n">
        <f aca="false">SUM(I644:T644)</f>
        <v>48</v>
      </c>
    </row>
    <row r="645" customFormat="false" ht="23.85" hidden="false" customHeight="false" outlineLevel="0" collapsed="false">
      <c r="A645" s="40" t="s">
        <v>1427</v>
      </c>
      <c r="B645" s="40" t="s">
        <v>161</v>
      </c>
      <c r="C645" s="40" t="s">
        <v>40</v>
      </c>
      <c r="D645" s="40" t="s">
        <v>5</v>
      </c>
      <c r="E645" s="40" t="s">
        <v>382</v>
      </c>
      <c r="F645" s="40" t="s">
        <v>162</v>
      </c>
      <c r="G645" s="40" t="s">
        <v>1428</v>
      </c>
      <c r="H645" s="40" t="s">
        <v>46</v>
      </c>
      <c r="I645" s="43" t="n">
        <v>98</v>
      </c>
      <c r="J645" s="43" t="n">
        <v>0</v>
      </c>
      <c r="K645" s="43" t="n">
        <v>0</v>
      </c>
      <c r="L645" s="43" t="n">
        <v>0</v>
      </c>
      <c r="M645" s="43" t="n">
        <v>0</v>
      </c>
      <c r="N645" s="43" t="n">
        <v>0</v>
      </c>
      <c r="O645" s="43" t="n">
        <v>0</v>
      </c>
      <c r="P645" s="43" t="n">
        <v>0</v>
      </c>
      <c r="Q645" s="43" t="n">
        <v>0</v>
      </c>
      <c r="R645" s="43" t="n">
        <v>0</v>
      </c>
      <c r="S645" s="43" t="n">
        <v>0</v>
      </c>
      <c r="T645" s="43" t="n">
        <v>0</v>
      </c>
      <c r="U645" s="42" t="n">
        <f aca="false">SUM(I645:T645)</f>
        <v>98</v>
      </c>
    </row>
    <row r="646" customFormat="false" ht="23.85" hidden="false" customHeight="false" outlineLevel="0" collapsed="false">
      <c r="A646" s="40" t="s">
        <v>1429</v>
      </c>
      <c r="B646" s="40" t="s">
        <v>229</v>
      </c>
      <c r="C646" s="40" t="s">
        <v>40</v>
      </c>
      <c r="D646" s="40" t="s">
        <v>6</v>
      </c>
      <c r="E646" s="40" t="s">
        <v>383</v>
      </c>
      <c r="F646" s="40" t="s">
        <v>162</v>
      </c>
      <c r="G646" s="40" t="s">
        <v>1420</v>
      </c>
      <c r="H646" s="40" t="s">
        <v>46</v>
      </c>
      <c r="I646" s="43" t="n">
        <v>73</v>
      </c>
      <c r="J646" s="43" t="n">
        <v>0</v>
      </c>
      <c r="K646" s="43" t="n">
        <v>0</v>
      </c>
      <c r="L646" s="43" t="n">
        <v>0</v>
      </c>
      <c r="M646" s="43" t="n">
        <v>0</v>
      </c>
      <c r="N646" s="43" t="n">
        <v>0</v>
      </c>
      <c r="O646" s="43" t="n">
        <v>0</v>
      </c>
      <c r="P646" s="43" t="n">
        <v>0</v>
      </c>
      <c r="Q646" s="43" t="n">
        <v>0</v>
      </c>
      <c r="R646" s="43" t="n">
        <v>0</v>
      </c>
      <c r="S646" s="43" t="n">
        <v>0</v>
      </c>
      <c r="T646" s="43" t="n">
        <v>0</v>
      </c>
      <c r="U646" s="42" t="n">
        <f aca="false">SUM(I646:T646)</f>
        <v>73</v>
      </c>
    </row>
    <row r="647" customFormat="false" ht="23.85" hidden="false" customHeight="false" outlineLevel="0" collapsed="false">
      <c r="A647" s="40" t="s">
        <v>1430</v>
      </c>
      <c r="B647" s="40" t="s">
        <v>229</v>
      </c>
      <c r="C647" s="40" t="s">
        <v>40</v>
      </c>
      <c r="D647" s="40" t="s">
        <v>6</v>
      </c>
      <c r="E647" s="40" t="s">
        <v>383</v>
      </c>
      <c r="F647" s="40" t="s">
        <v>162</v>
      </c>
      <c r="G647" s="40" t="s">
        <v>1422</v>
      </c>
      <c r="H647" s="40" t="s">
        <v>46</v>
      </c>
      <c r="I647" s="43" t="n">
        <v>122</v>
      </c>
      <c r="J647" s="43" t="n">
        <v>0</v>
      </c>
      <c r="K647" s="43" t="n">
        <v>0</v>
      </c>
      <c r="L647" s="43" t="n">
        <v>0</v>
      </c>
      <c r="M647" s="43" t="n">
        <v>0</v>
      </c>
      <c r="N647" s="43" t="n">
        <v>0</v>
      </c>
      <c r="O647" s="43" t="n">
        <v>0</v>
      </c>
      <c r="P647" s="43" t="n">
        <v>0</v>
      </c>
      <c r="Q647" s="43" t="n">
        <v>0</v>
      </c>
      <c r="R647" s="43" t="n">
        <v>0</v>
      </c>
      <c r="S647" s="43" t="n">
        <v>0</v>
      </c>
      <c r="T647" s="43" t="n">
        <v>0</v>
      </c>
      <c r="U647" s="42" t="n">
        <f aca="false">SUM(I647:T647)</f>
        <v>122</v>
      </c>
    </row>
    <row r="648" customFormat="false" ht="23.85" hidden="false" customHeight="false" outlineLevel="0" collapsed="false">
      <c r="A648" s="40" t="s">
        <v>1431</v>
      </c>
      <c r="B648" s="40" t="s">
        <v>229</v>
      </c>
      <c r="C648" s="40" t="s">
        <v>40</v>
      </c>
      <c r="D648" s="40" t="s">
        <v>6</v>
      </c>
      <c r="E648" s="40" t="s">
        <v>383</v>
      </c>
      <c r="F648" s="40" t="s">
        <v>162</v>
      </c>
      <c r="G648" s="40" t="s">
        <v>1424</v>
      </c>
      <c r="H648" s="40" t="s">
        <v>46</v>
      </c>
      <c r="I648" s="43" t="n">
        <v>73</v>
      </c>
      <c r="J648" s="43" t="n">
        <v>0</v>
      </c>
      <c r="K648" s="43" t="n">
        <v>0</v>
      </c>
      <c r="L648" s="43" t="n">
        <v>0</v>
      </c>
      <c r="M648" s="43" t="n">
        <v>0</v>
      </c>
      <c r="N648" s="43" t="n">
        <v>0</v>
      </c>
      <c r="O648" s="43" t="n">
        <v>0</v>
      </c>
      <c r="P648" s="43" t="n">
        <v>0</v>
      </c>
      <c r="Q648" s="43" t="n">
        <v>0</v>
      </c>
      <c r="R648" s="43" t="n">
        <v>0</v>
      </c>
      <c r="S648" s="43" t="n">
        <v>0</v>
      </c>
      <c r="T648" s="43" t="n">
        <v>0</v>
      </c>
      <c r="U648" s="42" t="n">
        <f aca="false">SUM(I648:T648)</f>
        <v>73</v>
      </c>
    </row>
    <row r="649" customFormat="false" ht="23.85" hidden="false" customHeight="false" outlineLevel="0" collapsed="false">
      <c r="A649" s="40" t="s">
        <v>1432</v>
      </c>
      <c r="B649" s="40" t="s">
        <v>229</v>
      </c>
      <c r="C649" s="40" t="s">
        <v>40</v>
      </c>
      <c r="D649" s="40" t="s">
        <v>6</v>
      </c>
      <c r="E649" s="40" t="s">
        <v>383</v>
      </c>
      <c r="F649" s="40" t="s">
        <v>162</v>
      </c>
      <c r="G649" s="40" t="s">
        <v>1426</v>
      </c>
      <c r="H649" s="40" t="s">
        <v>46</v>
      </c>
      <c r="I649" s="43" t="n">
        <v>0</v>
      </c>
      <c r="J649" s="43" t="n">
        <v>24</v>
      </c>
      <c r="K649" s="43" t="n">
        <v>0</v>
      </c>
      <c r="L649" s="43" t="n">
        <v>0</v>
      </c>
      <c r="M649" s="43" t="n">
        <v>24</v>
      </c>
      <c r="N649" s="43" t="n">
        <v>0</v>
      </c>
      <c r="O649" s="43" t="n">
        <v>0</v>
      </c>
      <c r="P649" s="43" t="n">
        <v>0</v>
      </c>
      <c r="Q649" s="43" t="n">
        <v>0</v>
      </c>
      <c r="R649" s="43" t="n">
        <v>0</v>
      </c>
      <c r="S649" s="43" t="n">
        <v>0</v>
      </c>
      <c r="T649" s="43" t="n">
        <v>0</v>
      </c>
      <c r="U649" s="42" t="n">
        <f aca="false">SUM(I649:T649)</f>
        <v>48</v>
      </c>
    </row>
    <row r="650" customFormat="false" ht="23.85" hidden="false" customHeight="false" outlineLevel="0" collapsed="false">
      <c r="A650" s="40" t="s">
        <v>1433</v>
      </c>
      <c r="B650" s="40" t="s">
        <v>229</v>
      </c>
      <c r="C650" s="40" t="s">
        <v>40</v>
      </c>
      <c r="D650" s="40" t="s">
        <v>6</v>
      </c>
      <c r="E650" s="40" t="s">
        <v>383</v>
      </c>
      <c r="F650" s="40" t="s">
        <v>162</v>
      </c>
      <c r="G650" s="40" t="s">
        <v>1428</v>
      </c>
      <c r="H650" s="40" t="s">
        <v>46</v>
      </c>
      <c r="I650" s="43" t="n">
        <v>98</v>
      </c>
      <c r="J650" s="43" t="n">
        <v>0</v>
      </c>
      <c r="K650" s="43" t="n">
        <v>0</v>
      </c>
      <c r="L650" s="43" t="n">
        <v>0</v>
      </c>
      <c r="M650" s="43" t="n">
        <v>0</v>
      </c>
      <c r="N650" s="43" t="n">
        <v>0</v>
      </c>
      <c r="O650" s="43" t="n">
        <v>0</v>
      </c>
      <c r="P650" s="43" t="n">
        <v>0</v>
      </c>
      <c r="Q650" s="43" t="n">
        <v>0</v>
      </c>
      <c r="R650" s="43" t="n">
        <v>0</v>
      </c>
      <c r="S650" s="43" t="n">
        <v>0</v>
      </c>
      <c r="T650" s="43" t="n">
        <v>0</v>
      </c>
      <c r="U650" s="42" t="n">
        <f aca="false">SUM(I650:T650)</f>
        <v>98</v>
      </c>
    </row>
    <row r="651" customFormat="false" ht="23.85" hidden="false" customHeight="false" outlineLevel="0" collapsed="false">
      <c r="A651" s="40" t="s">
        <v>1434</v>
      </c>
      <c r="B651" s="40" t="s">
        <v>297</v>
      </c>
      <c r="C651" s="40" t="s">
        <v>40</v>
      </c>
      <c r="D651" s="40" t="s">
        <v>7</v>
      </c>
      <c r="E651" s="40" t="s">
        <v>372</v>
      </c>
      <c r="F651" s="40" t="s">
        <v>162</v>
      </c>
      <c r="G651" s="40" t="s">
        <v>1420</v>
      </c>
      <c r="H651" s="40" t="s">
        <v>46</v>
      </c>
      <c r="I651" s="43" t="n">
        <v>73</v>
      </c>
      <c r="J651" s="43" t="n">
        <v>0</v>
      </c>
      <c r="K651" s="43" t="n">
        <v>0</v>
      </c>
      <c r="L651" s="43" t="n">
        <v>0</v>
      </c>
      <c r="M651" s="43" t="n">
        <v>0</v>
      </c>
      <c r="N651" s="43" t="n">
        <v>0</v>
      </c>
      <c r="O651" s="43" t="n">
        <v>0</v>
      </c>
      <c r="P651" s="43" t="n">
        <v>0</v>
      </c>
      <c r="Q651" s="43" t="n">
        <v>0</v>
      </c>
      <c r="R651" s="43" t="n">
        <v>0</v>
      </c>
      <c r="S651" s="43" t="n">
        <v>0</v>
      </c>
      <c r="T651" s="43" t="n">
        <v>0</v>
      </c>
      <c r="U651" s="42" t="n">
        <f aca="false">SUM(I651:T651)</f>
        <v>73</v>
      </c>
    </row>
    <row r="652" customFormat="false" ht="23.85" hidden="false" customHeight="false" outlineLevel="0" collapsed="false">
      <c r="A652" s="40" t="s">
        <v>1435</v>
      </c>
      <c r="B652" s="40" t="s">
        <v>297</v>
      </c>
      <c r="C652" s="40" t="s">
        <v>40</v>
      </c>
      <c r="D652" s="40" t="s">
        <v>7</v>
      </c>
      <c r="E652" s="40" t="s">
        <v>372</v>
      </c>
      <c r="F652" s="40" t="s">
        <v>162</v>
      </c>
      <c r="G652" s="40" t="s">
        <v>1422</v>
      </c>
      <c r="H652" s="40" t="s">
        <v>46</v>
      </c>
      <c r="I652" s="43" t="n">
        <v>122</v>
      </c>
      <c r="J652" s="43" t="n">
        <v>0</v>
      </c>
      <c r="K652" s="43" t="n">
        <v>0</v>
      </c>
      <c r="L652" s="43" t="n">
        <v>0</v>
      </c>
      <c r="M652" s="43" t="n">
        <v>0</v>
      </c>
      <c r="N652" s="43" t="n">
        <v>0</v>
      </c>
      <c r="O652" s="43" t="n">
        <v>0</v>
      </c>
      <c r="P652" s="43" t="n">
        <v>0</v>
      </c>
      <c r="Q652" s="43" t="n">
        <v>0</v>
      </c>
      <c r="R652" s="43" t="n">
        <v>0</v>
      </c>
      <c r="S652" s="43" t="n">
        <v>0</v>
      </c>
      <c r="T652" s="43" t="n">
        <v>0</v>
      </c>
      <c r="U652" s="42" t="n">
        <f aca="false">SUM(I652:T652)</f>
        <v>122</v>
      </c>
    </row>
    <row r="653" customFormat="false" ht="23.85" hidden="false" customHeight="false" outlineLevel="0" collapsed="false">
      <c r="A653" s="40" t="s">
        <v>1436</v>
      </c>
      <c r="B653" s="40" t="s">
        <v>297</v>
      </c>
      <c r="C653" s="40" t="s">
        <v>40</v>
      </c>
      <c r="D653" s="40" t="s">
        <v>7</v>
      </c>
      <c r="E653" s="40" t="s">
        <v>372</v>
      </c>
      <c r="F653" s="40" t="s">
        <v>162</v>
      </c>
      <c r="G653" s="40" t="s">
        <v>1424</v>
      </c>
      <c r="H653" s="40" t="s">
        <v>46</v>
      </c>
      <c r="I653" s="43" t="n">
        <v>73</v>
      </c>
      <c r="J653" s="43" t="n">
        <v>0</v>
      </c>
      <c r="K653" s="43" t="n">
        <v>0</v>
      </c>
      <c r="L653" s="43" t="n">
        <v>0</v>
      </c>
      <c r="M653" s="43" t="n">
        <v>0</v>
      </c>
      <c r="N653" s="43" t="n">
        <v>0</v>
      </c>
      <c r="O653" s="43" t="n">
        <v>0</v>
      </c>
      <c r="P653" s="43" t="n">
        <v>0</v>
      </c>
      <c r="Q653" s="43" t="n">
        <v>0</v>
      </c>
      <c r="R653" s="43" t="n">
        <v>0</v>
      </c>
      <c r="S653" s="43" t="n">
        <v>0</v>
      </c>
      <c r="T653" s="43" t="n">
        <v>0</v>
      </c>
      <c r="U653" s="42" t="n">
        <f aca="false">SUM(I653:T653)</f>
        <v>73</v>
      </c>
    </row>
    <row r="654" customFormat="false" ht="23.85" hidden="false" customHeight="false" outlineLevel="0" collapsed="false">
      <c r="A654" s="40" t="s">
        <v>1437</v>
      </c>
      <c r="B654" s="40" t="s">
        <v>297</v>
      </c>
      <c r="C654" s="40" t="s">
        <v>40</v>
      </c>
      <c r="D654" s="40" t="s">
        <v>7</v>
      </c>
      <c r="E654" s="40" t="s">
        <v>372</v>
      </c>
      <c r="F654" s="40" t="s">
        <v>162</v>
      </c>
      <c r="G654" s="40" t="s">
        <v>1426</v>
      </c>
      <c r="H654" s="40" t="s">
        <v>46</v>
      </c>
      <c r="I654" s="43" t="n">
        <v>0</v>
      </c>
      <c r="J654" s="43" t="n">
        <v>24</v>
      </c>
      <c r="K654" s="43" t="n">
        <v>0</v>
      </c>
      <c r="L654" s="43" t="n">
        <v>0</v>
      </c>
      <c r="M654" s="43" t="n">
        <v>24</v>
      </c>
      <c r="N654" s="43" t="n">
        <v>0</v>
      </c>
      <c r="O654" s="43" t="n">
        <v>0</v>
      </c>
      <c r="P654" s="43" t="n">
        <v>0</v>
      </c>
      <c r="Q654" s="43" t="n">
        <v>0</v>
      </c>
      <c r="R654" s="43" t="n">
        <v>0</v>
      </c>
      <c r="S654" s="43" t="n">
        <v>0</v>
      </c>
      <c r="T654" s="43" t="n">
        <v>0</v>
      </c>
      <c r="U654" s="42" t="n">
        <f aca="false">SUM(I654:T654)</f>
        <v>48</v>
      </c>
    </row>
    <row r="655" customFormat="false" ht="23.85" hidden="false" customHeight="false" outlineLevel="0" collapsed="false">
      <c r="A655" s="40" t="s">
        <v>1438</v>
      </c>
      <c r="B655" s="40" t="s">
        <v>297</v>
      </c>
      <c r="C655" s="40" t="s">
        <v>40</v>
      </c>
      <c r="D655" s="40" t="s">
        <v>7</v>
      </c>
      <c r="E655" s="40" t="s">
        <v>372</v>
      </c>
      <c r="F655" s="40" t="s">
        <v>162</v>
      </c>
      <c r="G655" s="40" t="s">
        <v>1428</v>
      </c>
      <c r="H655" s="40" t="s">
        <v>46</v>
      </c>
      <c r="I655" s="43" t="n">
        <v>98</v>
      </c>
      <c r="J655" s="43" t="n">
        <v>0</v>
      </c>
      <c r="K655" s="43" t="n">
        <v>0</v>
      </c>
      <c r="L655" s="43" t="n">
        <v>0</v>
      </c>
      <c r="M655" s="43" t="n">
        <v>0</v>
      </c>
      <c r="N655" s="43" t="n">
        <v>0</v>
      </c>
      <c r="O655" s="43" t="n">
        <v>0</v>
      </c>
      <c r="P655" s="43" t="n">
        <v>0</v>
      </c>
      <c r="Q655" s="43" t="n">
        <v>0</v>
      </c>
      <c r="R655" s="43" t="n">
        <v>0</v>
      </c>
      <c r="S655" s="43" t="n">
        <v>0</v>
      </c>
      <c r="T655" s="43" t="n">
        <v>0</v>
      </c>
      <c r="U655" s="42" t="n">
        <f aca="false">SUM(I655:T655)</f>
        <v>98</v>
      </c>
    </row>
    <row r="656" customFormat="false" ht="23.85" hidden="false" customHeight="false" outlineLevel="0" collapsed="false">
      <c r="A656" s="40" t="s">
        <v>1439</v>
      </c>
      <c r="B656" s="40" t="s">
        <v>362</v>
      </c>
      <c r="C656" s="40" t="s">
        <v>40</v>
      </c>
      <c r="D656" s="40" t="s">
        <v>8</v>
      </c>
      <c r="E656" s="40" t="s">
        <v>384</v>
      </c>
      <c r="F656" s="40" t="s">
        <v>162</v>
      </c>
      <c r="G656" s="40" t="s">
        <v>1420</v>
      </c>
      <c r="H656" s="40" t="s">
        <v>46</v>
      </c>
      <c r="I656" s="43" t="n">
        <v>73</v>
      </c>
      <c r="J656" s="43" t="n">
        <v>0</v>
      </c>
      <c r="K656" s="43" t="n">
        <v>0</v>
      </c>
      <c r="L656" s="43" t="n">
        <v>0</v>
      </c>
      <c r="M656" s="43" t="n">
        <v>0</v>
      </c>
      <c r="N656" s="43" t="n">
        <v>0</v>
      </c>
      <c r="O656" s="43" t="n">
        <v>0</v>
      </c>
      <c r="P656" s="43" t="n">
        <v>0</v>
      </c>
      <c r="Q656" s="43" t="n">
        <v>0</v>
      </c>
      <c r="R656" s="43" t="n">
        <v>0</v>
      </c>
      <c r="S656" s="43" t="n">
        <v>0</v>
      </c>
      <c r="T656" s="43" t="n">
        <v>0</v>
      </c>
      <c r="U656" s="42" t="n">
        <f aca="false">SUM(I656:T656)</f>
        <v>73</v>
      </c>
    </row>
    <row r="657" customFormat="false" ht="23.85" hidden="false" customHeight="false" outlineLevel="0" collapsed="false">
      <c r="A657" s="40" t="s">
        <v>1440</v>
      </c>
      <c r="B657" s="40" t="s">
        <v>362</v>
      </c>
      <c r="C657" s="40" t="s">
        <v>40</v>
      </c>
      <c r="D657" s="40" t="s">
        <v>8</v>
      </c>
      <c r="E657" s="40" t="s">
        <v>384</v>
      </c>
      <c r="F657" s="40" t="s">
        <v>162</v>
      </c>
      <c r="G657" s="40" t="s">
        <v>1422</v>
      </c>
      <c r="H657" s="40" t="s">
        <v>46</v>
      </c>
      <c r="I657" s="43" t="n">
        <v>122</v>
      </c>
      <c r="J657" s="43" t="n">
        <v>0</v>
      </c>
      <c r="K657" s="43" t="n">
        <v>0</v>
      </c>
      <c r="L657" s="43" t="n">
        <v>0</v>
      </c>
      <c r="M657" s="43" t="n">
        <v>0</v>
      </c>
      <c r="N657" s="43" t="n">
        <v>0</v>
      </c>
      <c r="O657" s="43" t="n">
        <v>0</v>
      </c>
      <c r="P657" s="43" t="n">
        <v>0</v>
      </c>
      <c r="Q657" s="43" t="n">
        <v>0</v>
      </c>
      <c r="R657" s="43" t="n">
        <v>0</v>
      </c>
      <c r="S657" s="43" t="n">
        <v>0</v>
      </c>
      <c r="T657" s="43" t="n">
        <v>0</v>
      </c>
      <c r="U657" s="42" t="n">
        <f aca="false">SUM(I657:T657)</f>
        <v>122</v>
      </c>
    </row>
    <row r="658" customFormat="false" ht="23.85" hidden="false" customHeight="false" outlineLevel="0" collapsed="false">
      <c r="A658" s="40" t="s">
        <v>1441</v>
      </c>
      <c r="B658" s="40" t="s">
        <v>362</v>
      </c>
      <c r="C658" s="40" t="s">
        <v>40</v>
      </c>
      <c r="D658" s="40" t="s">
        <v>8</v>
      </c>
      <c r="E658" s="40" t="s">
        <v>384</v>
      </c>
      <c r="F658" s="40" t="s">
        <v>162</v>
      </c>
      <c r="G658" s="40" t="s">
        <v>1424</v>
      </c>
      <c r="H658" s="40" t="s">
        <v>46</v>
      </c>
      <c r="I658" s="43" t="n">
        <v>73</v>
      </c>
      <c r="J658" s="43" t="n">
        <v>0</v>
      </c>
      <c r="K658" s="43" t="n">
        <v>0</v>
      </c>
      <c r="L658" s="43" t="n">
        <v>0</v>
      </c>
      <c r="M658" s="43" t="n">
        <v>0</v>
      </c>
      <c r="N658" s="43" t="n">
        <v>0</v>
      </c>
      <c r="O658" s="43" t="n">
        <v>0</v>
      </c>
      <c r="P658" s="43" t="n">
        <v>0</v>
      </c>
      <c r="Q658" s="43" t="n">
        <v>0</v>
      </c>
      <c r="R658" s="43" t="n">
        <v>0</v>
      </c>
      <c r="S658" s="43" t="n">
        <v>0</v>
      </c>
      <c r="T658" s="43" t="n">
        <v>0</v>
      </c>
      <c r="U658" s="42" t="n">
        <f aca="false">SUM(I658:T658)</f>
        <v>73</v>
      </c>
    </row>
    <row r="659" customFormat="false" ht="23.85" hidden="false" customHeight="false" outlineLevel="0" collapsed="false">
      <c r="A659" s="40" t="s">
        <v>1442</v>
      </c>
      <c r="B659" s="40" t="s">
        <v>362</v>
      </c>
      <c r="C659" s="40" t="s">
        <v>40</v>
      </c>
      <c r="D659" s="40" t="s">
        <v>8</v>
      </c>
      <c r="E659" s="40" t="s">
        <v>384</v>
      </c>
      <c r="F659" s="40" t="s">
        <v>162</v>
      </c>
      <c r="G659" s="40" t="s">
        <v>1426</v>
      </c>
      <c r="H659" s="40" t="s">
        <v>46</v>
      </c>
      <c r="I659" s="43" t="n">
        <v>0</v>
      </c>
      <c r="J659" s="43" t="n">
        <v>24</v>
      </c>
      <c r="K659" s="43" t="n">
        <v>0</v>
      </c>
      <c r="L659" s="43" t="n">
        <v>0</v>
      </c>
      <c r="M659" s="43" t="n">
        <v>24</v>
      </c>
      <c r="N659" s="43" t="n">
        <v>0</v>
      </c>
      <c r="O659" s="43" t="n">
        <v>0</v>
      </c>
      <c r="P659" s="43" t="n">
        <v>0</v>
      </c>
      <c r="Q659" s="43" t="n">
        <v>0</v>
      </c>
      <c r="R659" s="43" t="n">
        <v>0</v>
      </c>
      <c r="S659" s="43" t="n">
        <v>0</v>
      </c>
      <c r="T659" s="43" t="n">
        <v>0</v>
      </c>
      <c r="U659" s="42" t="n">
        <f aca="false">SUM(I659:T659)</f>
        <v>48</v>
      </c>
    </row>
    <row r="660" customFormat="false" ht="23.85" hidden="false" customHeight="false" outlineLevel="0" collapsed="false">
      <c r="A660" s="40" t="s">
        <v>1443</v>
      </c>
      <c r="B660" s="40" t="s">
        <v>362</v>
      </c>
      <c r="C660" s="40" t="s">
        <v>40</v>
      </c>
      <c r="D660" s="40" t="s">
        <v>8</v>
      </c>
      <c r="E660" s="40" t="s">
        <v>384</v>
      </c>
      <c r="F660" s="40" t="s">
        <v>162</v>
      </c>
      <c r="G660" s="40" t="s">
        <v>1428</v>
      </c>
      <c r="H660" s="40" t="s">
        <v>46</v>
      </c>
      <c r="I660" s="43" t="n">
        <v>98</v>
      </c>
      <c r="J660" s="43" t="n">
        <v>0</v>
      </c>
      <c r="K660" s="43" t="n">
        <v>0</v>
      </c>
      <c r="L660" s="43" t="n">
        <v>0</v>
      </c>
      <c r="M660" s="43" t="n">
        <v>0</v>
      </c>
      <c r="N660" s="43" t="n">
        <v>0</v>
      </c>
      <c r="O660" s="43" t="n">
        <v>0</v>
      </c>
      <c r="P660" s="43" t="n">
        <v>0</v>
      </c>
      <c r="Q660" s="43" t="n">
        <v>0</v>
      </c>
      <c r="R660" s="43" t="n">
        <v>0</v>
      </c>
      <c r="S660" s="43" t="n">
        <v>0</v>
      </c>
      <c r="T660" s="43" t="n">
        <v>0</v>
      </c>
      <c r="U660" s="42" t="n">
        <f aca="false">SUM(I660:T660)</f>
        <v>98</v>
      </c>
    </row>
    <row r="661" customFormat="false" ht="23.85" hidden="false" customHeight="false" outlineLevel="0" collapsed="false">
      <c r="A661" s="40" t="s">
        <v>1444</v>
      </c>
      <c r="B661" s="40" t="s">
        <v>251</v>
      </c>
      <c r="C661" s="40" t="s">
        <v>37</v>
      </c>
      <c r="D661" s="40" t="s">
        <v>7</v>
      </c>
      <c r="E661" s="40" t="s">
        <v>372</v>
      </c>
      <c r="F661" s="40" t="s">
        <v>252</v>
      </c>
      <c r="G661" s="40" t="s">
        <v>1445</v>
      </c>
      <c r="H661" s="40" t="s">
        <v>42</v>
      </c>
      <c r="I661" s="43" t="n">
        <v>0</v>
      </c>
      <c r="J661" s="43" t="n">
        <v>8</v>
      </c>
      <c r="K661" s="43" t="n">
        <v>0</v>
      </c>
      <c r="L661" s="43" t="n">
        <v>16</v>
      </c>
      <c r="M661" s="43" t="n">
        <v>0</v>
      </c>
      <c r="N661" s="43" t="n">
        <v>0</v>
      </c>
      <c r="O661" s="43" t="n">
        <v>0</v>
      </c>
      <c r="P661" s="43" t="n">
        <v>0</v>
      </c>
      <c r="Q661" s="43" t="n">
        <v>0</v>
      </c>
      <c r="R661" s="43" t="n">
        <v>0</v>
      </c>
      <c r="S661" s="43" t="n">
        <v>0</v>
      </c>
      <c r="T661" s="43" t="n">
        <v>0</v>
      </c>
      <c r="U661" s="42" t="n">
        <f aca="false">SUM(I661:T661)</f>
        <v>24</v>
      </c>
    </row>
    <row r="662" customFormat="false" ht="23.85" hidden="false" customHeight="false" outlineLevel="0" collapsed="false">
      <c r="A662" s="40" t="s">
        <v>1446</v>
      </c>
      <c r="B662" s="40" t="s">
        <v>251</v>
      </c>
      <c r="C662" s="40" t="s">
        <v>37</v>
      </c>
      <c r="D662" s="40" t="s">
        <v>7</v>
      </c>
      <c r="E662" s="40" t="s">
        <v>372</v>
      </c>
      <c r="F662" s="40" t="s">
        <v>252</v>
      </c>
      <c r="G662" s="40" t="s">
        <v>1447</v>
      </c>
      <c r="H662" s="40" t="s">
        <v>42</v>
      </c>
      <c r="I662" s="43" t="n">
        <v>0</v>
      </c>
      <c r="J662" s="43" t="n">
        <v>0</v>
      </c>
      <c r="K662" s="43" t="n">
        <v>0</v>
      </c>
      <c r="L662" s="43" t="n">
        <v>41</v>
      </c>
      <c r="M662" s="43" t="n">
        <v>0</v>
      </c>
      <c r="N662" s="43" t="n">
        <v>0</v>
      </c>
      <c r="O662" s="43" t="n">
        <v>0</v>
      </c>
      <c r="P662" s="43" t="n">
        <v>0</v>
      </c>
      <c r="Q662" s="43" t="n">
        <v>0</v>
      </c>
      <c r="R662" s="43" t="n">
        <v>0</v>
      </c>
      <c r="S662" s="43" t="n">
        <v>0</v>
      </c>
      <c r="T662" s="43" t="n">
        <v>0</v>
      </c>
      <c r="U662" s="42" t="n">
        <f aca="false">SUM(I662:T662)</f>
        <v>41</v>
      </c>
    </row>
    <row r="663" customFormat="false" ht="23.85" hidden="false" customHeight="false" outlineLevel="0" collapsed="false">
      <c r="A663" s="40" t="s">
        <v>1448</v>
      </c>
      <c r="B663" s="40" t="s">
        <v>251</v>
      </c>
      <c r="C663" s="40" t="s">
        <v>37</v>
      </c>
      <c r="D663" s="40" t="s">
        <v>7</v>
      </c>
      <c r="E663" s="40" t="s">
        <v>372</v>
      </c>
      <c r="F663" s="40" t="s">
        <v>252</v>
      </c>
      <c r="G663" s="40" t="s">
        <v>1449</v>
      </c>
      <c r="H663" s="40" t="s">
        <v>42</v>
      </c>
      <c r="I663" s="43" t="n">
        <v>0</v>
      </c>
      <c r="J663" s="43" t="n">
        <v>0</v>
      </c>
      <c r="K663" s="43" t="n">
        <v>24</v>
      </c>
      <c r="L663" s="43" t="n">
        <v>0</v>
      </c>
      <c r="M663" s="43" t="n">
        <v>0</v>
      </c>
      <c r="N663" s="43" t="n">
        <v>16</v>
      </c>
      <c r="O663" s="43" t="n">
        <v>0</v>
      </c>
      <c r="P663" s="43" t="n">
        <v>0</v>
      </c>
      <c r="Q663" s="43" t="n">
        <v>16</v>
      </c>
      <c r="R663" s="43" t="n">
        <v>0</v>
      </c>
      <c r="S663" s="43" t="n">
        <v>0</v>
      </c>
      <c r="T663" s="43" t="n">
        <v>0</v>
      </c>
      <c r="U663" s="42" t="n">
        <f aca="false">SUM(I663:T663)</f>
        <v>56</v>
      </c>
    </row>
    <row r="664" customFormat="false" ht="23.85" hidden="false" customHeight="false" outlineLevel="0" collapsed="false">
      <c r="A664" s="40" t="s">
        <v>1450</v>
      </c>
      <c r="B664" s="40" t="s">
        <v>251</v>
      </c>
      <c r="C664" s="40" t="s">
        <v>37</v>
      </c>
      <c r="D664" s="40" t="s">
        <v>7</v>
      </c>
      <c r="E664" s="40" t="s">
        <v>372</v>
      </c>
      <c r="F664" s="40" t="s">
        <v>252</v>
      </c>
      <c r="G664" s="40" t="s">
        <v>1451</v>
      </c>
      <c r="H664" s="40" t="s">
        <v>42</v>
      </c>
      <c r="I664" s="43" t="n">
        <v>0</v>
      </c>
      <c r="J664" s="43" t="n">
        <v>0</v>
      </c>
      <c r="K664" s="43" t="n">
        <v>0</v>
      </c>
      <c r="L664" s="43" t="n">
        <v>8</v>
      </c>
      <c r="M664" s="43" t="n">
        <v>0</v>
      </c>
      <c r="N664" s="43" t="n">
        <v>0</v>
      </c>
      <c r="O664" s="43" t="n">
        <v>0</v>
      </c>
      <c r="P664" s="43" t="n">
        <v>0</v>
      </c>
      <c r="Q664" s="43" t="n">
        <v>0</v>
      </c>
      <c r="R664" s="43" t="n">
        <v>0</v>
      </c>
      <c r="S664" s="43" t="n">
        <v>16</v>
      </c>
      <c r="T664" s="43" t="n">
        <v>0</v>
      </c>
      <c r="U664" s="42" t="n">
        <f aca="false">SUM(I664:T664)</f>
        <v>24</v>
      </c>
    </row>
    <row r="665" customFormat="false" ht="23.85" hidden="false" customHeight="false" outlineLevel="0" collapsed="false">
      <c r="A665" s="40" t="s">
        <v>1452</v>
      </c>
      <c r="B665" s="40" t="s">
        <v>319</v>
      </c>
      <c r="C665" s="40" t="s">
        <v>37</v>
      </c>
      <c r="D665" s="40" t="s">
        <v>8</v>
      </c>
      <c r="E665" s="40" t="s">
        <v>373</v>
      </c>
      <c r="F665" s="40" t="s">
        <v>320</v>
      </c>
      <c r="G665" s="40" t="s">
        <v>1453</v>
      </c>
      <c r="H665" s="40" t="s">
        <v>42</v>
      </c>
      <c r="I665" s="43" t="n">
        <v>8</v>
      </c>
      <c r="J665" s="43" t="n">
        <v>0</v>
      </c>
      <c r="K665" s="43" t="n">
        <v>8</v>
      </c>
      <c r="L665" s="43" t="n">
        <v>0</v>
      </c>
      <c r="M665" s="43" t="n">
        <v>0</v>
      </c>
      <c r="N665" s="43" t="n">
        <v>0</v>
      </c>
      <c r="O665" s="43" t="n">
        <v>0</v>
      </c>
      <c r="P665" s="43" t="n">
        <v>0</v>
      </c>
      <c r="Q665" s="43" t="n">
        <v>0</v>
      </c>
      <c r="R665" s="43" t="n">
        <v>0</v>
      </c>
      <c r="S665" s="43" t="n">
        <v>0</v>
      </c>
      <c r="T665" s="43" t="n">
        <v>0</v>
      </c>
      <c r="U665" s="42" t="n">
        <f aca="false">SUM(I665:T665)</f>
        <v>16</v>
      </c>
    </row>
    <row r="666" customFormat="false" ht="23.85" hidden="false" customHeight="false" outlineLevel="0" collapsed="false">
      <c r="A666" s="40" t="s">
        <v>1454</v>
      </c>
      <c r="B666" s="40" t="s">
        <v>319</v>
      </c>
      <c r="C666" s="40" t="s">
        <v>37</v>
      </c>
      <c r="D666" s="40" t="s">
        <v>8</v>
      </c>
      <c r="E666" s="40" t="s">
        <v>373</v>
      </c>
      <c r="F666" s="40" t="s">
        <v>320</v>
      </c>
      <c r="G666" s="40" t="s">
        <v>1455</v>
      </c>
      <c r="H666" s="40" t="s">
        <v>42</v>
      </c>
      <c r="I666" s="43" t="n">
        <v>0</v>
      </c>
      <c r="J666" s="43" t="n">
        <v>0</v>
      </c>
      <c r="K666" s="43" t="n">
        <v>24</v>
      </c>
      <c r="L666" s="43" t="n">
        <v>0</v>
      </c>
      <c r="M666" s="43" t="n">
        <v>0</v>
      </c>
      <c r="N666" s="43" t="n">
        <v>0</v>
      </c>
      <c r="O666" s="43" t="n">
        <v>0</v>
      </c>
      <c r="P666" s="43" t="n">
        <v>0</v>
      </c>
      <c r="Q666" s="43" t="n">
        <v>16</v>
      </c>
      <c r="R666" s="43" t="n">
        <v>0</v>
      </c>
      <c r="S666" s="43" t="n">
        <v>0</v>
      </c>
      <c r="T666" s="43" t="n">
        <v>0</v>
      </c>
      <c r="U666" s="42" t="n">
        <f aca="false">SUM(I666:T666)</f>
        <v>40</v>
      </c>
    </row>
    <row r="667" customFormat="false" ht="23.85" hidden="false" customHeight="false" outlineLevel="0" collapsed="false">
      <c r="A667" s="40" t="s">
        <v>1456</v>
      </c>
      <c r="B667" s="40" t="s">
        <v>319</v>
      </c>
      <c r="C667" s="40" t="s">
        <v>37</v>
      </c>
      <c r="D667" s="40" t="s">
        <v>8</v>
      </c>
      <c r="E667" s="40" t="s">
        <v>373</v>
      </c>
      <c r="F667" s="40" t="s">
        <v>320</v>
      </c>
      <c r="G667" s="40" t="s">
        <v>1457</v>
      </c>
      <c r="H667" s="40" t="s">
        <v>42</v>
      </c>
      <c r="I667" s="43" t="n">
        <v>0</v>
      </c>
      <c r="J667" s="43" t="n">
        <v>0</v>
      </c>
      <c r="K667" s="43" t="n">
        <v>24</v>
      </c>
      <c r="L667" s="43" t="n">
        <v>0</v>
      </c>
      <c r="M667" s="43" t="n">
        <v>0</v>
      </c>
      <c r="N667" s="43" t="n">
        <v>16</v>
      </c>
      <c r="O667" s="43" t="n">
        <v>8</v>
      </c>
      <c r="P667" s="43" t="n">
        <v>0</v>
      </c>
      <c r="Q667" s="43" t="n">
        <v>0</v>
      </c>
      <c r="R667" s="43" t="n">
        <v>0</v>
      </c>
      <c r="S667" s="43" t="n">
        <v>0</v>
      </c>
      <c r="T667" s="43" t="n">
        <v>0</v>
      </c>
      <c r="U667" s="42" t="n">
        <f aca="false">SUM(I667:T667)</f>
        <v>48</v>
      </c>
    </row>
    <row r="668" customFormat="false" ht="23.85" hidden="false" customHeight="false" outlineLevel="0" collapsed="false">
      <c r="A668" s="40" t="s">
        <v>1458</v>
      </c>
      <c r="B668" s="40" t="s">
        <v>319</v>
      </c>
      <c r="C668" s="40" t="s">
        <v>37</v>
      </c>
      <c r="D668" s="40" t="s">
        <v>8</v>
      </c>
      <c r="E668" s="40" t="s">
        <v>373</v>
      </c>
      <c r="F668" s="40" t="s">
        <v>320</v>
      </c>
      <c r="G668" s="40" t="s">
        <v>1459</v>
      </c>
      <c r="H668" s="40" t="s">
        <v>42</v>
      </c>
      <c r="I668" s="43" t="n">
        <v>0</v>
      </c>
      <c r="J668" s="43" t="n">
        <v>8</v>
      </c>
      <c r="K668" s="43" t="n">
        <v>0</v>
      </c>
      <c r="L668" s="43" t="n">
        <v>0</v>
      </c>
      <c r="M668" s="43" t="n">
        <v>0</v>
      </c>
      <c r="N668" s="43" t="n">
        <v>0</v>
      </c>
      <c r="O668" s="43" t="n">
        <v>0</v>
      </c>
      <c r="P668" s="43" t="n">
        <v>0</v>
      </c>
      <c r="Q668" s="43" t="n">
        <v>0</v>
      </c>
      <c r="R668" s="43" t="n">
        <v>0</v>
      </c>
      <c r="S668" s="43" t="n">
        <v>8</v>
      </c>
      <c r="T668" s="43" t="n">
        <v>0</v>
      </c>
      <c r="U668" s="42" t="n">
        <f aca="false">SUM(I668:T668)</f>
        <v>16</v>
      </c>
    </row>
    <row r="669" customFormat="false" ht="23.85" hidden="false" customHeight="false" outlineLevel="0" collapsed="false">
      <c r="A669" s="40" t="s">
        <v>1460</v>
      </c>
      <c r="B669" s="40" t="s">
        <v>254</v>
      </c>
      <c r="C669" s="40" t="s">
        <v>37</v>
      </c>
      <c r="D669" s="40" t="s">
        <v>7</v>
      </c>
      <c r="E669" s="40" t="s">
        <v>372</v>
      </c>
      <c r="F669" s="40" t="s">
        <v>255</v>
      </c>
      <c r="G669" s="40" t="s">
        <v>1461</v>
      </c>
      <c r="H669" s="40" t="s">
        <v>43</v>
      </c>
      <c r="I669" s="43" t="n">
        <v>0</v>
      </c>
      <c r="J669" s="43" t="n">
        <v>0</v>
      </c>
      <c r="K669" s="43" t="n">
        <v>0</v>
      </c>
      <c r="L669" s="43" t="n">
        <v>0</v>
      </c>
      <c r="M669" s="43" t="n">
        <v>16</v>
      </c>
      <c r="N669" s="43" t="n">
        <v>16</v>
      </c>
      <c r="O669" s="43" t="n">
        <v>0</v>
      </c>
      <c r="P669" s="43" t="n">
        <v>0</v>
      </c>
      <c r="Q669" s="43" t="n">
        <v>0</v>
      </c>
      <c r="R669" s="43" t="n">
        <v>0</v>
      </c>
      <c r="S669" s="43" t="n">
        <v>0</v>
      </c>
      <c r="T669" s="43" t="n">
        <v>0</v>
      </c>
      <c r="U669" s="42" t="n">
        <f aca="false">SUM(I669:T669)</f>
        <v>32</v>
      </c>
    </row>
    <row r="670" customFormat="false" ht="23.85" hidden="false" customHeight="false" outlineLevel="0" collapsed="false">
      <c r="A670" s="40" t="s">
        <v>1462</v>
      </c>
      <c r="B670" s="40" t="s">
        <v>254</v>
      </c>
      <c r="C670" s="40" t="s">
        <v>37</v>
      </c>
      <c r="D670" s="40" t="s">
        <v>7</v>
      </c>
      <c r="E670" s="40" t="s">
        <v>372</v>
      </c>
      <c r="F670" s="40" t="s">
        <v>255</v>
      </c>
      <c r="G670" s="40" t="s">
        <v>1463</v>
      </c>
      <c r="H670" s="40" t="s">
        <v>43</v>
      </c>
      <c r="I670" s="43" t="n">
        <v>0</v>
      </c>
      <c r="J670" s="43" t="n">
        <v>0</v>
      </c>
      <c r="K670" s="43" t="n">
        <v>0</v>
      </c>
      <c r="L670" s="43" t="n">
        <v>0</v>
      </c>
      <c r="M670" s="43" t="n">
        <v>0</v>
      </c>
      <c r="N670" s="43" t="n">
        <v>24</v>
      </c>
      <c r="O670" s="43" t="n">
        <v>0</v>
      </c>
      <c r="P670" s="43" t="n">
        <v>0</v>
      </c>
      <c r="Q670" s="43" t="n">
        <v>0</v>
      </c>
      <c r="R670" s="43" t="n">
        <v>0</v>
      </c>
      <c r="S670" s="43" t="n">
        <v>0</v>
      </c>
      <c r="T670" s="43" t="n">
        <v>0</v>
      </c>
      <c r="U670" s="42" t="n">
        <f aca="false">SUM(I670:T670)</f>
        <v>24</v>
      </c>
    </row>
    <row r="671" customFormat="false" ht="23.85" hidden="false" customHeight="false" outlineLevel="0" collapsed="false">
      <c r="A671" s="40" t="s">
        <v>1464</v>
      </c>
      <c r="B671" s="40" t="s">
        <v>254</v>
      </c>
      <c r="C671" s="40" t="s">
        <v>37</v>
      </c>
      <c r="D671" s="40" t="s">
        <v>7</v>
      </c>
      <c r="E671" s="40" t="s">
        <v>372</v>
      </c>
      <c r="F671" s="40" t="s">
        <v>255</v>
      </c>
      <c r="G671" s="40" t="s">
        <v>1465</v>
      </c>
      <c r="H671" s="40" t="s">
        <v>43</v>
      </c>
      <c r="I671" s="43" t="n">
        <v>0</v>
      </c>
      <c r="J671" s="43" t="n">
        <v>0</v>
      </c>
      <c r="K671" s="43" t="n">
        <v>0</v>
      </c>
      <c r="L671" s="43" t="n">
        <v>0</v>
      </c>
      <c r="M671" s="43" t="n">
        <v>8</v>
      </c>
      <c r="N671" s="43" t="n">
        <v>24</v>
      </c>
      <c r="O671" s="43" t="n">
        <v>0</v>
      </c>
      <c r="P671" s="43" t="n">
        <v>0</v>
      </c>
      <c r="Q671" s="43" t="n">
        <v>0</v>
      </c>
      <c r="R671" s="43" t="n">
        <v>0</v>
      </c>
      <c r="S671" s="43" t="n">
        <v>0</v>
      </c>
      <c r="T671" s="43" t="n">
        <v>0</v>
      </c>
      <c r="U671" s="42" t="n">
        <f aca="false">SUM(I671:T671)</f>
        <v>32</v>
      </c>
    </row>
    <row r="672" customFormat="false" ht="23.85" hidden="false" customHeight="false" outlineLevel="0" collapsed="false">
      <c r="A672" s="40" t="s">
        <v>1466</v>
      </c>
      <c r="B672" s="40" t="s">
        <v>254</v>
      </c>
      <c r="C672" s="40" t="s">
        <v>37</v>
      </c>
      <c r="D672" s="40" t="s">
        <v>7</v>
      </c>
      <c r="E672" s="40" t="s">
        <v>372</v>
      </c>
      <c r="F672" s="40" t="s">
        <v>255</v>
      </c>
      <c r="G672" s="40" t="s">
        <v>1467</v>
      </c>
      <c r="H672" s="40" t="s">
        <v>43</v>
      </c>
      <c r="I672" s="43" t="n">
        <v>0</v>
      </c>
      <c r="J672" s="43" t="n">
        <v>0</v>
      </c>
      <c r="K672" s="43" t="n">
        <v>0</v>
      </c>
      <c r="L672" s="43" t="n">
        <v>0</v>
      </c>
      <c r="M672" s="43" t="n">
        <v>0</v>
      </c>
      <c r="N672" s="43" t="n">
        <v>0</v>
      </c>
      <c r="O672" s="43" t="n">
        <v>0</v>
      </c>
      <c r="P672" s="43" t="n">
        <v>0</v>
      </c>
      <c r="Q672" s="43" t="n">
        <v>0</v>
      </c>
      <c r="R672" s="43" t="n">
        <v>0</v>
      </c>
      <c r="S672" s="43" t="n">
        <v>0</v>
      </c>
      <c r="T672" s="43" t="n">
        <v>8</v>
      </c>
      <c r="U672" s="42" t="n">
        <f aca="false">SUM(I672:T672)</f>
        <v>8</v>
      </c>
    </row>
    <row r="673" customFormat="false" ht="23.85" hidden="false" customHeight="false" outlineLevel="0" collapsed="false">
      <c r="A673" s="40" t="s">
        <v>1468</v>
      </c>
      <c r="B673" s="40" t="s">
        <v>225</v>
      </c>
      <c r="C673" s="40" t="s">
        <v>39</v>
      </c>
      <c r="D673" s="40" t="s">
        <v>6</v>
      </c>
      <c r="E673" s="40" t="s">
        <v>379</v>
      </c>
      <c r="F673" s="40" t="s">
        <v>226</v>
      </c>
      <c r="G673" s="40" t="s">
        <v>1469</v>
      </c>
      <c r="H673" s="40" t="s">
        <v>45</v>
      </c>
      <c r="I673" s="43" t="n">
        <v>0</v>
      </c>
      <c r="J673" s="43" t="n">
        <v>0</v>
      </c>
      <c r="K673" s="43" t="n">
        <v>0</v>
      </c>
      <c r="L673" s="43" t="n">
        <v>0</v>
      </c>
      <c r="M673" s="43" t="n">
        <v>0</v>
      </c>
      <c r="N673" s="43" t="n">
        <v>41</v>
      </c>
      <c r="O673" s="43" t="n">
        <v>16</v>
      </c>
      <c r="P673" s="43" t="n">
        <v>0</v>
      </c>
      <c r="Q673" s="43" t="n">
        <v>16</v>
      </c>
      <c r="R673" s="43" t="n">
        <v>0</v>
      </c>
      <c r="S673" s="43" t="n">
        <v>0</v>
      </c>
      <c r="T673" s="43" t="n">
        <v>0</v>
      </c>
      <c r="U673" s="42" t="n">
        <f aca="false">SUM(I673:T673)</f>
        <v>73</v>
      </c>
    </row>
    <row r="674" customFormat="false" ht="23.85" hidden="false" customHeight="false" outlineLevel="0" collapsed="false">
      <c r="A674" s="40" t="s">
        <v>1470</v>
      </c>
      <c r="B674" s="40" t="s">
        <v>225</v>
      </c>
      <c r="C674" s="40" t="s">
        <v>39</v>
      </c>
      <c r="D674" s="40" t="s">
        <v>6</v>
      </c>
      <c r="E674" s="40" t="s">
        <v>379</v>
      </c>
      <c r="F674" s="40" t="s">
        <v>226</v>
      </c>
      <c r="G674" s="40" t="s">
        <v>1471</v>
      </c>
      <c r="H674" s="40" t="s">
        <v>45</v>
      </c>
      <c r="I674" s="43" t="n">
        <v>0</v>
      </c>
      <c r="J674" s="43" t="n">
        <v>0</v>
      </c>
      <c r="K674" s="43" t="n">
        <v>0</v>
      </c>
      <c r="L674" s="43" t="n">
        <v>0</v>
      </c>
      <c r="M674" s="43" t="n">
        <v>0</v>
      </c>
      <c r="N674" s="43" t="n">
        <v>24</v>
      </c>
      <c r="O674" s="43" t="n">
        <v>0</v>
      </c>
      <c r="P674" s="43" t="n">
        <v>0</v>
      </c>
      <c r="Q674" s="43" t="n">
        <v>16</v>
      </c>
      <c r="R674" s="43" t="n">
        <v>0</v>
      </c>
      <c r="S674" s="43" t="n">
        <v>16</v>
      </c>
      <c r="T674" s="43" t="n">
        <v>0</v>
      </c>
      <c r="U674" s="42" t="n">
        <f aca="false">SUM(I674:T674)</f>
        <v>56</v>
      </c>
    </row>
    <row r="675" customFormat="false" ht="23.85" hidden="false" customHeight="false" outlineLevel="0" collapsed="false">
      <c r="A675" s="40" t="s">
        <v>1472</v>
      </c>
      <c r="B675" s="40" t="s">
        <v>225</v>
      </c>
      <c r="C675" s="40" t="s">
        <v>39</v>
      </c>
      <c r="D675" s="40" t="s">
        <v>6</v>
      </c>
      <c r="E675" s="40" t="s">
        <v>379</v>
      </c>
      <c r="F675" s="40" t="s">
        <v>226</v>
      </c>
      <c r="G675" s="40" t="s">
        <v>1473</v>
      </c>
      <c r="H675" s="40" t="s">
        <v>45</v>
      </c>
      <c r="I675" s="43" t="n">
        <v>8</v>
      </c>
      <c r="J675" s="43" t="n">
        <v>0</v>
      </c>
      <c r="K675" s="43" t="n">
        <v>0</v>
      </c>
      <c r="L675" s="43" t="n">
        <v>0</v>
      </c>
      <c r="M675" s="43" t="n">
        <v>0</v>
      </c>
      <c r="N675" s="43" t="n">
        <v>0</v>
      </c>
      <c r="O675" s="43" t="n">
        <v>0</v>
      </c>
      <c r="P675" s="43" t="n">
        <v>0</v>
      </c>
      <c r="Q675" s="43" t="n">
        <v>0</v>
      </c>
      <c r="R675" s="43" t="n">
        <v>8</v>
      </c>
      <c r="S675" s="43" t="n">
        <v>0</v>
      </c>
      <c r="T675" s="43" t="n">
        <v>0</v>
      </c>
      <c r="U675" s="42" t="n">
        <f aca="false">SUM(I675:T675)</f>
        <v>16</v>
      </c>
    </row>
    <row r="676" customFormat="false" ht="23.85" hidden="false" customHeight="false" outlineLevel="0" collapsed="false">
      <c r="A676" s="40" t="s">
        <v>1474</v>
      </c>
      <c r="B676" s="40" t="s">
        <v>295</v>
      </c>
      <c r="C676" s="40" t="s">
        <v>39</v>
      </c>
      <c r="D676" s="40" t="s">
        <v>7</v>
      </c>
      <c r="E676" s="40" t="s">
        <v>380</v>
      </c>
      <c r="F676" s="40" t="s">
        <v>226</v>
      </c>
      <c r="G676" s="40" t="s">
        <v>1469</v>
      </c>
      <c r="H676" s="40" t="s">
        <v>45</v>
      </c>
      <c r="I676" s="43" t="n">
        <v>0</v>
      </c>
      <c r="J676" s="43" t="n">
        <v>0</v>
      </c>
      <c r="K676" s="43" t="n">
        <v>0</v>
      </c>
      <c r="L676" s="43" t="n">
        <v>0</v>
      </c>
      <c r="M676" s="43" t="n">
        <v>0</v>
      </c>
      <c r="N676" s="43" t="n">
        <v>61</v>
      </c>
      <c r="O676" s="43" t="n">
        <v>24</v>
      </c>
      <c r="P676" s="43" t="n">
        <v>0</v>
      </c>
      <c r="Q676" s="43" t="n">
        <v>24</v>
      </c>
      <c r="R676" s="43" t="n">
        <v>0</v>
      </c>
      <c r="S676" s="43" t="n">
        <v>0</v>
      </c>
      <c r="T676" s="43" t="n">
        <v>0</v>
      </c>
      <c r="U676" s="42" t="n">
        <f aca="false">SUM(I676:T676)</f>
        <v>109</v>
      </c>
    </row>
    <row r="677" customFormat="false" ht="23.85" hidden="false" customHeight="false" outlineLevel="0" collapsed="false">
      <c r="A677" s="40" t="s">
        <v>1475</v>
      </c>
      <c r="B677" s="40" t="s">
        <v>295</v>
      </c>
      <c r="C677" s="40" t="s">
        <v>39</v>
      </c>
      <c r="D677" s="40" t="s">
        <v>7</v>
      </c>
      <c r="E677" s="40" t="s">
        <v>380</v>
      </c>
      <c r="F677" s="40" t="s">
        <v>226</v>
      </c>
      <c r="G677" s="40" t="s">
        <v>1471</v>
      </c>
      <c r="H677" s="40" t="s">
        <v>45</v>
      </c>
      <c r="I677" s="43" t="n">
        <v>0</v>
      </c>
      <c r="J677" s="43" t="n">
        <v>0</v>
      </c>
      <c r="K677" s="43" t="n">
        <v>0</v>
      </c>
      <c r="L677" s="43" t="n">
        <v>0</v>
      </c>
      <c r="M677" s="43" t="n">
        <v>0</v>
      </c>
      <c r="N677" s="43" t="n">
        <v>37</v>
      </c>
      <c r="O677" s="43" t="n">
        <v>0</v>
      </c>
      <c r="P677" s="43" t="n">
        <v>0</v>
      </c>
      <c r="Q677" s="43" t="n">
        <v>24</v>
      </c>
      <c r="R677" s="43" t="n">
        <v>0</v>
      </c>
      <c r="S677" s="43" t="n">
        <v>24</v>
      </c>
      <c r="T677" s="43" t="n">
        <v>0</v>
      </c>
      <c r="U677" s="42" t="n">
        <f aca="false">SUM(I677:T677)</f>
        <v>85</v>
      </c>
    </row>
    <row r="678" customFormat="false" ht="23.85" hidden="false" customHeight="false" outlineLevel="0" collapsed="false">
      <c r="A678" s="40" t="s">
        <v>1476</v>
      </c>
      <c r="B678" s="40" t="s">
        <v>295</v>
      </c>
      <c r="C678" s="40" t="s">
        <v>39</v>
      </c>
      <c r="D678" s="40" t="s">
        <v>7</v>
      </c>
      <c r="E678" s="40" t="s">
        <v>380</v>
      </c>
      <c r="F678" s="40" t="s">
        <v>226</v>
      </c>
      <c r="G678" s="40" t="s">
        <v>1473</v>
      </c>
      <c r="H678" s="40" t="s">
        <v>45</v>
      </c>
      <c r="I678" s="43" t="n">
        <v>12</v>
      </c>
      <c r="J678" s="43" t="n">
        <v>0</v>
      </c>
      <c r="K678" s="43" t="n">
        <v>0</v>
      </c>
      <c r="L678" s="43" t="n">
        <v>0</v>
      </c>
      <c r="M678" s="43" t="n">
        <v>0</v>
      </c>
      <c r="N678" s="43" t="n">
        <v>0</v>
      </c>
      <c r="O678" s="43" t="n">
        <v>0</v>
      </c>
      <c r="P678" s="43" t="n">
        <v>0</v>
      </c>
      <c r="Q678" s="43" t="n">
        <v>0</v>
      </c>
      <c r="R678" s="43" t="n">
        <v>12</v>
      </c>
      <c r="S678" s="43" t="n">
        <v>0</v>
      </c>
      <c r="T678" s="43" t="n">
        <v>0</v>
      </c>
      <c r="U678" s="42" t="n">
        <f aca="false">SUM(I678:T678)</f>
        <v>24</v>
      </c>
    </row>
    <row r="679" customFormat="false" ht="23.85" hidden="false" customHeight="false" outlineLevel="0" collapsed="false">
      <c r="A679" s="40" t="s">
        <v>1477</v>
      </c>
      <c r="B679" s="40" t="s">
        <v>360</v>
      </c>
      <c r="C679" s="40" t="s">
        <v>39</v>
      </c>
      <c r="D679" s="40" t="s">
        <v>8</v>
      </c>
      <c r="E679" s="40" t="s">
        <v>381</v>
      </c>
      <c r="F679" s="40" t="s">
        <v>226</v>
      </c>
      <c r="G679" s="40" t="s">
        <v>1469</v>
      </c>
      <c r="H679" s="40" t="s">
        <v>45</v>
      </c>
      <c r="I679" s="43" t="n">
        <v>0</v>
      </c>
      <c r="J679" s="43" t="n">
        <v>0</v>
      </c>
      <c r="K679" s="43" t="n">
        <v>0</v>
      </c>
      <c r="L679" s="43" t="n">
        <v>0</v>
      </c>
      <c r="M679" s="43" t="n">
        <v>0</v>
      </c>
      <c r="N679" s="43" t="n">
        <v>81</v>
      </c>
      <c r="O679" s="43" t="n">
        <v>33</v>
      </c>
      <c r="P679" s="43" t="n">
        <v>0</v>
      </c>
      <c r="Q679" s="43" t="n">
        <v>33</v>
      </c>
      <c r="R679" s="43" t="n">
        <v>0</v>
      </c>
      <c r="S679" s="43" t="n">
        <v>0</v>
      </c>
      <c r="T679" s="43" t="n">
        <v>0</v>
      </c>
      <c r="U679" s="42" t="n">
        <f aca="false">SUM(I679:T679)</f>
        <v>147</v>
      </c>
    </row>
    <row r="680" customFormat="false" ht="23.85" hidden="false" customHeight="false" outlineLevel="0" collapsed="false">
      <c r="A680" s="40" t="s">
        <v>1478</v>
      </c>
      <c r="B680" s="40" t="s">
        <v>360</v>
      </c>
      <c r="C680" s="40" t="s">
        <v>39</v>
      </c>
      <c r="D680" s="40" t="s">
        <v>8</v>
      </c>
      <c r="E680" s="40" t="s">
        <v>381</v>
      </c>
      <c r="F680" s="40" t="s">
        <v>226</v>
      </c>
      <c r="G680" s="40" t="s">
        <v>1471</v>
      </c>
      <c r="H680" s="40" t="s">
        <v>45</v>
      </c>
      <c r="I680" s="43" t="n">
        <v>0</v>
      </c>
      <c r="J680" s="43" t="n">
        <v>0</v>
      </c>
      <c r="K680" s="43" t="n">
        <v>0</v>
      </c>
      <c r="L680" s="43" t="n">
        <v>0</v>
      </c>
      <c r="M680" s="43" t="n">
        <v>0</v>
      </c>
      <c r="N680" s="43" t="n">
        <v>49</v>
      </c>
      <c r="O680" s="43" t="n">
        <v>0</v>
      </c>
      <c r="P680" s="43" t="n">
        <v>0</v>
      </c>
      <c r="Q680" s="43" t="n">
        <v>33</v>
      </c>
      <c r="R680" s="43" t="n">
        <v>0</v>
      </c>
      <c r="S680" s="43" t="n">
        <v>33</v>
      </c>
      <c r="T680" s="43" t="n">
        <v>0</v>
      </c>
      <c r="U680" s="42" t="n">
        <f aca="false">SUM(I680:T680)</f>
        <v>115</v>
      </c>
    </row>
    <row r="681" customFormat="false" ht="23.85" hidden="false" customHeight="false" outlineLevel="0" collapsed="false">
      <c r="A681" s="40" t="s">
        <v>1479</v>
      </c>
      <c r="B681" s="40" t="s">
        <v>360</v>
      </c>
      <c r="C681" s="40" t="s">
        <v>39</v>
      </c>
      <c r="D681" s="40" t="s">
        <v>8</v>
      </c>
      <c r="E681" s="40" t="s">
        <v>381</v>
      </c>
      <c r="F681" s="40" t="s">
        <v>226</v>
      </c>
      <c r="G681" s="40" t="s">
        <v>1473</v>
      </c>
      <c r="H681" s="40" t="s">
        <v>45</v>
      </c>
      <c r="I681" s="43" t="n">
        <v>16</v>
      </c>
      <c r="J681" s="43" t="n">
        <v>0</v>
      </c>
      <c r="K681" s="43" t="n">
        <v>0</v>
      </c>
      <c r="L681" s="43" t="n">
        <v>0</v>
      </c>
      <c r="M681" s="43" t="n">
        <v>0</v>
      </c>
      <c r="N681" s="43" t="n">
        <v>0</v>
      </c>
      <c r="O681" s="43" t="n">
        <v>0</v>
      </c>
      <c r="P681" s="43" t="n">
        <v>0</v>
      </c>
      <c r="Q681" s="43" t="n">
        <v>0</v>
      </c>
      <c r="R681" s="43" t="n">
        <v>16</v>
      </c>
      <c r="S681" s="43" t="n">
        <v>0</v>
      </c>
      <c r="T681" s="43" t="n">
        <v>0</v>
      </c>
      <c r="U681" s="42" t="n">
        <f aca="false">SUM(I681:T681)</f>
        <v>32</v>
      </c>
    </row>
    <row r="682" customFormat="false" ht="15" hidden="false" customHeight="false" outlineLevel="0" collapsed="false">
      <c r="A682" s="10" t="s">
        <v>9</v>
      </c>
      <c r="B682" s="9"/>
      <c r="C682" s="9"/>
      <c r="D682" s="9"/>
      <c r="E682" s="9"/>
      <c r="F682" s="9"/>
      <c r="G682" s="9"/>
      <c r="H682" s="9"/>
      <c r="I682" s="32" t="n">
        <f aca="false">SUM(I5:I681)</f>
        <v>1734</v>
      </c>
      <c r="J682" s="32" t="n">
        <f aca="false">SUM(J5:J681)</f>
        <v>692</v>
      </c>
      <c r="K682" s="32" t="n">
        <f aca="false">SUM(K5:K681)</f>
        <v>2649</v>
      </c>
      <c r="L682" s="32" t="n">
        <f aca="false">SUM(L5:L681)</f>
        <v>1027</v>
      </c>
      <c r="M682" s="32" t="n">
        <f aca="false">SUM(M5:M681)</f>
        <v>1358</v>
      </c>
      <c r="N682" s="32" t="n">
        <f aca="false">SUM(N5:N681)</f>
        <v>5748</v>
      </c>
      <c r="O682" s="32" t="n">
        <f aca="false">SUM(O5:O681)</f>
        <v>2935</v>
      </c>
      <c r="P682" s="32" t="n">
        <f aca="false">SUM(P5:P681)</f>
        <v>754</v>
      </c>
      <c r="Q682" s="32" t="n">
        <f aca="false">SUM(Q5:Q681)</f>
        <v>2031</v>
      </c>
      <c r="R682" s="32" t="n">
        <f aca="false">SUM(R5:R681)</f>
        <v>2225</v>
      </c>
      <c r="S682" s="32" t="n">
        <f aca="false">SUM(S5:S681)</f>
        <v>2259</v>
      </c>
      <c r="T682" s="32" t="n">
        <f aca="false">SUM(T5:T681)</f>
        <v>588</v>
      </c>
      <c r="U682" s="32" t="n">
        <f aca="false">SUM(U5:U681)</f>
        <v>24000</v>
      </c>
    </row>
  </sheetData>
  <autoFilter ref="A4:U6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46"/>
    <col collapsed="false" customWidth="true" hidden="false" outlineLevel="0" max="5" min="5" style="0" width="20"/>
    <col collapsed="false" customWidth="true" hidden="false" outlineLevel="0" max="6" min="6" style="0" width="64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7.35" hidden="false" customHeight="false" outlineLevel="0" collapsed="false">
      <c r="A1" s="1" t="s">
        <v>1480</v>
      </c>
    </row>
    <row r="2" customFormat="false" ht="15" hidden="false" customHeight="false" outlineLevel="0" collapsed="false">
      <c r="A2" s="2" t="s">
        <v>1481</v>
      </c>
    </row>
    <row r="4" customFormat="false" ht="15" hidden="false" customHeight="false" outlineLevel="0" collapsed="false">
      <c r="A4" s="4" t="s">
        <v>92</v>
      </c>
      <c r="B4" s="4" t="s">
        <v>49</v>
      </c>
      <c r="C4" s="4" t="s">
        <v>366</v>
      </c>
      <c r="D4" s="4" t="s">
        <v>1482</v>
      </c>
      <c r="E4" s="4" t="s">
        <v>94</v>
      </c>
      <c r="F4" s="4" t="s">
        <v>1483</v>
      </c>
      <c r="G4" s="4" t="s">
        <v>54</v>
      </c>
      <c r="H4" s="4" t="s">
        <v>369</v>
      </c>
    </row>
    <row r="5" customFormat="false" ht="23.85" hidden="false" customHeight="false" outlineLevel="0" collapsed="false">
      <c r="A5" s="40" t="s">
        <v>98</v>
      </c>
      <c r="B5" s="40" t="s">
        <v>37</v>
      </c>
      <c r="C5" s="40" t="s">
        <v>5</v>
      </c>
      <c r="D5" s="40" t="s">
        <v>99</v>
      </c>
      <c r="E5" s="40" t="s">
        <v>42</v>
      </c>
      <c r="F5" s="40" t="s">
        <v>1484</v>
      </c>
      <c r="G5" s="44" t="n">
        <f aca="false">'Activity Hours'!U5</f>
        <v>334</v>
      </c>
      <c r="H5" s="45" t="n">
        <f aca="false">'Activity Hours'!H5</f>
        <v>12</v>
      </c>
    </row>
    <row r="6" customFormat="false" ht="15" hidden="false" customHeight="false" outlineLevel="0" collapsed="false">
      <c r="A6" s="40" t="s">
        <v>101</v>
      </c>
      <c r="B6" s="40" t="s">
        <v>37</v>
      </c>
      <c r="C6" s="40" t="s">
        <v>5</v>
      </c>
      <c r="D6" s="40" t="s">
        <v>102</v>
      </c>
      <c r="E6" s="40" t="s">
        <v>42</v>
      </c>
      <c r="F6" s="40" t="s">
        <v>1485</v>
      </c>
      <c r="G6" s="44" t="n">
        <f aca="false">'Activity Hours'!U6</f>
        <v>145</v>
      </c>
      <c r="H6" s="45" t="n">
        <f aca="false">'Activity Hours'!H6</f>
        <v>8</v>
      </c>
    </row>
    <row r="7" customFormat="false" ht="23.85" hidden="false" customHeight="false" outlineLevel="0" collapsed="false">
      <c r="A7" s="40" t="s">
        <v>104</v>
      </c>
      <c r="B7" s="40" t="s">
        <v>37</v>
      </c>
      <c r="C7" s="40" t="s">
        <v>5</v>
      </c>
      <c r="D7" s="40" t="s">
        <v>105</v>
      </c>
      <c r="E7" s="40" t="s">
        <v>42</v>
      </c>
      <c r="F7" s="40" t="s">
        <v>1486</v>
      </c>
      <c r="G7" s="44" t="n">
        <f aca="false">'Activity Hours'!U7</f>
        <v>133</v>
      </c>
      <c r="H7" s="45" t="n">
        <f aca="false">'Activity Hours'!H7</f>
        <v>7</v>
      </c>
    </row>
    <row r="8" customFormat="false" ht="15" hidden="false" customHeight="false" outlineLevel="0" collapsed="false">
      <c r="A8" s="40" t="s">
        <v>107</v>
      </c>
      <c r="B8" s="40" t="s">
        <v>37</v>
      </c>
      <c r="C8" s="40" t="s">
        <v>5</v>
      </c>
      <c r="D8" s="40" t="s">
        <v>108</v>
      </c>
      <c r="E8" s="40" t="s">
        <v>42</v>
      </c>
      <c r="F8" s="40" t="s">
        <v>1487</v>
      </c>
      <c r="G8" s="44" t="n">
        <f aca="false">'Activity Hours'!U8</f>
        <v>88</v>
      </c>
      <c r="H8" s="45" t="n">
        <f aca="false">'Activity Hours'!H8</f>
        <v>7</v>
      </c>
    </row>
    <row r="9" customFormat="false" ht="15" hidden="false" customHeight="false" outlineLevel="0" collapsed="false">
      <c r="A9" s="40" t="s">
        <v>110</v>
      </c>
      <c r="B9" s="40" t="s">
        <v>37</v>
      </c>
      <c r="C9" s="40" t="s">
        <v>5</v>
      </c>
      <c r="D9" s="40" t="s">
        <v>111</v>
      </c>
      <c r="E9" s="40" t="s">
        <v>42</v>
      </c>
      <c r="F9" s="40" t="s">
        <v>1488</v>
      </c>
      <c r="G9" s="44" t="n">
        <f aca="false">'Activity Hours'!U9</f>
        <v>211</v>
      </c>
      <c r="H9" s="45" t="n">
        <f aca="false">'Activity Hours'!H9</f>
        <v>10</v>
      </c>
    </row>
    <row r="10" customFormat="false" ht="15" hidden="false" customHeight="false" outlineLevel="0" collapsed="false">
      <c r="A10" s="40" t="s">
        <v>113</v>
      </c>
      <c r="B10" s="40" t="s">
        <v>37</v>
      </c>
      <c r="C10" s="40" t="s">
        <v>5</v>
      </c>
      <c r="D10" s="40" t="s">
        <v>114</v>
      </c>
      <c r="E10" s="40" t="s">
        <v>42</v>
      </c>
      <c r="F10" s="40" t="s">
        <v>1489</v>
      </c>
      <c r="G10" s="44" t="n">
        <f aca="false">'Activity Hours'!U10</f>
        <v>299</v>
      </c>
      <c r="H10" s="45" t="n">
        <f aca="false">'Activity Hours'!H10</f>
        <v>11</v>
      </c>
    </row>
    <row r="11" customFormat="false" ht="15" hidden="false" customHeight="false" outlineLevel="0" collapsed="false">
      <c r="A11" s="40" t="s">
        <v>116</v>
      </c>
      <c r="B11" s="40" t="s">
        <v>37</v>
      </c>
      <c r="C11" s="40" t="s">
        <v>5</v>
      </c>
      <c r="D11" s="40" t="s">
        <v>117</v>
      </c>
      <c r="E11" s="40" t="s">
        <v>42</v>
      </c>
      <c r="F11" s="40" t="s">
        <v>1490</v>
      </c>
      <c r="G11" s="44" t="n">
        <f aca="false">'Activity Hours'!U11</f>
        <v>222</v>
      </c>
      <c r="H11" s="45" t="n">
        <f aca="false">'Activity Hours'!H11</f>
        <v>11</v>
      </c>
    </row>
    <row r="12" customFormat="false" ht="15" hidden="false" customHeight="false" outlineLevel="0" collapsed="false">
      <c r="A12" s="40" t="s">
        <v>169</v>
      </c>
      <c r="B12" s="40" t="s">
        <v>37</v>
      </c>
      <c r="C12" s="40" t="s">
        <v>6</v>
      </c>
      <c r="D12" s="40" t="s">
        <v>170</v>
      </c>
      <c r="E12" s="40" t="s">
        <v>43</v>
      </c>
      <c r="F12" s="40" t="s">
        <v>1491</v>
      </c>
      <c r="G12" s="44" t="n">
        <f aca="false">'Activity Hours'!U12</f>
        <v>157</v>
      </c>
      <c r="H12" s="45" t="n">
        <f aca="false">'Activity Hours'!H12</f>
        <v>10</v>
      </c>
    </row>
    <row r="13" customFormat="false" ht="23.85" hidden="false" customHeight="false" outlineLevel="0" collapsed="false">
      <c r="A13" s="40" t="s">
        <v>172</v>
      </c>
      <c r="B13" s="40" t="s">
        <v>37</v>
      </c>
      <c r="C13" s="40" t="s">
        <v>6</v>
      </c>
      <c r="D13" s="40" t="s">
        <v>173</v>
      </c>
      <c r="E13" s="40" t="s">
        <v>43</v>
      </c>
      <c r="F13" s="40" t="s">
        <v>1492</v>
      </c>
      <c r="G13" s="44" t="n">
        <f aca="false">'Activity Hours'!U13</f>
        <v>387</v>
      </c>
      <c r="H13" s="45" t="n">
        <f aca="false">'Activity Hours'!H13</f>
        <v>12</v>
      </c>
    </row>
    <row r="14" customFormat="false" ht="23.85" hidden="false" customHeight="false" outlineLevel="0" collapsed="false">
      <c r="A14" s="40" t="s">
        <v>175</v>
      </c>
      <c r="B14" s="40" t="s">
        <v>37</v>
      </c>
      <c r="C14" s="40" t="s">
        <v>6</v>
      </c>
      <c r="D14" s="40" t="s">
        <v>176</v>
      </c>
      <c r="E14" s="40" t="s">
        <v>43</v>
      </c>
      <c r="F14" s="40" t="s">
        <v>1493</v>
      </c>
      <c r="G14" s="44" t="n">
        <f aca="false">'Activity Hours'!U14</f>
        <v>657</v>
      </c>
      <c r="H14" s="45" t="n">
        <f aca="false">'Activity Hours'!H14</f>
        <v>12</v>
      </c>
    </row>
    <row r="15" customFormat="false" ht="15" hidden="false" customHeight="false" outlineLevel="0" collapsed="false">
      <c r="A15" s="40" t="s">
        <v>178</v>
      </c>
      <c r="B15" s="40" t="s">
        <v>37</v>
      </c>
      <c r="C15" s="40" t="s">
        <v>6</v>
      </c>
      <c r="D15" s="40" t="s">
        <v>179</v>
      </c>
      <c r="E15" s="40" t="s">
        <v>43</v>
      </c>
      <c r="F15" s="40" t="s">
        <v>1494</v>
      </c>
      <c r="G15" s="44" t="n">
        <f aca="false">'Activity Hours'!U15</f>
        <v>275</v>
      </c>
      <c r="H15" s="45" t="n">
        <f aca="false">'Activity Hours'!H15</f>
        <v>11</v>
      </c>
    </row>
    <row r="16" customFormat="false" ht="15" hidden="false" customHeight="false" outlineLevel="0" collapsed="false">
      <c r="A16" s="40" t="s">
        <v>181</v>
      </c>
      <c r="B16" s="40" t="s">
        <v>37</v>
      </c>
      <c r="C16" s="40" t="s">
        <v>6</v>
      </c>
      <c r="D16" s="40" t="s">
        <v>182</v>
      </c>
      <c r="E16" s="40" t="s">
        <v>43</v>
      </c>
      <c r="F16" s="40" t="s">
        <v>1495</v>
      </c>
      <c r="G16" s="44" t="n">
        <f aca="false">'Activity Hours'!U16</f>
        <v>118</v>
      </c>
      <c r="H16" s="45" t="n">
        <f aca="false">'Activity Hours'!H16</f>
        <v>9</v>
      </c>
    </row>
    <row r="17" customFormat="false" ht="15" hidden="false" customHeight="false" outlineLevel="0" collapsed="false">
      <c r="A17" s="40" t="s">
        <v>184</v>
      </c>
      <c r="B17" s="40" t="s">
        <v>37</v>
      </c>
      <c r="C17" s="40" t="s">
        <v>6</v>
      </c>
      <c r="D17" s="40" t="s">
        <v>185</v>
      </c>
      <c r="E17" s="40" t="s">
        <v>43</v>
      </c>
      <c r="F17" s="40" t="s">
        <v>1496</v>
      </c>
      <c r="G17" s="44" t="n">
        <f aca="false">'Activity Hours'!U17</f>
        <v>198</v>
      </c>
      <c r="H17" s="45" t="n">
        <f aca="false">'Activity Hours'!H17</f>
        <v>10</v>
      </c>
    </row>
    <row r="18" customFormat="false" ht="15" hidden="false" customHeight="false" outlineLevel="0" collapsed="false">
      <c r="A18" s="40" t="s">
        <v>233</v>
      </c>
      <c r="B18" s="40" t="s">
        <v>37</v>
      </c>
      <c r="C18" s="40" t="s">
        <v>7</v>
      </c>
      <c r="D18" s="40" t="s">
        <v>234</v>
      </c>
      <c r="E18" s="40" t="s">
        <v>42</v>
      </c>
      <c r="F18" s="40" t="s">
        <v>1497</v>
      </c>
      <c r="G18" s="44" t="n">
        <f aca="false">'Activity Hours'!U18</f>
        <v>148</v>
      </c>
      <c r="H18" s="45" t="n">
        <f aca="false">'Activity Hours'!H18</f>
        <v>10</v>
      </c>
    </row>
    <row r="19" customFormat="false" ht="15" hidden="false" customHeight="false" outlineLevel="0" collapsed="false">
      <c r="A19" s="40" t="s">
        <v>236</v>
      </c>
      <c r="B19" s="40" t="s">
        <v>37</v>
      </c>
      <c r="C19" s="40" t="s">
        <v>7</v>
      </c>
      <c r="D19" s="40" t="s">
        <v>237</v>
      </c>
      <c r="E19" s="40" t="s">
        <v>42</v>
      </c>
      <c r="F19" s="40" t="s">
        <v>1498</v>
      </c>
      <c r="G19" s="44" t="n">
        <f aca="false">'Activity Hours'!U19</f>
        <v>261</v>
      </c>
      <c r="H19" s="45" t="n">
        <f aca="false">'Activity Hours'!H19</f>
        <v>11</v>
      </c>
    </row>
    <row r="20" customFormat="false" ht="23.85" hidden="false" customHeight="false" outlineLevel="0" collapsed="false">
      <c r="A20" s="40" t="s">
        <v>239</v>
      </c>
      <c r="B20" s="40" t="s">
        <v>37</v>
      </c>
      <c r="C20" s="40" t="s">
        <v>7</v>
      </c>
      <c r="D20" s="40" t="s">
        <v>240</v>
      </c>
      <c r="E20" s="40" t="s">
        <v>43</v>
      </c>
      <c r="F20" s="40" t="s">
        <v>1499</v>
      </c>
      <c r="G20" s="44" t="n">
        <f aca="false">'Activity Hours'!U20</f>
        <v>488</v>
      </c>
      <c r="H20" s="45" t="n">
        <f aca="false">'Activity Hours'!H20</f>
        <v>11</v>
      </c>
    </row>
    <row r="21" customFormat="false" ht="15" hidden="false" customHeight="false" outlineLevel="0" collapsed="false">
      <c r="A21" s="40" t="s">
        <v>242</v>
      </c>
      <c r="B21" s="40" t="s">
        <v>37</v>
      </c>
      <c r="C21" s="40" t="s">
        <v>7</v>
      </c>
      <c r="D21" s="40" t="s">
        <v>243</v>
      </c>
      <c r="E21" s="40" t="s">
        <v>43</v>
      </c>
      <c r="F21" s="40" t="s">
        <v>1500</v>
      </c>
      <c r="G21" s="44" t="n">
        <f aca="false">'Activity Hours'!U21</f>
        <v>388</v>
      </c>
      <c r="H21" s="45" t="n">
        <f aca="false">'Activity Hours'!H21</f>
        <v>11</v>
      </c>
    </row>
    <row r="22" customFormat="false" ht="15" hidden="false" customHeight="false" outlineLevel="0" collapsed="false">
      <c r="A22" s="40" t="s">
        <v>245</v>
      </c>
      <c r="B22" s="40" t="s">
        <v>37</v>
      </c>
      <c r="C22" s="40" t="s">
        <v>7</v>
      </c>
      <c r="D22" s="40" t="s">
        <v>246</v>
      </c>
      <c r="E22" s="40" t="s">
        <v>42</v>
      </c>
      <c r="F22" s="40" t="s">
        <v>1501</v>
      </c>
      <c r="G22" s="44" t="n">
        <f aca="false">'Activity Hours'!U22</f>
        <v>477</v>
      </c>
      <c r="H22" s="45" t="n">
        <f aca="false">'Activity Hours'!H22</f>
        <v>11</v>
      </c>
    </row>
    <row r="23" customFormat="false" ht="15" hidden="false" customHeight="false" outlineLevel="0" collapsed="false">
      <c r="A23" s="40" t="s">
        <v>248</v>
      </c>
      <c r="B23" s="40" t="s">
        <v>37</v>
      </c>
      <c r="C23" s="40" t="s">
        <v>7</v>
      </c>
      <c r="D23" s="40" t="s">
        <v>249</v>
      </c>
      <c r="E23" s="40" t="s">
        <v>42</v>
      </c>
      <c r="F23" s="40" t="s">
        <v>1502</v>
      </c>
      <c r="G23" s="44" t="n">
        <f aca="false">'Activity Hours'!U23</f>
        <v>149</v>
      </c>
      <c r="H23" s="45" t="n">
        <f aca="false">'Activity Hours'!H23</f>
        <v>9</v>
      </c>
    </row>
    <row r="24" customFormat="false" ht="15" hidden="false" customHeight="false" outlineLevel="0" collapsed="false">
      <c r="A24" s="40" t="s">
        <v>301</v>
      </c>
      <c r="B24" s="40" t="s">
        <v>37</v>
      </c>
      <c r="C24" s="40" t="s">
        <v>8</v>
      </c>
      <c r="D24" s="40" t="s">
        <v>302</v>
      </c>
      <c r="E24" s="40" t="s">
        <v>43</v>
      </c>
      <c r="F24" s="40" t="s">
        <v>1503</v>
      </c>
      <c r="G24" s="44" t="n">
        <f aca="false">'Activity Hours'!U24</f>
        <v>359</v>
      </c>
      <c r="H24" s="45" t="n">
        <f aca="false">'Activity Hours'!H24</f>
        <v>11</v>
      </c>
    </row>
    <row r="25" customFormat="false" ht="15" hidden="false" customHeight="false" outlineLevel="0" collapsed="false">
      <c r="A25" s="40" t="s">
        <v>304</v>
      </c>
      <c r="B25" s="40" t="s">
        <v>37</v>
      </c>
      <c r="C25" s="40" t="s">
        <v>8</v>
      </c>
      <c r="D25" s="40" t="s">
        <v>305</v>
      </c>
      <c r="E25" s="40" t="s">
        <v>43</v>
      </c>
      <c r="F25" s="40" t="s">
        <v>1504</v>
      </c>
      <c r="G25" s="44" t="n">
        <f aca="false">'Activity Hours'!U25</f>
        <v>119</v>
      </c>
      <c r="H25" s="45" t="n">
        <f aca="false">'Activity Hours'!H25</f>
        <v>9</v>
      </c>
    </row>
    <row r="26" customFormat="false" ht="15" hidden="false" customHeight="false" outlineLevel="0" collapsed="false">
      <c r="A26" s="40" t="s">
        <v>307</v>
      </c>
      <c r="B26" s="40" t="s">
        <v>37</v>
      </c>
      <c r="C26" s="40" t="s">
        <v>8</v>
      </c>
      <c r="D26" s="40" t="s">
        <v>308</v>
      </c>
      <c r="E26" s="40" t="s">
        <v>43</v>
      </c>
      <c r="F26" s="40" t="s">
        <v>1505</v>
      </c>
      <c r="G26" s="44" t="n">
        <f aca="false">'Activity Hours'!U26</f>
        <v>159</v>
      </c>
      <c r="H26" s="45" t="n">
        <f aca="false">'Activity Hours'!H26</f>
        <v>9</v>
      </c>
    </row>
    <row r="27" customFormat="false" ht="15" hidden="false" customHeight="false" outlineLevel="0" collapsed="false">
      <c r="A27" s="40" t="s">
        <v>310</v>
      </c>
      <c r="B27" s="40" t="s">
        <v>37</v>
      </c>
      <c r="C27" s="40" t="s">
        <v>8</v>
      </c>
      <c r="D27" s="40" t="s">
        <v>311</v>
      </c>
      <c r="E27" s="40" t="s">
        <v>42</v>
      </c>
      <c r="F27" s="40" t="s">
        <v>1506</v>
      </c>
      <c r="G27" s="44" t="n">
        <f aca="false">'Activity Hours'!U27</f>
        <v>240</v>
      </c>
      <c r="H27" s="45" t="n">
        <f aca="false">'Activity Hours'!H27</f>
        <v>11</v>
      </c>
    </row>
    <row r="28" customFormat="false" ht="15" hidden="false" customHeight="false" outlineLevel="0" collapsed="false">
      <c r="A28" s="40" t="s">
        <v>313</v>
      </c>
      <c r="B28" s="40" t="s">
        <v>37</v>
      </c>
      <c r="C28" s="40" t="s">
        <v>8</v>
      </c>
      <c r="D28" s="40" t="s">
        <v>314</v>
      </c>
      <c r="E28" s="40" t="s">
        <v>42</v>
      </c>
      <c r="F28" s="40" t="s">
        <v>1507</v>
      </c>
      <c r="G28" s="44" t="n">
        <f aca="false">'Activity Hours'!U28</f>
        <v>86</v>
      </c>
      <c r="H28" s="45" t="n">
        <f aca="false">'Activity Hours'!H28</f>
        <v>9</v>
      </c>
    </row>
    <row r="29" customFormat="false" ht="15" hidden="false" customHeight="false" outlineLevel="0" collapsed="false">
      <c r="A29" s="40" t="s">
        <v>316</v>
      </c>
      <c r="B29" s="40" t="s">
        <v>37</v>
      </c>
      <c r="C29" s="40" t="s">
        <v>8</v>
      </c>
      <c r="D29" s="40" t="s">
        <v>317</v>
      </c>
      <c r="E29" s="40" t="s">
        <v>42</v>
      </c>
      <c r="F29" s="40" t="s">
        <v>1508</v>
      </c>
      <c r="G29" s="44" t="n">
        <f aca="false">'Activity Hours'!U29</f>
        <v>558</v>
      </c>
      <c r="H29" s="45" t="n">
        <f aca="false">'Activity Hours'!H29</f>
        <v>11</v>
      </c>
    </row>
    <row r="30" customFormat="false" ht="23.85" hidden="false" customHeight="false" outlineLevel="0" collapsed="false">
      <c r="A30" s="40" t="s">
        <v>121</v>
      </c>
      <c r="B30" s="40" t="s">
        <v>38</v>
      </c>
      <c r="C30" s="40" t="s">
        <v>5</v>
      </c>
      <c r="D30" s="40" t="s">
        <v>122</v>
      </c>
      <c r="E30" s="40" t="s">
        <v>44</v>
      </c>
      <c r="F30" s="40" t="s">
        <v>1509</v>
      </c>
      <c r="G30" s="44" t="n">
        <f aca="false">'Activity Hours'!U30</f>
        <v>218</v>
      </c>
      <c r="H30" s="45" t="n">
        <f aca="false">'Activity Hours'!H30</f>
        <v>6</v>
      </c>
    </row>
    <row r="31" customFormat="false" ht="15" hidden="false" customHeight="false" outlineLevel="0" collapsed="false">
      <c r="A31" s="40" t="s">
        <v>124</v>
      </c>
      <c r="B31" s="40" t="s">
        <v>38</v>
      </c>
      <c r="C31" s="40" t="s">
        <v>5</v>
      </c>
      <c r="D31" s="40" t="s">
        <v>125</v>
      </c>
      <c r="E31" s="40" t="s">
        <v>44</v>
      </c>
      <c r="F31" s="40" t="s">
        <v>1510</v>
      </c>
      <c r="G31" s="44" t="n">
        <f aca="false">'Activity Hours'!U31</f>
        <v>156</v>
      </c>
      <c r="H31" s="45" t="n">
        <f aca="false">'Activity Hours'!H31</f>
        <v>7</v>
      </c>
    </row>
    <row r="32" customFormat="false" ht="15" hidden="false" customHeight="false" outlineLevel="0" collapsed="false">
      <c r="A32" s="40" t="s">
        <v>127</v>
      </c>
      <c r="B32" s="40" t="s">
        <v>38</v>
      </c>
      <c r="C32" s="40" t="s">
        <v>5</v>
      </c>
      <c r="D32" s="40" t="s">
        <v>128</v>
      </c>
      <c r="E32" s="40" t="s">
        <v>44</v>
      </c>
      <c r="F32" s="40" t="s">
        <v>1511</v>
      </c>
      <c r="G32" s="44" t="n">
        <f aca="false">'Activity Hours'!U32</f>
        <v>88</v>
      </c>
      <c r="H32" s="45" t="n">
        <f aca="false">'Activity Hours'!H32</f>
        <v>6</v>
      </c>
    </row>
    <row r="33" customFormat="false" ht="15" hidden="false" customHeight="false" outlineLevel="0" collapsed="false">
      <c r="A33" s="40" t="s">
        <v>130</v>
      </c>
      <c r="B33" s="40" t="s">
        <v>38</v>
      </c>
      <c r="C33" s="40" t="s">
        <v>5</v>
      </c>
      <c r="D33" s="40" t="s">
        <v>131</v>
      </c>
      <c r="E33" s="40" t="s">
        <v>42</v>
      </c>
      <c r="F33" s="40" t="s">
        <v>1512</v>
      </c>
      <c r="G33" s="44" t="n">
        <f aca="false">'Activity Hours'!U33</f>
        <v>98</v>
      </c>
      <c r="H33" s="45" t="n">
        <f aca="false">'Activity Hours'!H33</f>
        <v>9</v>
      </c>
    </row>
    <row r="34" customFormat="false" ht="15" hidden="false" customHeight="false" outlineLevel="0" collapsed="false">
      <c r="A34" s="40" t="s">
        <v>133</v>
      </c>
      <c r="B34" s="40" t="s">
        <v>38</v>
      </c>
      <c r="C34" s="40" t="s">
        <v>5</v>
      </c>
      <c r="D34" s="40" t="s">
        <v>134</v>
      </c>
      <c r="E34" s="40" t="s">
        <v>42</v>
      </c>
      <c r="F34" s="40" t="s">
        <v>1513</v>
      </c>
      <c r="G34" s="44" t="n">
        <f aca="false">'Activity Hours'!U34</f>
        <v>119</v>
      </c>
      <c r="H34" s="45" t="n">
        <f aca="false">'Activity Hours'!H34</f>
        <v>9</v>
      </c>
    </row>
    <row r="35" customFormat="false" ht="15" hidden="false" customHeight="false" outlineLevel="0" collapsed="false">
      <c r="A35" s="40" t="s">
        <v>136</v>
      </c>
      <c r="B35" s="40" t="s">
        <v>38</v>
      </c>
      <c r="C35" s="40" t="s">
        <v>5</v>
      </c>
      <c r="D35" s="40" t="s">
        <v>137</v>
      </c>
      <c r="E35" s="40" t="s">
        <v>44</v>
      </c>
      <c r="F35" s="40" t="s">
        <v>1514</v>
      </c>
      <c r="G35" s="44" t="n">
        <f aca="false">'Activity Hours'!U35</f>
        <v>179</v>
      </c>
      <c r="H35" s="45" t="n">
        <f aca="false">'Activity Hours'!H35</f>
        <v>7</v>
      </c>
    </row>
    <row r="36" customFormat="false" ht="23.85" hidden="false" customHeight="false" outlineLevel="0" collapsed="false">
      <c r="A36" s="40" t="s">
        <v>188</v>
      </c>
      <c r="B36" s="40" t="s">
        <v>38</v>
      </c>
      <c r="C36" s="40" t="s">
        <v>6</v>
      </c>
      <c r="D36" s="40" t="s">
        <v>189</v>
      </c>
      <c r="E36" s="40" t="s">
        <v>44</v>
      </c>
      <c r="F36" s="40" t="s">
        <v>1515</v>
      </c>
      <c r="G36" s="44" t="n">
        <f aca="false">'Activity Hours'!U36</f>
        <v>732</v>
      </c>
      <c r="H36" s="45" t="n">
        <f aca="false">'Activity Hours'!H36</f>
        <v>12</v>
      </c>
    </row>
    <row r="37" customFormat="false" ht="15" hidden="false" customHeight="false" outlineLevel="0" collapsed="false">
      <c r="A37" s="40" t="s">
        <v>191</v>
      </c>
      <c r="B37" s="40" t="s">
        <v>38</v>
      </c>
      <c r="C37" s="40" t="s">
        <v>6</v>
      </c>
      <c r="D37" s="40" t="s">
        <v>192</v>
      </c>
      <c r="E37" s="40" t="s">
        <v>43</v>
      </c>
      <c r="F37" s="40" t="s">
        <v>1516</v>
      </c>
      <c r="G37" s="44" t="n">
        <f aca="false">'Activity Hours'!U37</f>
        <v>361</v>
      </c>
      <c r="H37" s="45" t="n">
        <f aca="false">'Activity Hours'!H37</f>
        <v>11</v>
      </c>
    </row>
    <row r="38" customFormat="false" ht="23.85" hidden="false" customHeight="false" outlineLevel="0" collapsed="false">
      <c r="A38" s="40" t="s">
        <v>194</v>
      </c>
      <c r="B38" s="40" t="s">
        <v>38</v>
      </c>
      <c r="C38" s="40" t="s">
        <v>6</v>
      </c>
      <c r="D38" s="40" t="s">
        <v>195</v>
      </c>
      <c r="E38" s="40" t="s">
        <v>43</v>
      </c>
      <c r="F38" s="40" t="s">
        <v>1517</v>
      </c>
      <c r="G38" s="44" t="n">
        <f aca="false">'Activity Hours'!U38</f>
        <v>119</v>
      </c>
      <c r="H38" s="45" t="n">
        <f aca="false">'Activity Hours'!H38</f>
        <v>9</v>
      </c>
    </row>
    <row r="39" customFormat="false" ht="23.85" hidden="false" customHeight="false" outlineLevel="0" collapsed="false">
      <c r="A39" s="40" t="s">
        <v>197</v>
      </c>
      <c r="B39" s="40" t="s">
        <v>38</v>
      </c>
      <c r="C39" s="40" t="s">
        <v>6</v>
      </c>
      <c r="D39" s="40" t="s">
        <v>198</v>
      </c>
      <c r="E39" s="40" t="s">
        <v>43</v>
      </c>
      <c r="F39" s="40" t="s">
        <v>1518</v>
      </c>
      <c r="G39" s="44" t="n">
        <f aca="false">'Activity Hours'!U39</f>
        <v>285</v>
      </c>
      <c r="H39" s="45" t="n">
        <f aca="false">'Activity Hours'!H39</f>
        <v>11</v>
      </c>
    </row>
    <row r="40" customFormat="false" ht="15" hidden="false" customHeight="false" outlineLevel="0" collapsed="false">
      <c r="A40" s="40" t="s">
        <v>200</v>
      </c>
      <c r="B40" s="40" t="s">
        <v>38</v>
      </c>
      <c r="C40" s="40" t="s">
        <v>6</v>
      </c>
      <c r="D40" s="40" t="s">
        <v>201</v>
      </c>
      <c r="E40" s="40" t="s">
        <v>44</v>
      </c>
      <c r="F40" s="40" t="s">
        <v>1519</v>
      </c>
      <c r="G40" s="44" t="n">
        <f aca="false">'Activity Hours'!U40</f>
        <v>301</v>
      </c>
      <c r="H40" s="45" t="n">
        <f aca="false">'Activity Hours'!H40</f>
        <v>9</v>
      </c>
    </row>
    <row r="41" customFormat="false" ht="15" hidden="false" customHeight="false" outlineLevel="0" collapsed="false">
      <c r="A41" s="40" t="s">
        <v>203</v>
      </c>
      <c r="B41" s="40" t="s">
        <v>38</v>
      </c>
      <c r="C41" s="40" t="s">
        <v>6</v>
      </c>
      <c r="D41" s="40" t="s">
        <v>204</v>
      </c>
      <c r="E41" s="40" t="s">
        <v>44</v>
      </c>
      <c r="F41" s="40" t="s">
        <v>1520</v>
      </c>
      <c r="G41" s="44" t="n">
        <f aca="false">'Activity Hours'!U41</f>
        <v>330</v>
      </c>
      <c r="H41" s="45" t="n">
        <f aca="false">'Activity Hours'!H41</f>
        <v>10</v>
      </c>
    </row>
    <row r="42" customFormat="false" ht="15" hidden="false" customHeight="false" outlineLevel="0" collapsed="false">
      <c r="A42" s="40" t="s">
        <v>258</v>
      </c>
      <c r="B42" s="40" t="s">
        <v>38</v>
      </c>
      <c r="C42" s="40" t="s">
        <v>7</v>
      </c>
      <c r="D42" s="40" t="s">
        <v>259</v>
      </c>
      <c r="E42" s="40" t="s">
        <v>43</v>
      </c>
      <c r="F42" s="40" t="s">
        <v>1521</v>
      </c>
      <c r="G42" s="44" t="n">
        <f aca="false">'Activity Hours'!U42</f>
        <v>509</v>
      </c>
      <c r="H42" s="45" t="n">
        <f aca="false">'Activity Hours'!H42</f>
        <v>11</v>
      </c>
    </row>
    <row r="43" customFormat="false" ht="15" hidden="false" customHeight="false" outlineLevel="0" collapsed="false">
      <c r="A43" s="40" t="s">
        <v>261</v>
      </c>
      <c r="B43" s="40" t="s">
        <v>38</v>
      </c>
      <c r="C43" s="40" t="s">
        <v>7</v>
      </c>
      <c r="D43" s="40" t="s">
        <v>262</v>
      </c>
      <c r="E43" s="40" t="s">
        <v>43</v>
      </c>
      <c r="F43" s="40" t="s">
        <v>1522</v>
      </c>
      <c r="G43" s="44" t="n">
        <f aca="false">'Activity Hours'!U43</f>
        <v>273</v>
      </c>
      <c r="H43" s="45" t="n">
        <f aca="false">'Activity Hours'!H43</f>
        <v>9</v>
      </c>
    </row>
    <row r="44" customFormat="false" ht="15" hidden="false" customHeight="false" outlineLevel="0" collapsed="false">
      <c r="A44" s="40" t="s">
        <v>264</v>
      </c>
      <c r="B44" s="40" t="s">
        <v>38</v>
      </c>
      <c r="C44" s="40" t="s">
        <v>7</v>
      </c>
      <c r="D44" s="40" t="s">
        <v>265</v>
      </c>
      <c r="E44" s="40" t="s">
        <v>44</v>
      </c>
      <c r="F44" s="40" t="s">
        <v>1523</v>
      </c>
      <c r="G44" s="44" t="n">
        <f aca="false">'Activity Hours'!U44</f>
        <v>454</v>
      </c>
      <c r="H44" s="45" t="n">
        <f aca="false">'Activity Hours'!H44</f>
        <v>10</v>
      </c>
    </row>
    <row r="45" customFormat="false" ht="15" hidden="false" customHeight="false" outlineLevel="0" collapsed="false">
      <c r="A45" s="40" t="s">
        <v>267</v>
      </c>
      <c r="B45" s="40" t="s">
        <v>38</v>
      </c>
      <c r="C45" s="40" t="s">
        <v>7</v>
      </c>
      <c r="D45" s="40" t="s">
        <v>268</v>
      </c>
      <c r="E45" s="40" t="s">
        <v>43</v>
      </c>
      <c r="F45" s="40" t="s">
        <v>1524</v>
      </c>
      <c r="G45" s="44" t="n">
        <f aca="false">'Activity Hours'!U45</f>
        <v>199</v>
      </c>
      <c r="H45" s="45" t="n">
        <f aca="false">'Activity Hours'!H45</f>
        <v>8</v>
      </c>
    </row>
    <row r="46" customFormat="false" ht="15" hidden="false" customHeight="false" outlineLevel="0" collapsed="false">
      <c r="A46" s="40" t="s">
        <v>270</v>
      </c>
      <c r="B46" s="40" t="s">
        <v>38</v>
      </c>
      <c r="C46" s="40" t="s">
        <v>7</v>
      </c>
      <c r="D46" s="40" t="s">
        <v>271</v>
      </c>
      <c r="E46" s="40" t="s">
        <v>42</v>
      </c>
      <c r="F46" s="40" t="s">
        <v>1525</v>
      </c>
      <c r="G46" s="44" t="n">
        <f aca="false">'Activity Hours'!U46</f>
        <v>242</v>
      </c>
      <c r="H46" s="45" t="n">
        <f aca="false">'Activity Hours'!H46</f>
        <v>7</v>
      </c>
    </row>
    <row r="47" customFormat="false" ht="15" hidden="false" customHeight="false" outlineLevel="0" collapsed="false">
      <c r="A47" s="40" t="s">
        <v>273</v>
      </c>
      <c r="B47" s="40" t="s">
        <v>38</v>
      </c>
      <c r="C47" s="40" t="s">
        <v>7</v>
      </c>
      <c r="D47" s="40" t="s">
        <v>274</v>
      </c>
      <c r="E47" s="40" t="s">
        <v>45</v>
      </c>
      <c r="F47" s="40" t="s">
        <v>1526</v>
      </c>
      <c r="G47" s="44" t="n">
        <f aca="false">'Activity Hours'!U47</f>
        <v>268</v>
      </c>
      <c r="H47" s="45" t="n">
        <f aca="false">'Activity Hours'!H47</f>
        <v>7</v>
      </c>
    </row>
    <row r="48" customFormat="false" ht="15" hidden="false" customHeight="false" outlineLevel="0" collapsed="false">
      <c r="A48" s="40" t="s">
        <v>323</v>
      </c>
      <c r="B48" s="40" t="s">
        <v>38</v>
      </c>
      <c r="C48" s="40" t="s">
        <v>8</v>
      </c>
      <c r="D48" s="40" t="s">
        <v>324</v>
      </c>
      <c r="E48" s="40" t="s">
        <v>44</v>
      </c>
      <c r="F48" s="40" t="s">
        <v>1527</v>
      </c>
      <c r="G48" s="44" t="n">
        <f aca="false">'Activity Hours'!U48</f>
        <v>118</v>
      </c>
      <c r="H48" s="45" t="n">
        <f aca="false">'Activity Hours'!H48</f>
        <v>8</v>
      </c>
    </row>
    <row r="49" customFormat="false" ht="15" hidden="false" customHeight="false" outlineLevel="0" collapsed="false">
      <c r="A49" s="40" t="s">
        <v>326</v>
      </c>
      <c r="B49" s="40" t="s">
        <v>38</v>
      </c>
      <c r="C49" s="40" t="s">
        <v>8</v>
      </c>
      <c r="D49" s="40" t="s">
        <v>327</v>
      </c>
      <c r="E49" s="40" t="s">
        <v>44</v>
      </c>
      <c r="F49" s="40" t="s">
        <v>1528</v>
      </c>
      <c r="G49" s="44" t="n">
        <f aca="false">'Activity Hours'!U49</f>
        <v>108</v>
      </c>
      <c r="H49" s="45" t="n">
        <f aca="false">'Activity Hours'!H49</f>
        <v>5</v>
      </c>
    </row>
    <row r="50" customFormat="false" ht="15" hidden="false" customHeight="false" outlineLevel="0" collapsed="false">
      <c r="A50" s="40" t="s">
        <v>329</v>
      </c>
      <c r="B50" s="40" t="s">
        <v>38</v>
      </c>
      <c r="C50" s="40" t="s">
        <v>8</v>
      </c>
      <c r="D50" s="40" t="s">
        <v>330</v>
      </c>
      <c r="E50" s="40" t="s">
        <v>44</v>
      </c>
      <c r="F50" s="40" t="s">
        <v>1529</v>
      </c>
      <c r="G50" s="44" t="n">
        <f aca="false">'Activity Hours'!U50</f>
        <v>71</v>
      </c>
      <c r="H50" s="45" t="n">
        <f aca="false">'Activity Hours'!H50</f>
        <v>5</v>
      </c>
    </row>
    <row r="51" customFormat="false" ht="15" hidden="false" customHeight="false" outlineLevel="0" collapsed="false">
      <c r="A51" s="40" t="s">
        <v>332</v>
      </c>
      <c r="B51" s="40" t="s">
        <v>38</v>
      </c>
      <c r="C51" s="40" t="s">
        <v>8</v>
      </c>
      <c r="D51" s="40" t="s">
        <v>333</v>
      </c>
      <c r="E51" s="40" t="s">
        <v>42</v>
      </c>
      <c r="F51" s="40" t="s">
        <v>1530</v>
      </c>
      <c r="G51" s="44" t="n">
        <f aca="false">'Activity Hours'!U51</f>
        <v>79</v>
      </c>
      <c r="H51" s="45" t="n">
        <f aca="false">'Activity Hours'!H51</f>
        <v>7</v>
      </c>
    </row>
    <row r="52" customFormat="false" ht="15" hidden="false" customHeight="false" outlineLevel="0" collapsed="false">
      <c r="A52" s="40" t="s">
        <v>335</v>
      </c>
      <c r="B52" s="40" t="s">
        <v>38</v>
      </c>
      <c r="C52" s="40" t="s">
        <v>8</v>
      </c>
      <c r="D52" s="40" t="s">
        <v>336</v>
      </c>
      <c r="E52" s="40" t="s">
        <v>43</v>
      </c>
      <c r="F52" s="40" t="s">
        <v>1531</v>
      </c>
      <c r="G52" s="44" t="n">
        <f aca="false">'Activity Hours'!U52</f>
        <v>98</v>
      </c>
      <c r="H52" s="45" t="n">
        <f aca="false">'Activity Hours'!H52</f>
        <v>7</v>
      </c>
    </row>
    <row r="53" customFormat="false" ht="15" hidden="false" customHeight="false" outlineLevel="0" collapsed="false">
      <c r="A53" s="40" t="s">
        <v>338</v>
      </c>
      <c r="B53" s="40" t="s">
        <v>38</v>
      </c>
      <c r="C53" s="40" t="s">
        <v>8</v>
      </c>
      <c r="D53" s="40" t="s">
        <v>339</v>
      </c>
      <c r="E53" s="40" t="s">
        <v>44</v>
      </c>
      <c r="F53" s="40" t="s">
        <v>1532</v>
      </c>
      <c r="G53" s="44" t="n">
        <f aca="false">'Activity Hours'!U53</f>
        <v>657</v>
      </c>
      <c r="H53" s="45" t="n">
        <f aca="false">'Activity Hours'!H53</f>
        <v>9</v>
      </c>
    </row>
    <row r="54" customFormat="false" ht="15" hidden="false" customHeight="false" outlineLevel="0" collapsed="false">
      <c r="A54" s="40" t="s">
        <v>141</v>
      </c>
      <c r="B54" s="40" t="s">
        <v>39</v>
      </c>
      <c r="C54" s="40" t="s">
        <v>5</v>
      </c>
      <c r="D54" s="40" t="s">
        <v>142</v>
      </c>
      <c r="E54" s="40" t="s">
        <v>45</v>
      </c>
      <c r="F54" s="40" t="s">
        <v>1533</v>
      </c>
      <c r="G54" s="44" t="n">
        <f aca="false">'Activity Hours'!U54</f>
        <v>179</v>
      </c>
      <c r="H54" s="45" t="n">
        <f aca="false">'Activity Hours'!H54</f>
        <v>6</v>
      </c>
    </row>
    <row r="55" customFormat="false" ht="15" hidden="false" customHeight="false" outlineLevel="0" collapsed="false">
      <c r="A55" s="40" t="s">
        <v>144</v>
      </c>
      <c r="B55" s="40" t="s">
        <v>39</v>
      </c>
      <c r="C55" s="40" t="s">
        <v>5</v>
      </c>
      <c r="D55" s="40" t="s">
        <v>145</v>
      </c>
      <c r="E55" s="40" t="s">
        <v>45</v>
      </c>
      <c r="F55" s="40" t="s">
        <v>1534</v>
      </c>
      <c r="G55" s="44" t="n">
        <f aca="false">'Activity Hours'!U55</f>
        <v>106</v>
      </c>
      <c r="H55" s="45" t="n">
        <f aca="false">'Activity Hours'!H55</f>
        <v>5</v>
      </c>
    </row>
    <row r="56" customFormat="false" ht="15" hidden="false" customHeight="false" outlineLevel="0" collapsed="false">
      <c r="A56" s="40" t="s">
        <v>147</v>
      </c>
      <c r="B56" s="40" t="s">
        <v>39</v>
      </c>
      <c r="C56" s="40" t="s">
        <v>5</v>
      </c>
      <c r="D56" s="40" t="s">
        <v>148</v>
      </c>
      <c r="E56" s="40" t="s">
        <v>45</v>
      </c>
      <c r="F56" s="40" t="s">
        <v>1535</v>
      </c>
      <c r="G56" s="44" t="n">
        <f aca="false">'Activity Hours'!U56</f>
        <v>111</v>
      </c>
      <c r="H56" s="45" t="n">
        <f aca="false">'Activity Hours'!H56</f>
        <v>5</v>
      </c>
    </row>
    <row r="57" customFormat="false" ht="15" hidden="false" customHeight="false" outlineLevel="0" collapsed="false">
      <c r="A57" s="40" t="s">
        <v>150</v>
      </c>
      <c r="B57" s="40" t="s">
        <v>39</v>
      </c>
      <c r="C57" s="40" t="s">
        <v>5</v>
      </c>
      <c r="D57" s="40" t="s">
        <v>151</v>
      </c>
      <c r="E57" s="40" t="s">
        <v>45</v>
      </c>
      <c r="F57" s="40" t="s">
        <v>1536</v>
      </c>
      <c r="G57" s="44" t="n">
        <f aca="false">'Activity Hours'!U57</f>
        <v>71</v>
      </c>
      <c r="H57" s="45" t="n">
        <f aca="false">'Activity Hours'!H57</f>
        <v>5</v>
      </c>
    </row>
    <row r="58" customFormat="false" ht="15" hidden="false" customHeight="false" outlineLevel="0" collapsed="false">
      <c r="A58" s="40" t="s">
        <v>153</v>
      </c>
      <c r="B58" s="40" t="s">
        <v>39</v>
      </c>
      <c r="C58" s="40" t="s">
        <v>5</v>
      </c>
      <c r="D58" s="40" t="s">
        <v>154</v>
      </c>
      <c r="E58" s="40" t="s">
        <v>45</v>
      </c>
      <c r="F58" s="40" t="s">
        <v>1537</v>
      </c>
      <c r="G58" s="44" t="n">
        <f aca="false">'Activity Hours'!U58</f>
        <v>71</v>
      </c>
      <c r="H58" s="45" t="n">
        <f aca="false">'Activity Hours'!H58</f>
        <v>5</v>
      </c>
    </row>
    <row r="59" customFormat="false" ht="15" hidden="false" customHeight="false" outlineLevel="0" collapsed="false">
      <c r="A59" s="40" t="s">
        <v>156</v>
      </c>
      <c r="B59" s="40" t="s">
        <v>39</v>
      </c>
      <c r="C59" s="40" t="s">
        <v>5</v>
      </c>
      <c r="D59" s="40" t="s">
        <v>157</v>
      </c>
      <c r="E59" s="40" t="s">
        <v>43</v>
      </c>
      <c r="F59" s="40" t="s">
        <v>1538</v>
      </c>
      <c r="G59" s="44" t="n">
        <f aca="false">'Activity Hours'!U59</f>
        <v>71</v>
      </c>
      <c r="H59" s="45" t="n">
        <f aca="false">'Activity Hours'!H59</f>
        <v>5</v>
      </c>
    </row>
    <row r="60" customFormat="false" ht="15" hidden="false" customHeight="false" outlineLevel="0" collapsed="false">
      <c r="A60" s="40" t="s">
        <v>207</v>
      </c>
      <c r="B60" s="40" t="s">
        <v>39</v>
      </c>
      <c r="C60" s="40" t="s">
        <v>6</v>
      </c>
      <c r="D60" s="40" t="s">
        <v>208</v>
      </c>
      <c r="E60" s="40" t="s">
        <v>45</v>
      </c>
      <c r="F60" s="40" t="s">
        <v>1539</v>
      </c>
      <c r="G60" s="44" t="n">
        <f aca="false">'Activity Hours'!U60</f>
        <v>715</v>
      </c>
      <c r="H60" s="45" t="n">
        <f aca="false">'Activity Hours'!H60</f>
        <v>11</v>
      </c>
    </row>
    <row r="61" customFormat="false" ht="15" hidden="false" customHeight="false" outlineLevel="0" collapsed="false">
      <c r="A61" s="40" t="s">
        <v>210</v>
      </c>
      <c r="B61" s="40" t="s">
        <v>39</v>
      </c>
      <c r="C61" s="40" t="s">
        <v>6</v>
      </c>
      <c r="D61" s="40" t="s">
        <v>211</v>
      </c>
      <c r="E61" s="40" t="s">
        <v>45</v>
      </c>
      <c r="F61" s="40" t="s">
        <v>1540</v>
      </c>
      <c r="G61" s="44" t="n">
        <f aca="false">'Activity Hours'!U61</f>
        <v>566</v>
      </c>
      <c r="H61" s="45" t="n">
        <f aca="false">'Activity Hours'!H61</f>
        <v>10</v>
      </c>
    </row>
    <row r="62" customFormat="false" ht="15" hidden="false" customHeight="false" outlineLevel="0" collapsed="false">
      <c r="A62" s="40" t="s">
        <v>213</v>
      </c>
      <c r="B62" s="40" t="s">
        <v>39</v>
      </c>
      <c r="C62" s="40" t="s">
        <v>6</v>
      </c>
      <c r="D62" s="40" t="s">
        <v>214</v>
      </c>
      <c r="E62" s="40" t="s">
        <v>45</v>
      </c>
      <c r="F62" s="40" t="s">
        <v>1541</v>
      </c>
      <c r="G62" s="44" t="n">
        <f aca="false">'Activity Hours'!U62</f>
        <v>199</v>
      </c>
      <c r="H62" s="45" t="n">
        <f aca="false">'Activity Hours'!H62</f>
        <v>9</v>
      </c>
    </row>
    <row r="63" customFormat="false" ht="15" hidden="false" customHeight="false" outlineLevel="0" collapsed="false">
      <c r="A63" s="40" t="s">
        <v>216</v>
      </c>
      <c r="B63" s="40" t="s">
        <v>39</v>
      </c>
      <c r="C63" s="40" t="s">
        <v>6</v>
      </c>
      <c r="D63" s="40" t="s">
        <v>217</v>
      </c>
      <c r="E63" s="40" t="s">
        <v>45</v>
      </c>
      <c r="F63" s="40" t="s">
        <v>1542</v>
      </c>
      <c r="G63" s="44" t="n">
        <f aca="false">'Activity Hours'!U63</f>
        <v>348</v>
      </c>
      <c r="H63" s="45" t="n">
        <f aca="false">'Activity Hours'!H63</f>
        <v>6</v>
      </c>
    </row>
    <row r="64" customFormat="false" ht="15" hidden="false" customHeight="false" outlineLevel="0" collapsed="false">
      <c r="A64" s="40" t="s">
        <v>219</v>
      </c>
      <c r="B64" s="40" t="s">
        <v>39</v>
      </c>
      <c r="C64" s="40" t="s">
        <v>6</v>
      </c>
      <c r="D64" s="40" t="s">
        <v>220</v>
      </c>
      <c r="E64" s="40" t="s">
        <v>45</v>
      </c>
      <c r="F64" s="40" t="s">
        <v>1543</v>
      </c>
      <c r="G64" s="44" t="n">
        <f aca="false">'Activity Hours'!U64</f>
        <v>107</v>
      </c>
      <c r="H64" s="45" t="n">
        <f aca="false">'Activity Hours'!H64</f>
        <v>5</v>
      </c>
    </row>
    <row r="65" customFormat="false" ht="15" hidden="false" customHeight="false" outlineLevel="0" collapsed="false">
      <c r="A65" s="40" t="s">
        <v>222</v>
      </c>
      <c r="B65" s="40" t="s">
        <v>39</v>
      </c>
      <c r="C65" s="40" t="s">
        <v>6</v>
      </c>
      <c r="D65" s="40" t="s">
        <v>223</v>
      </c>
      <c r="E65" s="40" t="s">
        <v>45</v>
      </c>
      <c r="F65" s="40" t="s">
        <v>1544</v>
      </c>
      <c r="G65" s="44" t="n">
        <f aca="false">'Activity Hours'!U65</f>
        <v>51</v>
      </c>
      <c r="H65" s="45" t="n">
        <f aca="false">'Activity Hours'!H65</f>
        <v>4</v>
      </c>
    </row>
    <row r="66" customFormat="false" ht="15" hidden="false" customHeight="false" outlineLevel="0" collapsed="false">
      <c r="A66" s="40" t="s">
        <v>277</v>
      </c>
      <c r="B66" s="40" t="s">
        <v>39</v>
      </c>
      <c r="C66" s="40" t="s">
        <v>7</v>
      </c>
      <c r="D66" s="40" t="s">
        <v>278</v>
      </c>
      <c r="E66" s="40" t="s">
        <v>45</v>
      </c>
      <c r="F66" s="40" t="s">
        <v>1545</v>
      </c>
      <c r="G66" s="44" t="n">
        <f aca="false">'Activity Hours'!U66</f>
        <v>864</v>
      </c>
      <c r="H66" s="45" t="n">
        <f aca="false">'Activity Hours'!H66</f>
        <v>12</v>
      </c>
    </row>
    <row r="67" customFormat="false" ht="15" hidden="false" customHeight="false" outlineLevel="0" collapsed="false">
      <c r="A67" s="40" t="s">
        <v>280</v>
      </c>
      <c r="B67" s="40" t="s">
        <v>39</v>
      </c>
      <c r="C67" s="40" t="s">
        <v>7</v>
      </c>
      <c r="D67" s="40" t="s">
        <v>281</v>
      </c>
      <c r="E67" s="40" t="s">
        <v>45</v>
      </c>
      <c r="F67" s="40" t="s">
        <v>1546</v>
      </c>
      <c r="G67" s="44" t="n">
        <f aca="false">'Activity Hours'!U67</f>
        <v>745</v>
      </c>
      <c r="H67" s="45" t="n">
        <f aca="false">'Activity Hours'!H67</f>
        <v>11</v>
      </c>
    </row>
    <row r="68" customFormat="false" ht="15" hidden="false" customHeight="false" outlineLevel="0" collapsed="false">
      <c r="A68" s="40" t="s">
        <v>283</v>
      </c>
      <c r="B68" s="40" t="s">
        <v>39</v>
      </c>
      <c r="C68" s="40" t="s">
        <v>7</v>
      </c>
      <c r="D68" s="40" t="s">
        <v>284</v>
      </c>
      <c r="E68" s="40" t="s">
        <v>45</v>
      </c>
      <c r="F68" s="40" t="s">
        <v>1547</v>
      </c>
      <c r="G68" s="44" t="n">
        <f aca="false">'Activity Hours'!U68</f>
        <v>743</v>
      </c>
      <c r="H68" s="45" t="n">
        <f aca="false">'Activity Hours'!H68</f>
        <v>10</v>
      </c>
    </row>
    <row r="69" customFormat="false" ht="15" hidden="false" customHeight="false" outlineLevel="0" collapsed="false">
      <c r="A69" s="40" t="s">
        <v>286</v>
      </c>
      <c r="B69" s="40" t="s">
        <v>39</v>
      </c>
      <c r="C69" s="40" t="s">
        <v>7</v>
      </c>
      <c r="D69" s="40" t="s">
        <v>287</v>
      </c>
      <c r="E69" s="40" t="s">
        <v>43</v>
      </c>
      <c r="F69" s="40" t="s">
        <v>1548</v>
      </c>
      <c r="G69" s="44" t="n">
        <f aca="false">'Activity Hours'!U69</f>
        <v>477</v>
      </c>
      <c r="H69" s="45" t="n">
        <f aca="false">'Activity Hours'!H69</f>
        <v>9</v>
      </c>
    </row>
    <row r="70" customFormat="false" ht="15" hidden="false" customHeight="false" outlineLevel="0" collapsed="false">
      <c r="A70" s="40" t="s">
        <v>289</v>
      </c>
      <c r="B70" s="40" t="s">
        <v>39</v>
      </c>
      <c r="C70" s="40" t="s">
        <v>7</v>
      </c>
      <c r="D70" s="40" t="s">
        <v>290</v>
      </c>
      <c r="E70" s="40" t="s">
        <v>45</v>
      </c>
      <c r="F70" s="40" t="s">
        <v>1549</v>
      </c>
      <c r="G70" s="44" t="n">
        <f aca="false">'Activity Hours'!U70</f>
        <v>720</v>
      </c>
      <c r="H70" s="45" t="n">
        <f aca="false">'Activity Hours'!H70</f>
        <v>11</v>
      </c>
    </row>
    <row r="71" customFormat="false" ht="15" hidden="false" customHeight="false" outlineLevel="0" collapsed="false">
      <c r="A71" s="40" t="s">
        <v>292</v>
      </c>
      <c r="B71" s="40" t="s">
        <v>39</v>
      </c>
      <c r="C71" s="40" t="s">
        <v>7</v>
      </c>
      <c r="D71" s="40" t="s">
        <v>293</v>
      </c>
      <c r="E71" s="40" t="s">
        <v>45</v>
      </c>
      <c r="F71" s="40" t="s">
        <v>1550</v>
      </c>
      <c r="G71" s="44" t="n">
        <f aca="false">'Activity Hours'!U71</f>
        <v>503</v>
      </c>
      <c r="H71" s="45" t="n">
        <f aca="false">'Activity Hours'!H71</f>
        <v>7</v>
      </c>
    </row>
    <row r="72" customFormat="false" ht="15" hidden="false" customHeight="false" outlineLevel="0" collapsed="false">
      <c r="A72" s="40" t="s">
        <v>342</v>
      </c>
      <c r="B72" s="40" t="s">
        <v>39</v>
      </c>
      <c r="C72" s="40" t="s">
        <v>8</v>
      </c>
      <c r="D72" s="40" t="s">
        <v>343</v>
      </c>
      <c r="E72" s="40" t="s">
        <v>45</v>
      </c>
      <c r="F72" s="40" t="s">
        <v>1551</v>
      </c>
      <c r="G72" s="44" t="n">
        <f aca="false">'Activity Hours'!U72</f>
        <v>595</v>
      </c>
      <c r="H72" s="45" t="n">
        <f aca="false">'Activity Hours'!H72</f>
        <v>10</v>
      </c>
    </row>
    <row r="73" customFormat="false" ht="15" hidden="false" customHeight="false" outlineLevel="0" collapsed="false">
      <c r="A73" s="40" t="s">
        <v>345</v>
      </c>
      <c r="B73" s="40" t="s">
        <v>39</v>
      </c>
      <c r="C73" s="40" t="s">
        <v>8</v>
      </c>
      <c r="D73" s="40" t="s">
        <v>346</v>
      </c>
      <c r="E73" s="40" t="s">
        <v>42</v>
      </c>
      <c r="F73" s="40" t="s">
        <v>1552</v>
      </c>
      <c r="G73" s="44" t="n">
        <f aca="false">'Activity Hours'!U73</f>
        <v>323</v>
      </c>
      <c r="H73" s="45" t="n">
        <f aca="false">'Activity Hours'!H73</f>
        <v>9</v>
      </c>
    </row>
    <row r="74" customFormat="false" ht="15" hidden="false" customHeight="false" outlineLevel="0" collapsed="false">
      <c r="A74" s="40" t="s">
        <v>348</v>
      </c>
      <c r="B74" s="40" t="s">
        <v>39</v>
      </c>
      <c r="C74" s="40" t="s">
        <v>8</v>
      </c>
      <c r="D74" s="40" t="s">
        <v>349</v>
      </c>
      <c r="E74" s="40" t="s">
        <v>45</v>
      </c>
      <c r="F74" s="40" t="s">
        <v>1553</v>
      </c>
      <c r="G74" s="44" t="n">
        <f aca="false">'Activity Hours'!U74</f>
        <v>593</v>
      </c>
      <c r="H74" s="45" t="n">
        <f aca="false">'Activity Hours'!H74</f>
        <v>10</v>
      </c>
    </row>
    <row r="75" customFormat="false" ht="15" hidden="false" customHeight="false" outlineLevel="0" collapsed="false">
      <c r="A75" s="40" t="s">
        <v>351</v>
      </c>
      <c r="B75" s="40" t="s">
        <v>39</v>
      </c>
      <c r="C75" s="40" t="s">
        <v>8</v>
      </c>
      <c r="D75" s="40" t="s">
        <v>352</v>
      </c>
      <c r="E75" s="40" t="s">
        <v>43</v>
      </c>
      <c r="F75" s="40" t="s">
        <v>1554</v>
      </c>
      <c r="G75" s="44" t="n">
        <f aca="false">'Activity Hours'!U75</f>
        <v>159</v>
      </c>
      <c r="H75" s="45" t="n">
        <f aca="false">'Activity Hours'!H75</f>
        <v>8</v>
      </c>
    </row>
    <row r="76" customFormat="false" ht="15" hidden="false" customHeight="false" outlineLevel="0" collapsed="false">
      <c r="A76" s="40" t="s">
        <v>354</v>
      </c>
      <c r="B76" s="40" t="s">
        <v>39</v>
      </c>
      <c r="C76" s="40" t="s">
        <v>8</v>
      </c>
      <c r="D76" s="40" t="s">
        <v>355</v>
      </c>
      <c r="E76" s="40" t="s">
        <v>45</v>
      </c>
      <c r="F76" s="40" t="s">
        <v>1555</v>
      </c>
      <c r="G76" s="44" t="n">
        <f aca="false">'Activity Hours'!U76</f>
        <v>240</v>
      </c>
      <c r="H76" s="45" t="n">
        <f aca="false">'Activity Hours'!H76</f>
        <v>7</v>
      </c>
    </row>
    <row r="77" customFormat="false" ht="15" hidden="false" customHeight="false" outlineLevel="0" collapsed="false">
      <c r="A77" s="40" t="s">
        <v>357</v>
      </c>
      <c r="B77" s="40" t="s">
        <v>39</v>
      </c>
      <c r="C77" s="40" t="s">
        <v>8</v>
      </c>
      <c r="D77" s="40" t="s">
        <v>358</v>
      </c>
      <c r="E77" s="40" t="s">
        <v>45</v>
      </c>
      <c r="F77" s="40" t="s">
        <v>1556</v>
      </c>
      <c r="G77" s="44" t="n">
        <f aca="false">'Activity Hours'!U77</f>
        <v>51</v>
      </c>
      <c r="H77" s="45" t="n">
        <f aca="false">'Activity Hours'!H77</f>
        <v>4</v>
      </c>
    </row>
    <row r="78" customFormat="false" ht="23.85" hidden="false" customHeight="false" outlineLevel="0" collapsed="false">
      <c r="A78" s="40" t="s">
        <v>161</v>
      </c>
      <c r="B78" s="40" t="s">
        <v>40</v>
      </c>
      <c r="C78" s="40" t="s">
        <v>5</v>
      </c>
      <c r="D78" s="40" t="s">
        <v>162</v>
      </c>
      <c r="E78" s="40" t="s">
        <v>46</v>
      </c>
      <c r="F78" s="40" t="s">
        <v>1557</v>
      </c>
      <c r="G78" s="44" t="n">
        <f aca="false">'Activity Hours'!U78</f>
        <v>414</v>
      </c>
      <c r="H78" s="45" t="n">
        <f aca="false">'Activity Hours'!H78</f>
        <v>5</v>
      </c>
    </row>
    <row r="79" customFormat="false" ht="23.85" hidden="false" customHeight="false" outlineLevel="0" collapsed="false">
      <c r="A79" s="40" t="s">
        <v>229</v>
      </c>
      <c r="B79" s="40" t="s">
        <v>40</v>
      </c>
      <c r="C79" s="40" t="s">
        <v>6</v>
      </c>
      <c r="D79" s="40" t="s">
        <v>162</v>
      </c>
      <c r="E79" s="40" t="s">
        <v>46</v>
      </c>
      <c r="F79" s="40" t="s">
        <v>1557</v>
      </c>
      <c r="G79" s="44" t="n">
        <f aca="false">'Activity Hours'!U79</f>
        <v>414</v>
      </c>
      <c r="H79" s="45" t="n">
        <f aca="false">'Activity Hours'!H79</f>
        <v>5</v>
      </c>
    </row>
    <row r="80" customFormat="false" ht="23.85" hidden="false" customHeight="false" outlineLevel="0" collapsed="false">
      <c r="A80" s="40" t="s">
        <v>297</v>
      </c>
      <c r="B80" s="40" t="s">
        <v>40</v>
      </c>
      <c r="C80" s="40" t="s">
        <v>7</v>
      </c>
      <c r="D80" s="40" t="s">
        <v>162</v>
      </c>
      <c r="E80" s="40" t="s">
        <v>46</v>
      </c>
      <c r="F80" s="40" t="s">
        <v>1557</v>
      </c>
      <c r="G80" s="44" t="n">
        <f aca="false">'Activity Hours'!U80</f>
        <v>414</v>
      </c>
      <c r="H80" s="45" t="n">
        <f aca="false">'Activity Hours'!H80</f>
        <v>5</v>
      </c>
    </row>
    <row r="81" customFormat="false" ht="23.85" hidden="false" customHeight="false" outlineLevel="0" collapsed="false">
      <c r="A81" s="40" t="s">
        <v>362</v>
      </c>
      <c r="B81" s="40" t="s">
        <v>40</v>
      </c>
      <c r="C81" s="40" t="s">
        <v>8</v>
      </c>
      <c r="D81" s="40" t="s">
        <v>162</v>
      </c>
      <c r="E81" s="40" t="s">
        <v>46</v>
      </c>
      <c r="F81" s="40" t="s">
        <v>1557</v>
      </c>
      <c r="G81" s="44" t="n">
        <f aca="false">'Activity Hours'!U81</f>
        <v>414</v>
      </c>
      <c r="H81" s="45" t="n">
        <f aca="false">'Activity Hours'!H81</f>
        <v>5</v>
      </c>
    </row>
    <row r="82" customFormat="false" ht="23.85" hidden="false" customHeight="false" outlineLevel="0" collapsed="false">
      <c r="A82" s="40" t="s">
        <v>251</v>
      </c>
      <c r="B82" s="40" t="s">
        <v>37</v>
      </c>
      <c r="C82" s="40" t="s">
        <v>7</v>
      </c>
      <c r="D82" s="40" t="s">
        <v>252</v>
      </c>
      <c r="E82" s="40" t="s">
        <v>42</v>
      </c>
      <c r="F82" s="40" t="s">
        <v>1558</v>
      </c>
      <c r="G82" s="44" t="n">
        <f aca="false">'Activity Hours'!U82</f>
        <v>145</v>
      </c>
      <c r="H82" s="45" t="n">
        <f aca="false">'Activity Hours'!H82</f>
        <v>4</v>
      </c>
    </row>
    <row r="83" customFormat="false" ht="23.85" hidden="false" customHeight="false" outlineLevel="0" collapsed="false">
      <c r="A83" s="40" t="s">
        <v>319</v>
      </c>
      <c r="B83" s="40" t="s">
        <v>37</v>
      </c>
      <c r="C83" s="40" t="s">
        <v>8</v>
      </c>
      <c r="D83" s="40" t="s">
        <v>320</v>
      </c>
      <c r="E83" s="40" t="s">
        <v>42</v>
      </c>
      <c r="F83" s="40" t="s">
        <v>1558</v>
      </c>
      <c r="G83" s="44" t="n">
        <f aca="false">'Activity Hours'!U83</f>
        <v>120</v>
      </c>
      <c r="H83" s="45" t="n">
        <f aca="false">'Activity Hours'!H83</f>
        <v>4</v>
      </c>
    </row>
    <row r="84" customFormat="false" ht="15" hidden="false" customHeight="false" outlineLevel="0" collapsed="false">
      <c r="A84" s="40" t="s">
        <v>254</v>
      </c>
      <c r="B84" s="40" t="s">
        <v>37</v>
      </c>
      <c r="C84" s="40" t="s">
        <v>7</v>
      </c>
      <c r="D84" s="40" t="s">
        <v>255</v>
      </c>
      <c r="E84" s="40" t="s">
        <v>43</v>
      </c>
      <c r="F84" s="40" t="s">
        <v>1558</v>
      </c>
      <c r="G84" s="44" t="n">
        <f aca="false">'Activity Hours'!U84</f>
        <v>96</v>
      </c>
      <c r="H84" s="45" t="n">
        <f aca="false">'Activity Hours'!H84</f>
        <v>4</v>
      </c>
    </row>
    <row r="85" customFormat="false" ht="23.85" hidden="false" customHeight="false" outlineLevel="0" collapsed="false">
      <c r="A85" s="40" t="s">
        <v>225</v>
      </c>
      <c r="B85" s="40" t="s">
        <v>39</v>
      </c>
      <c r="C85" s="40" t="s">
        <v>6</v>
      </c>
      <c r="D85" s="40" t="s">
        <v>226</v>
      </c>
      <c r="E85" s="40" t="s">
        <v>45</v>
      </c>
      <c r="F85" s="40" t="s">
        <v>1559</v>
      </c>
      <c r="G85" s="44" t="n">
        <f aca="false">'Activity Hours'!U85</f>
        <v>145</v>
      </c>
      <c r="H85" s="45" t="n">
        <f aca="false">'Activity Hours'!H85</f>
        <v>3</v>
      </c>
    </row>
    <row r="86" customFormat="false" ht="23.85" hidden="false" customHeight="false" outlineLevel="0" collapsed="false">
      <c r="A86" s="40" t="s">
        <v>295</v>
      </c>
      <c r="B86" s="40" t="s">
        <v>39</v>
      </c>
      <c r="C86" s="40" t="s">
        <v>7</v>
      </c>
      <c r="D86" s="40" t="s">
        <v>226</v>
      </c>
      <c r="E86" s="40" t="s">
        <v>45</v>
      </c>
      <c r="F86" s="40" t="s">
        <v>1559</v>
      </c>
      <c r="G86" s="44" t="n">
        <f aca="false">'Activity Hours'!U86</f>
        <v>218</v>
      </c>
      <c r="H86" s="45" t="n">
        <f aca="false">'Activity Hours'!H86</f>
        <v>3</v>
      </c>
    </row>
    <row r="87" customFormat="false" ht="23.85" hidden="false" customHeight="false" outlineLevel="0" collapsed="false">
      <c r="A87" s="40" t="s">
        <v>360</v>
      </c>
      <c r="B87" s="40" t="s">
        <v>39</v>
      </c>
      <c r="C87" s="40" t="s">
        <v>8</v>
      </c>
      <c r="D87" s="40" t="s">
        <v>226</v>
      </c>
      <c r="E87" s="40" t="s">
        <v>45</v>
      </c>
      <c r="F87" s="40" t="s">
        <v>1559</v>
      </c>
      <c r="G87" s="44" t="n">
        <f aca="false">'Activity Hours'!U87</f>
        <v>294</v>
      </c>
      <c r="H87" s="45" t="n">
        <f aca="false">'Activity Hours'!H87</f>
        <v>3</v>
      </c>
    </row>
    <row r="88" customFormat="false" ht="15" hidden="false" customHeight="false" outlineLevel="0" collapsed="false">
      <c r="A88" s="9"/>
      <c r="B88" s="9"/>
      <c r="C88" s="9"/>
      <c r="D88" s="10" t="s">
        <v>35</v>
      </c>
      <c r="E88" s="9"/>
      <c r="F88" s="9"/>
      <c r="G88" s="11" t="n">
        <f aca="false">SUM(G5:G87)</f>
        <v>24000</v>
      </c>
      <c r="H88" s="11" t="n">
        <f aca="false">SUM(H5:H87)</f>
        <v>677</v>
      </c>
    </row>
  </sheetData>
  <autoFilter ref="A4:H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1560</v>
      </c>
    </row>
    <row r="3" customFormat="false" ht="15" hidden="false" customHeight="false" outlineLevel="0" collapsed="false">
      <c r="A3" s="19" t="s">
        <v>1483</v>
      </c>
      <c r="B3" s="19" t="s">
        <v>1561</v>
      </c>
    </row>
    <row r="4" customFormat="false" ht="15" hidden="false" customHeight="false" outlineLevel="0" collapsed="false">
      <c r="A4" s="46" t="s">
        <v>1562</v>
      </c>
      <c r="B4" s="40" t="s">
        <v>1563</v>
      </c>
    </row>
    <row r="5" customFormat="false" ht="15" hidden="false" customHeight="false" outlineLevel="0" collapsed="false">
      <c r="A5" s="46" t="s">
        <v>1564</v>
      </c>
      <c r="B5" s="40" t="s">
        <v>1565</v>
      </c>
    </row>
    <row r="6" customFormat="false" ht="15" hidden="false" customHeight="false" outlineLevel="0" collapsed="false">
      <c r="A6" s="46" t="s">
        <v>1566</v>
      </c>
      <c r="B6" s="40" t="s">
        <v>1567</v>
      </c>
    </row>
    <row r="7" customFormat="false" ht="15" hidden="false" customHeight="false" outlineLevel="0" collapsed="false">
      <c r="A7" s="46" t="s">
        <v>1568</v>
      </c>
      <c r="B7" s="40" t="s">
        <v>1569</v>
      </c>
    </row>
    <row r="8" customFormat="false" ht="15" hidden="false" customHeight="false" outlineLevel="0" collapsed="false">
      <c r="A8" s="46" t="s">
        <v>1570</v>
      </c>
      <c r="B8" s="40" t="s">
        <v>1571</v>
      </c>
    </row>
    <row r="9" customFormat="false" ht="15" hidden="false" customHeight="false" outlineLevel="0" collapsed="false">
      <c r="A9" s="46" t="s">
        <v>1572</v>
      </c>
      <c r="B9" s="40" t="s">
        <v>1573</v>
      </c>
    </row>
    <row r="10" customFormat="false" ht="15" hidden="false" customHeight="false" outlineLevel="0" collapsed="false">
      <c r="A10" s="46" t="s">
        <v>1574</v>
      </c>
      <c r="B10" s="40" t="s">
        <v>1575</v>
      </c>
    </row>
    <row r="11" customFormat="false" ht="15" hidden="false" customHeight="false" outlineLevel="0" collapsed="false">
      <c r="A11" s="46" t="s">
        <v>1576</v>
      </c>
      <c r="B11" s="40" t="s">
        <v>1577</v>
      </c>
    </row>
    <row r="12" customFormat="false" ht="15" hidden="false" customHeight="false" outlineLevel="0" collapsed="false">
      <c r="A12" s="46" t="s">
        <v>1578</v>
      </c>
      <c r="B12" s="40" t="s">
        <v>1579</v>
      </c>
    </row>
    <row r="13" customFormat="false" ht="15" hidden="false" customHeight="false" outlineLevel="0" collapsed="false">
      <c r="A13" s="46" t="s">
        <v>1580</v>
      </c>
      <c r="B13" s="40" t="s">
        <v>1581</v>
      </c>
    </row>
    <row r="14" customFormat="false" ht="15" hidden="false" customHeight="false" outlineLevel="0" collapsed="false">
      <c r="A14" s="46" t="s">
        <v>1582</v>
      </c>
      <c r="B14" s="40" t="s">
        <v>1583</v>
      </c>
    </row>
    <row r="15" customFormat="false" ht="23.85" hidden="false" customHeight="false" outlineLevel="0" collapsed="false">
      <c r="A15" s="46" t="s">
        <v>1584</v>
      </c>
      <c r="B15" s="40" t="s">
        <v>1585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24"/>
  </cols>
  <sheetData>
    <row r="1" customFormat="false" ht="17.35" hidden="false" customHeight="false" outlineLevel="0" collapsed="false">
      <c r="A1" s="1" t="s">
        <v>1586</v>
      </c>
    </row>
    <row r="3" customFormat="false" ht="15" hidden="false" customHeight="false" outlineLevel="0" collapsed="false">
      <c r="A3" s="16" t="s">
        <v>1587</v>
      </c>
      <c r="B3" s="47" t="n">
        <v>40</v>
      </c>
      <c r="C3" s="2" t="s">
        <v>1588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1589</v>
      </c>
    </row>
    <row r="6" customFormat="false" ht="15" hidden="false" customHeight="false" outlineLevel="0" collapsed="false">
      <c r="A6" s="5" t="s">
        <v>11</v>
      </c>
      <c r="B6" s="5" t="s">
        <v>12</v>
      </c>
      <c r="C6" s="5" t="s">
        <v>46</v>
      </c>
    </row>
    <row r="7" customFormat="false" ht="15" hidden="false" customHeight="false" outlineLevel="0" collapsed="false">
      <c r="A7" s="5" t="s">
        <v>13</v>
      </c>
      <c r="B7" s="5" t="s">
        <v>14</v>
      </c>
      <c r="C7" s="5" t="s">
        <v>42</v>
      </c>
    </row>
    <row r="8" customFormat="false" ht="15" hidden="false" customHeight="false" outlineLevel="0" collapsed="false">
      <c r="A8" s="5" t="s">
        <v>15</v>
      </c>
      <c r="B8" s="5" t="s">
        <v>16</v>
      </c>
      <c r="C8" s="5" t="s">
        <v>42</v>
      </c>
    </row>
    <row r="9" customFormat="false" ht="15" hidden="false" customHeight="false" outlineLevel="0" collapsed="false">
      <c r="A9" s="5" t="s">
        <v>17</v>
      </c>
      <c r="B9" s="5" t="s">
        <v>18</v>
      </c>
      <c r="C9" s="5" t="s">
        <v>42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5" t="s">
        <v>43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5" t="s">
        <v>43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5" t="s">
        <v>44</v>
      </c>
    </row>
    <row r="13" customFormat="false" ht="15" hidden="false" customHeight="false" outlineLevel="0" collapsed="false">
      <c r="A13" s="5" t="s">
        <v>25</v>
      </c>
      <c r="B13" s="5" t="s">
        <v>26</v>
      </c>
      <c r="C13" s="5" t="s">
        <v>44</v>
      </c>
    </row>
    <row r="14" customFormat="false" ht="15" hidden="false" customHeight="false" outlineLevel="0" collapsed="false">
      <c r="A14" s="5" t="s">
        <v>27</v>
      </c>
      <c r="B14" s="5" t="s">
        <v>28</v>
      </c>
      <c r="C14" s="5" t="s">
        <v>45</v>
      </c>
    </row>
    <row r="15" customFormat="false" ht="15" hidden="false" customHeight="false" outlineLevel="0" collapsed="false">
      <c r="A15" s="5" t="s">
        <v>29</v>
      </c>
      <c r="B15" s="5" t="s">
        <v>30</v>
      </c>
      <c r="C15" s="5" t="s">
        <v>45</v>
      </c>
    </row>
    <row r="16" customFormat="false" ht="15" hidden="false" customHeight="false" outlineLevel="0" collapsed="false">
      <c r="A16" s="5" t="s">
        <v>31</v>
      </c>
      <c r="B16" s="5" t="s">
        <v>32</v>
      </c>
      <c r="C16" s="5" t="s">
        <v>46</v>
      </c>
    </row>
    <row r="17" customFormat="false" ht="15" hidden="false" customHeight="false" outlineLevel="0" collapsed="false">
      <c r="A17" s="5" t="s">
        <v>33</v>
      </c>
      <c r="B17" s="5" t="s">
        <v>34</v>
      </c>
      <c r="C17" s="5" t="s">
        <v>45</v>
      </c>
    </row>
    <row r="19" customFormat="false" ht="15" hidden="false" customHeight="false" outlineLevel="0" collapsed="false">
      <c r="A19" s="16" t="s">
        <v>1590</v>
      </c>
    </row>
    <row r="20" customFormat="false" ht="15" hidden="false" customHeight="false" outlineLevel="0" collapsed="false">
      <c r="A20" s="38" t="s">
        <v>1591</v>
      </c>
    </row>
    <row r="21" customFormat="false" ht="15" hidden="false" customHeight="false" outlineLevel="0" collapsed="false">
      <c r="A21" s="38" t="s">
        <v>1592</v>
      </c>
    </row>
    <row r="22" customFormat="false" ht="15" hidden="false" customHeight="false" outlineLevel="0" collapsed="false">
      <c r="A22" s="38" t="s">
        <v>1593</v>
      </c>
    </row>
    <row r="23" customFormat="false" ht="15" hidden="false" customHeight="false" outlineLevel="0" collapsed="false">
      <c r="A23" s="38" t="s">
        <v>1594</v>
      </c>
    </row>
    <row r="24" customFormat="false" ht="15" hidden="false" customHeight="false" outlineLevel="0" collapsed="false">
      <c r="A24" s="38" t="s">
        <v>1595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2026-10-22T14:37:06Z</dcterms:created>
  <dc:creator>openpyxl</dc:creator>
  <dc:description/>
  <dc:language>en-US</dc:language>
  <cp:lastModifiedBy/>
  <dcterms:modified xsi:type="dcterms:W3CDTF">2026-10-22T14:37:08Z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